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BOQ Project\"/>
    </mc:Choice>
  </mc:AlternateContent>
  <xr:revisionPtr revIDLastSave="0" documentId="13_ncr:1_{9A2BBCC0-7450-4287-BBA9-73F792352228}" xr6:coauthVersionLast="47" xr6:coauthVersionMax="47" xr10:uidLastSave="{00000000-0000-0000-0000-000000000000}"/>
  <bookViews>
    <workbookView xWindow="-110" yWindow="-110" windowWidth="19420" windowHeight="11500" xr2:uid="{00000000-000D-0000-FFFF-FFFF00000000}"/>
  </bookViews>
  <sheets>
    <sheet name="BOQ_Data" sheetId="1" r:id="rId1"/>
    <sheet name="DashBoard" sheetId="5" r:id="rId2"/>
  </sheets>
  <definedNames>
    <definedName name="Slicer_Category">#N/A</definedName>
    <definedName name="Slicer_Description">#N/A</definedName>
    <definedName name="Slicer_Unit">#N/A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1" l="1"/>
  <c r="K14" i="1"/>
  <c r="I2" i="1"/>
  <c r="G2" i="1"/>
  <c r="H2" i="1" s="1"/>
  <c r="I15" i="1"/>
  <c r="G15" i="1"/>
  <c r="G10" i="1"/>
  <c r="G5" i="1"/>
  <c r="G4" i="1"/>
  <c r="H4" i="1" s="1"/>
  <c r="G3" i="1"/>
  <c r="G6" i="5" s="1"/>
  <c r="G6" i="1"/>
  <c r="H6" i="1" s="1"/>
  <c r="G7" i="1"/>
  <c r="H7" i="1" s="1"/>
  <c r="G8" i="1"/>
  <c r="G9" i="1"/>
  <c r="G11" i="1"/>
  <c r="H11" i="1" s="1"/>
  <c r="G12" i="1"/>
  <c r="H12" i="1" s="1"/>
  <c r="G13" i="1"/>
  <c r="H13" i="1" s="1"/>
  <c r="G14" i="1"/>
  <c r="H14" i="1" s="1"/>
  <c r="G16" i="1"/>
  <c r="H16" i="1" s="1"/>
  <c r="H10" i="1"/>
  <c r="H8" i="1"/>
  <c r="H9" i="1"/>
  <c r="G17" i="1"/>
  <c r="G18" i="1"/>
  <c r="G19" i="1"/>
  <c r="G20" i="1"/>
  <c r="H20" i="1" s="1"/>
  <c r="G21" i="1"/>
  <c r="H21" i="1" s="1"/>
  <c r="G22" i="1"/>
  <c r="H22" i="1" s="1"/>
  <c r="G23" i="1"/>
  <c r="H23" i="1" s="1"/>
  <c r="G24" i="1"/>
  <c r="H24" i="1" s="1"/>
  <c r="G25" i="1"/>
  <c r="H25" i="1" s="1"/>
  <c r="G26" i="1"/>
  <c r="H26" i="1" s="1"/>
  <c r="G27" i="1"/>
  <c r="H27" i="1" s="1"/>
  <c r="G28" i="1"/>
  <c r="H28" i="1" s="1"/>
  <c r="G29" i="1"/>
  <c r="G30" i="1"/>
  <c r="G31" i="1"/>
  <c r="G32" i="1"/>
  <c r="H32" i="1" s="1"/>
  <c r="G33" i="1"/>
  <c r="H33" i="1" s="1"/>
  <c r="G34" i="1"/>
  <c r="H34" i="1" s="1"/>
  <c r="G35" i="1"/>
  <c r="H35" i="1" s="1"/>
  <c r="G36" i="1"/>
  <c r="G37" i="1"/>
  <c r="G38" i="1"/>
  <c r="H38" i="1" s="1"/>
  <c r="G39" i="1"/>
  <c r="H39" i="1" s="1"/>
  <c r="G40" i="1"/>
  <c r="H40" i="1" s="1"/>
  <c r="G41" i="1"/>
  <c r="G42" i="1"/>
  <c r="G43" i="1"/>
  <c r="G44" i="1"/>
  <c r="H44" i="1" s="1"/>
  <c r="G45" i="1"/>
  <c r="H45" i="1" s="1"/>
  <c r="G46" i="1"/>
  <c r="H46" i="1" s="1"/>
  <c r="G47" i="1"/>
  <c r="H47" i="1" s="1"/>
  <c r="G48" i="1"/>
  <c r="H48" i="1" s="1"/>
  <c r="G49" i="1"/>
  <c r="H49" i="1" s="1"/>
  <c r="G50" i="1"/>
  <c r="H50" i="1" s="1"/>
  <c r="G51" i="1"/>
  <c r="H51" i="1" s="1"/>
  <c r="G52" i="1"/>
  <c r="H52" i="1" s="1"/>
  <c r="G53" i="1"/>
  <c r="G54" i="1"/>
  <c r="G55" i="1"/>
  <c r="G56" i="1"/>
  <c r="H56" i="1" s="1"/>
  <c r="G57" i="1"/>
  <c r="H57" i="1" s="1"/>
  <c r="G58" i="1"/>
  <c r="H58" i="1" s="1"/>
  <c r="G59" i="1"/>
  <c r="H59" i="1" s="1"/>
  <c r="G60" i="1"/>
  <c r="G61" i="1"/>
  <c r="H19" i="1"/>
  <c r="I3" i="1"/>
  <c r="I4" i="1"/>
  <c r="I5" i="1"/>
  <c r="I6" i="1"/>
  <c r="I7" i="1"/>
  <c r="I8" i="1"/>
  <c r="I9" i="1"/>
  <c r="I10" i="1"/>
  <c r="I11" i="1"/>
  <c r="I12" i="1"/>
  <c r="I13" i="1"/>
  <c r="I14"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H1280" i="1"/>
  <c r="H1286" i="1"/>
  <c r="H1306" i="1"/>
  <c r="H1361" i="1"/>
  <c r="H1432" i="1"/>
  <c r="H1433" i="1"/>
  <c r="H1469" i="1"/>
  <c r="H1478" i="1"/>
  <c r="H1481" i="1"/>
  <c r="H1505" i="1"/>
  <c r="H1523" i="1"/>
  <c r="H1529" i="1"/>
  <c r="H1577" i="1"/>
  <c r="H1601" i="1"/>
  <c r="H1625" i="1"/>
  <c r="H1649" i="1"/>
  <c r="H1667" i="1"/>
  <c r="H1673" i="1"/>
  <c r="H1721" i="1"/>
  <c r="H1745" i="1"/>
  <c r="H1769" i="1"/>
  <c r="H1793" i="1"/>
  <c r="H1811" i="1"/>
  <c r="H1817" i="1"/>
  <c r="H1865" i="1"/>
  <c r="H1877" i="1"/>
  <c r="H1889" i="1"/>
  <c r="H1898" i="1"/>
  <c r="H1913" i="1"/>
  <c r="H1925" i="1"/>
  <c r="H1931" i="1"/>
  <c r="H1936" i="1"/>
  <c r="H1988" i="1"/>
  <c r="H1993" i="1"/>
  <c r="G2001" i="1"/>
  <c r="H2001" i="1" s="1"/>
  <c r="G2000" i="1"/>
  <c r="H2000" i="1" s="1"/>
  <c r="G1999" i="1"/>
  <c r="H1999" i="1" s="1"/>
  <c r="G1998" i="1"/>
  <c r="H1998" i="1" s="1"/>
  <c r="G1997" i="1"/>
  <c r="H1997" i="1" s="1"/>
  <c r="G1996" i="1"/>
  <c r="H1996" i="1" s="1"/>
  <c r="G1995" i="1"/>
  <c r="H1995" i="1" s="1"/>
  <c r="G1994" i="1"/>
  <c r="H1994" i="1" s="1"/>
  <c r="G1993" i="1"/>
  <c r="G1992" i="1"/>
  <c r="H1992" i="1" s="1"/>
  <c r="G1991" i="1"/>
  <c r="H1991" i="1" s="1"/>
  <c r="G1990" i="1"/>
  <c r="H1990" i="1" s="1"/>
  <c r="G1989" i="1"/>
  <c r="H1989" i="1" s="1"/>
  <c r="G1988" i="1"/>
  <c r="G1987" i="1"/>
  <c r="H1987" i="1" s="1"/>
  <c r="G1986" i="1"/>
  <c r="H1986" i="1" s="1"/>
  <c r="G1985" i="1"/>
  <c r="H1985" i="1" s="1"/>
  <c r="G1984" i="1"/>
  <c r="H1984" i="1" s="1"/>
  <c r="G1983" i="1"/>
  <c r="H1983" i="1" s="1"/>
  <c r="G1982" i="1"/>
  <c r="H1982" i="1" s="1"/>
  <c r="G1981" i="1"/>
  <c r="H1981" i="1" s="1"/>
  <c r="G1980" i="1"/>
  <c r="H1980" i="1" s="1"/>
  <c r="G1979" i="1"/>
  <c r="H1979" i="1" s="1"/>
  <c r="G1978" i="1"/>
  <c r="H1978" i="1" s="1"/>
  <c r="G1977" i="1"/>
  <c r="H1977" i="1" s="1"/>
  <c r="G1976" i="1"/>
  <c r="H1976" i="1" s="1"/>
  <c r="G1975" i="1"/>
  <c r="H1975" i="1" s="1"/>
  <c r="G1974" i="1"/>
  <c r="H1974" i="1" s="1"/>
  <c r="G1973" i="1"/>
  <c r="H1973" i="1" s="1"/>
  <c r="G1972" i="1"/>
  <c r="H1972" i="1" s="1"/>
  <c r="G1971" i="1"/>
  <c r="H1971" i="1" s="1"/>
  <c r="G1970" i="1"/>
  <c r="H1970" i="1" s="1"/>
  <c r="G1969" i="1"/>
  <c r="H1969" i="1" s="1"/>
  <c r="G1968" i="1"/>
  <c r="H1968" i="1" s="1"/>
  <c r="G1967" i="1"/>
  <c r="H1967" i="1" s="1"/>
  <c r="G1966" i="1"/>
  <c r="H1966" i="1" s="1"/>
  <c r="G1965" i="1"/>
  <c r="H1965" i="1" s="1"/>
  <c r="G1964" i="1"/>
  <c r="H1964" i="1" s="1"/>
  <c r="G1963" i="1"/>
  <c r="H1963" i="1" s="1"/>
  <c r="G1962" i="1"/>
  <c r="H1962" i="1" s="1"/>
  <c r="G1961" i="1"/>
  <c r="H1961" i="1" s="1"/>
  <c r="G1960" i="1"/>
  <c r="H1960" i="1" s="1"/>
  <c r="G1959" i="1"/>
  <c r="H1959" i="1" s="1"/>
  <c r="G1958" i="1"/>
  <c r="H1958" i="1" s="1"/>
  <c r="G1957" i="1"/>
  <c r="H1957" i="1" s="1"/>
  <c r="G1956" i="1"/>
  <c r="H1956" i="1" s="1"/>
  <c r="G1955" i="1"/>
  <c r="H1955" i="1" s="1"/>
  <c r="G1954" i="1"/>
  <c r="H1954" i="1" s="1"/>
  <c r="G1953" i="1"/>
  <c r="H1953" i="1" s="1"/>
  <c r="G1952" i="1"/>
  <c r="H1952" i="1" s="1"/>
  <c r="G1951" i="1"/>
  <c r="H1951" i="1" s="1"/>
  <c r="G1950" i="1"/>
  <c r="H1950" i="1" s="1"/>
  <c r="G1949" i="1"/>
  <c r="H1949" i="1" s="1"/>
  <c r="G1948" i="1"/>
  <c r="H1948" i="1" s="1"/>
  <c r="G1947" i="1"/>
  <c r="H1947" i="1" s="1"/>
  <c r="G1946" i="1"/>
  <c r="H1946" i="1" s="1"/>
  <c r="G1945" i="1"/>
  <c r="H1945" i="1" s="1"/>
  <c r="G1944" i="1"/>
  <c r="H1944" i="1" s="1"/>
  <c r="G1943" i="1"/>
  <c r="H1943" i="1" s="1"/>
  <c r="G1942" i="1"/>
  <c r="H1942" i="1" s="1"/>
  <c r="G1941" i="1"/>
  <c r="H1941" i="1" s="1"/>
  <c r="G1940" i="1"/>
  <c r="H1940" i="1" s="1"/>
  <c r="G1939" i="1"/>
  <c r="H1939" i="1" s="1"/>
  <c r="G1938" i="1"/>
  <c r="H1938" i="1" s="1"/>
  <c r="G1937" i="1"/>
  <c r="H1937" i="1" s="1"/>
  <c r="G1936" i="1"/>
  <c r="G1935" i="1"/>
  <c r="H1935" i="1" s="1"/>
  <c r="G1934" i="1"/>
  <c r="H1934" i="1" s="1"/>
  <c r="G1933" i="1"/>
  <c r="H1933" i="1" s="1"/>
  <c r="G1932" i="1"/>
  <c r="H1932" i="1" s="1"/>
  <c r="G1931" i="1"/>
  <c r="G1930" i="1"/>
  <c r="H1930" i="1" s="1"/>
  <c r="G1929" i="1"/>
  <c r="H1929" i="1" s="1"/>
  <c r="G1928" i="1"/>
  <c r="H1928" i="1" s="1"/>
  <c r="G1927" i="1"/>
  <c r="H1927" i="1" s="1"/>
  <c r="G1926" i="1"/>
  <c r="H1926" i="1" s="1"/>
  <c r="G1925" i="1"/>
  <c r="G1924" i="1"/>
  <c r="H1924" i="1" s="1"/>
  <c r="G1923" i="1"/>
  <c r="H1923" i="1" s="1"/>
  <c r="G1922" i="1"/>
  <c r="H1922" i="1" s="1"/>
  <c r="G1921" i="1"/>
  <c r="H1921" i="1" s="1"/>
  <c r="G1920" i="1"/>
  <c r="H1920" i="1" s="1"/>
  <c r="G1919" i="1"/>
  <c r="H1919" i="1" s="1"/>
  <c r="G1918" i="1"/>
  <c r="H1918" i="1" s="1"/>
  <c r="G1917" i="1"/>
  <c r="H1917" i="1" s="1"/>
  <c r="G1916" i="1"/>
  <c r="H1916" i="1" s="1"/>
  <c r="G1915" i="1"/>
  <c r="H1915" i="1" s="1"/>
  <c r="G1914" i="1"/>
  <c r="H1914" i="1" s="1"/>
  <c r="G1913" i="1"/>
  <c r="G1912" i="1"/>
  <c r="H1912" i="1" s="1"/>
  <c r="G1911" i="1"/>
  <c r="H1911" i="1" s="1"/>
  <c r="G1910" i="1"/>
  <c r="H1910" i="1" s="1"/>
  <c r="G1909" i="1"/>
  <c r="H1909" i="1" s="1"/>
  <c r="G1908" i="1"/>
  <c r="H1908" i="1" s="1"/>
  <c r="G1907" i="1"/>
  <c r="H1907" i="1" s="1"/>
  <c r="G1906" i="1"/>
  <c r="H1906" i="1" s="1"/>
  <c r="G1905" i="1"/>
  <c r="H1905" i="1" s="1"/>
  <c r="G1904" i="1"/>
  <c r="H1904" i="1" s="1"/>
  <c r="G1903" i="1"/>
  <c r="H1903" i="1" s="1"/>
  <c r="G1902" i="1"/>
  <c r="H1902" i="1" s="1"/>
  <c r="G1901" i="1"/>
  <c r="H1901" i="1" s="1"/>
  <c r="G1900" i="1"/>
  <c r="H1900" i="1" s="1"/>
  <c r="G1899" i="1"/>
  <c r="H1899" i="1" s="1"/>
  <c r="G1898" i="1"/>
  <c r="G1897" i="1"/>
  <c r="H1897" i="1" s="1"/>
  <c r="G1896" i="1"/>
  <c r="H1896" i="1" s="1"/>
  <c r="G1895" i="1"/>
  <c r="H1895" i="1" s="1"/>
  <c r="G1894" i="1"/>
  <c r="H1894" i="1" s="1"/>
  <c r="G1893" i="1"/>
  <c r="H1893" i="1" s="1"/>
  <c r="G1892" i="1"/>
  <c r="H1892" i="1" s="1"/>
  <c r="G1891" i="1"/>
  <c r="H1891" i="1" s="1"/>
  <c r="G1890" i="1"/>
  <c r="H1890" i="1" s="1"/>
  <c r="G1889" i="1"/>
  <c r="G1888" i="1"/>
  <c r="H1888" i="1" s="1"/>
  <c r="G1887" i="1"/>
  <c r="H1887" i="1" s="1"/>
  <c r="G1886" i="1"/>
  <c r="H1886" i="1" s="1"/>
  <c r="G1885" i="1"/>
  <c r="H1885" i="1" s="1"/>
  <c r="G1884" i="1"/>
  <c r="H1884" i="1" s="1"/>
  <c r="G1883" i="1"/>
  <c r="H1883" i="1" s="1"/>
  <c r="G1882" i="1"/>
  <c r="H1882" i="1" s="1"/>
  <c r="G1881" i="1"/>
  <c r="H1881" i="1" s="1"/>
  <c r="G1880" i="1"/>
  <c r="H1880" i="1" s="1"/>
  <c r="G1879" i="1"/>
  <c r="H1879" i="1" s="1"/>
  <c r="G1878" i="1"/>
  <c r="H1878" i="1" s="1"/>
  <c r="G1877" i="1"/>
  <c r="G1876" i="1"/>
  <c r="H1876" i="1" s="1"/>
  <c r="G1875" i="1"/>
  <c r="H1875" i="1" s="1"/>
  <c r="G1874" i="1"/>
  <c r="H1874" i="1" s="1"/>
  <c r="G1873" i="1"/>
  <c r="H1873" i="1" s="1"/>
  <c r="G1872" i="1"/>
  <c r="H1872" i="1" s="1"/>
  <c r="G1871" i="1"/>
  <c r="H1871" i="1" s="1"/>
  <c r="G1870" i="1"/>
  <c r="H1870" i="1" s="1"/>
  <c r="G1869" i="1"/>
  <c r="H1869" i="1" s="1"/>
  <c r="G1868" i="1"/>
  <c r="H1868" i="1" s="1"/>
  <c r="G1867" i="1"/>
  <c r="H1867" i="1" s="1"/>
  <c r="G1866" i="1"/>
  <c r="H1866" i="1" s="1"/>
  <c r="G1865" i="1"/>
  <c r="G1864" i="1"/>
  <c r="H1864" i="1" s="1"/>
  <c r="G1863" i="1"/>
  <c r="H1863" i="1" s="1"/>
  <c r="G1862" i="1"/>
  <c r="H1862" i="1" s="1"/>
  <c r="G1861" i="1"/>
  <c r="H1861" i="1" s="1"/>
  <c r="G1860" i="1"/>
  <c r="H1860" i="1" s="1"/>
  <c r="G1859" i="1"/>
  <c r="H1859" i="1" s="1"/>
  <c r="G1858" i="1"/>
  <c r="H1858" i="1" s="1"/>
  <c r="G1857" i="1"/>
  <c r="H1857" i="1" s="1"/>
  <c r="G1856" i="1"/>
  <c r="H1856" i="1" s="1"/>
  <c r="G1855" i="1"/>
  <c r="H1855" i="1" s="1"/>
  <c r="G1854" i="1"/>
  <c r="H1854" i="1" s="1"/>
  <c r="G1853" i="1"/>
  <c r="H1853" i="1" s="1"/>
  <c r="G1852" i="1"/>
  <c r="H1852" i="1" s="1"/>
  <c r="G1851" i="1"/>
  <c r="H1851" i="1" s="1"/>
  <c r="G1850" i="1"/>
  <c r="H1850" i="1" s="1"/>
  <c r="G1849" i="1"/>
  <c r="H1849" i="1" s="1"/>
  <c r="G1848" i="1"/>
  <c r="H1848" i="1" s="1"/>
  <c r="G1847" i="1"/>
  <c r="H1847" i="1" s="1"/>
  <c r="G1846" i="1"/>
  <c r="H1846" i="1" s="1"/>
  <c r="G1845" i="1"/>
  <c r="H1845" i="1" s="1"/>
  <c r="G1844" i="1"/>
  <c r="H1844" i="1" s="1"/>
  <c r="G1843" i="1"/>
  <c r="H1843" i="1" s="1"/>
  <c r="G1842" i="1"/>
  <c r="H1842" i="1" s="1"/>
  <c r="G1841" i="1"/>
  <c r="H1841" i="1" s="1"/>
  <c r="G1840" i="1"/>
  <c r="H1840" i="1" s="1"/>
  <c r="G1839" i="1"/>
  <c r="H1839" i="1" s="1"/>
  <c r="G1838" i="1"/>
  <c r="H1838" i="1" s="1"/>
  <c r="G1837" i="1"/>
  <c r="H1837" i="1" s="1"/>
  <c r="G1836" i="1"/>
  <c r="H1836" i="1" s="1"/>
  <c r="G1835" i="1"/>
  <c r="H1835" i="1" s="1"/>
  <c r="G1834" i="1"/>
  <c r="H1834" i="1" s="1"/>
  <c r="G1833" i="1"/>
  <c r="H1833" i="1" s="1"/>
  <c r="G1832" i="1"/>
  <c r="H1832" i="1" s="1"/>
  <c r="G1831" i="1"/>
  <c r="H1831" i="1" s="1"/>
  <c r="G1830" i="1"/>
  <c r="H1830" i="1" s="1"/>
  <c r="G1829" i="1"/>
  <c r="H1829" i="1" s="1"/>
  <c r="G1828" i="1"/>
  <c r="H1828" i="1" s="1"/>
  <c r="G1827" i="1"/>
  <c r="H1827" i="1" s="1"/>
  <c r="G1826" i="1"/>
  <c r="H1826" i="1" s="1"/>
  <c r="G1825" i="1"/>
  <c r="H1825" i="1" s="1"/>
  <c r="G1824" i="1"/>
  <c r="H1824" i="1" s="1"/>
  <c r="G1823" i="1"/>
  <c r="H1823" i="1" s="1"/>
  <c r="G1822" i="1"/>
  <c r="H1822" i="1" s="1"/>
  <c r="G1821" i="1"/>
  <c r="H1821" i="1" s="1"/>
  <c r="G1820" i="1"/>
  <c r="H1820" i="1" s="1"/>
  <c r="G1819" i="1"/>
  <c r="H1819" i="1" s="1"/>
  <c r="G1818" i="1"/>
  <c r="H1818" i="1" s="1"/>
  <c r="G1817" i="1"/>
  <c r="G1816" i="1"/>
  <c r="H1816" i="1" s="1"/>
  <c r="G1815" i="1"/>
  <c r="H1815" i="1" s="1"/>
  <c r="G1814" i="1"/>
  <c r="H1814" i="1" s="1"/>
  <c r="G1813" i="1"/>
  <c r="H1813" i="1" s="1"/>
  <c r="G1812" i="1"/>
  <c r="H1812" i="1" s="1"/>
  <c r="G1811" i="1"/>
  <c r="G1810" i="1"/>
  <c r="H1810" i="1" s="1"/>
  <c r="G1809" i="1"/>
  <c r="H1809" i="1" s="1"/>
  <c r="G1808" i="1"/>
  <c r="H1808" i="1" s="1"/>
  <c r="G1807" i="1"/>
  <c r="H1807" i="1" s="1"/>
  <c r="G1806" i="1"/>
  <c r="H1806" i="1" s="1"/>
  <c r="G1805" i="1"/>
  <c r="H1805" i="1" s="1"/>
  <c r="G1804" i="1"/>
  <c r="H1804" i="1" s="1"/>
  <c r="G1803" i="1"/>
  <c r="H1803" i="1" s="1"/>
  <c r="G1802" i="1"/>
  <c r="H1802" i="1" s="1"/>
  <c r="G1801" i="1"/>
  <c r="H1801" i="1" s="1"/>
  <c r="G1800" i="1"/>
  <c r="H1800" i="1" s="1"/>
  <c r="G1799" i="1"/>
  <c r="H1799" i="1" s="1"/>
  <c r="G1798" i="1"/>
  <c r="H1798" i="1" s="1"/>
  <c r="G1797" i="1"/>
  <c r="H1797" i="1" s="1"/>
  <c r="G1796" i="1"/>
  <c r="H1796" i="1" s="1"/>
  <c r="G1795" i="1"/>
  <c r="H1795" i="1" s="1"/>
  <c r="G1794" i="1"/>
  <c r="H1794" i="1" s="1"/>
  <c r="G1793" i="1"/>
  <c r="G1792" i="1"/>
  <c r="H1792" i="1" s="1"/>
  <c r="G1791" i="1"/>
  <c r="H1791" i="1" s="1"/>
  <c r="G1790" i="1"/>
  <c r="H1790" i="1" s="1"/>
  <c r="G1789" i="1"/>
  <c r="H1789" i="1" s="1"/>
  <c r="G1788" i="1"/>
  <c r="H1788" i="1" s="1"/>
  <c r="G1787" i="1"/>
  <c r="H1787" i="1" s="1"/>
  <c r="G1786" i="1"/>
  <c r="H1786" i="1" s="1"/>
  <c r="G1785" i="1"/>
  <c r="H1785" i="1" s="1"/>
  <c r="G1784" i="1"/>
  <c r="H1784" i="1" s="1"/>
  <c r="G1783" i="1"/>
  <c r="H1783" i="1" s="1"/>
  <c r="G1782" i="1"/>
  <c r="H1782" i="1" s="1"/>
  <c r="G1781" i="1"/>
  <c r="H1781" i="1" s="1"/>
  <c r="G1780" i="1"/>
  <c r="H1780" i="1" s="1"/>
  <c r="G1779" i="1"/>
  <c r="H1779" i="1" s="1"/>
  <c r="G1778" i="1"/>
  <c r="H1778" i="1" s="1"/>
  <c r="G1777" i="1"/>
  <c r="H1777" i="1" s="1"/>
  <c r="G1776" i="1"/>
  <c r="H1776" i="1" s="1"/>
  <c r="G1775" i="1"/>
  <c r="H1775" i="1" s="1"/>
  <c r="G1774" i="1"/>
  <c r="H1774" i="1" s="1"/>
  <c r="G1773" i="1"/>
  <c r="H1773" i="1" s="1"/>
  <c r="G1772" i="1"/>
  <c r="H1772" i="1" s="1"/>
  <c r="G1771" i="1"/>
  <c r="H1771" i="1" s="1"/>
  <c r="G1770" i="1"/>
  <c r="H1770" i="1" s="1"/>
  <c r="G1769" i="1"/>
  <c r="G1768" i="1"/>
  <c r="H1768" i="1" s="1"/>
  <c r="G1767" i="1"/>
  <c r="H1767" i="1" s="1"/>
  <c r="G1766" i="1"/>
  <c r="H1766" i="1" s="1"/>
  <c r="G1765" i="1"/>
  <c r="H1765" i="1" s="1"/>
  <c r="G1764" i="1"/>
  <c r="H1764" i="1" s="1"/>
  <c r="G1763" i="1"/>
  <c r="H1763" i="1" s="1"/>
  <c r="G1762" i="1"/>
  <c r="H1762" i="1" s="1"/>
  <c r="G1761" i="1"/>
  <c r="H1761" i="1" s="1"/>
  <c r="G1760" i="1"/>
  <c r="H1760" i="1" s="1"/>
  <c r="G1759" i="1"/>
  <c r="H1759" i="1" s="1"/>
  <c r="G1758" i="1"/>
  <c r="H1758" i="1" s="1"/>
  <c r="G1757" i="1"/>
  <c r="H1757" i="1" s="1"/>
  <c r="G1756" i="1"/>
  <c r="H1756" i="1" s="1"/>
  <c r="G1755" i="1"/>
  <c r="H1755" i="1" s="1"/>
  <c r="G1754" i="1"/>
  <c r="H1754" i="1" s="1"/>
  <c r="G1753" i="1"/>
  <c r="H1753" i="1" s="1"/>
  <c r="G1752" i="1"/>
  <c r="H1752" i="1" s="1"/>
  <c r="G1751" i="1"/>
  <c r="H1751" i="1" s="1"/>
  <c r="G1750" i="1"/>
  <c r="H1750" i="1" s="1"/>
  <c r="G1749" i="1"/>
  <c r="H1749" i="1" s="1"/>
  <c r="G1748" i="1"/>
  <c r="H1748" i="1" s="1"/>
  <c r="G1747" i="1"/>
  <c r="H1747" i="1" s="1"/>
  <c r="G1746" i="1"/>
  <c r="H1746" i="1" s="1"/>
  <c r="G1745" i="1"/>
  <c r="G1744" i="1"/>
  <c r="H1744" i="1" s="1"/>
  <c r="G1743" i="1"/>
  <c r="H1743" i="1" s="1"/>
  <c r="G1742" i="1"/>
  <c r="H1742" i="1" s="1"/>
  <c r="G1741" i="1"/>
  <c r="H1741" i="1" s="1"/>
  <c r="G1740" i="1"/>
  <c r="H1740" i="1" s="1"/>
  <c r="G1739" i="1"/>
  <c r="H1739" i="1" s="1"/>
  <c r="G1738" i="1"/>
  <c r="H1738" i="1" s="1"/>
  <c r="G1737" i="1"/>
  <c r="H1737" i="1" s="1"/>
  <c r="G1736" i="1"/>
  <c r="H1736" i="1" s="1"/>
  <c r="G1735" i="1"/>
  <c r="H1735" i="1" s="1"/>
  <c r="G1734" i="1"/>
  <c r="H1734" i="1" s="1"/>
  <c r="G1733" i="1"/>
  <c r="H1733" i="1" s="1"/>
  <c r="G1732" i="1"/>
  <c r="H1732" i="1" s="1"/>
  <c r="G1731" i="1"/>
  <c r="H1731" i="1" s="1"/>
  <c r="G1730" i="1"/>
  <c r="H1730" i="1" s="1"/>
  <c r="G1729" i="1"/>
  <c r="H1729" i="1" s="1"/>
  <c r="G1728" i="1"/>
  <c r="H1728" i="1" s="1"/>
  <c r="G1727" i="1"/>
  <c r="H1727" i="1" s="1"/>
  <c r="G1726" i="1"/>
  <c r="H1726" i="1" s="1"/>
  <c r="G1725" i="1"/>
  <c r="H1725" i="1" s="1"/>
  <c r="G1724" i="1"/>
  <c r="H1724" i="1" s="1"/>
  <c r="G1723" i="1"/>
  <c r="H1723" i="1" s="1"/>
  <c r="G1722" i="1"/>
  <c r="H1722" i="1" s="1"/>
  <c r="G1721" i="1"/>
  <c r="G1720" i="1"/>
  <c r="H1720" i="1" s="1"/>
  <c r="G1719" i="1"/>
  <c r="H1719" i="1" s="1"/>
  <c r="G1718" i="1"/>
  <c r="H1718" i="1" s="1"/>
  <c r="G1717" i="1"/>
  <c r="H1717" i="1" s="1"/>
  <c r="G1716" i="1"/>
  <c r="H1716" i="1" s="1"/>
  <c r="G1715" i="1"/>
  <c r="H1715" i="1" s="1"/>
  <c r="G1714" i="1"/>
  <c r="H1714" i="1" s="1"/>
  <c r="G1713" i="1"/>
  <c r="H1713" i="1" s="1"/>
  <c r="G1712" i="1"/>
  <c r="H1712" i="1" s="1"/>
  <c r="G1711" i="1"/>
  <c r="H1711" i="1" s="1"/>
  <c r="G1710" i="1"/>
  <c r="H1710" i="1" s="1"/>
  <c r="G1709" i="1"/>
  <c r="H1709" i="1" s="1"/>
  <c r="G1708" i="1"/>
  <c r="H1708" i="1" s="1"/>
  <c r="G1707" i="1"/>
  <c r="H1707" i="1" s="1"/>
  <c r="G1706" i="1"/>
  <c r="H1706" i="1" s="1"/>
  <c r="G1705" i="1"/>
  <c r="H1705" i="1" s="1"/>
  <c r="G1704" i="1"/>
  <c r="H1704" i="1" s="1"/>
  <c r="G1703" i="1"/>
  <c r="H1703" i="1" s="1"/>
  <c r="G1702" i="1"/>
  <c r="H1702" i="1" s="1"/>
  <c r="G1701" i="1"/>
  <c r="H1701" i="1" s="1"/>
  <c r="G1700" i="1"/>
  <c r="H1700" i="1" s="1"/>
  <c r="G1699" i="1"/>
  <c r="H1699" i="1" s="1"/>
  <c r="G1698" i="1"/>
  <c r="H1698" i="1" s="1"/>
  <c r="G1697" i="1"/>
  <c r="H1697" i="1" s="1"/>
  <c r="G1696" i="1"/>
  <c r="H1696" i="1" s="1"/>
  <c r="G1695" i="1"/>
  <c r="H1695" i="1" s="1"/>
  <c r="G1694" i="1"/>
  <c r="H1694" i="1" s="1"/>
  <c r="G1693" i="1"/>
  <c r="H1693" i="1" s="1"/>
  <c r="G1692" i="1"/>
  <c r="H1692" i="1" s="1"/>
  <c r="G1691" i="1"/>
  <c r="H1691" i="1" s="1"/>
  <c r="G1690" i="1"/>
  <c r="H1690" i="1" s="1"/>
  <c r="G1689" i="1"/>
  <c r="H1689" i="1" s="1"/>
  <c r="G1688" i="1"/>
  <c r="H1688" i="1" s="1"/>
  <c r="G1687" i="1"/>
  <c r="H1687" i="1" s="1"/>
  <c r="G1686" i="1"/>
  <c r="H1686" i="1" s="1"/>
  <c r="G1685" i="1"/>
  <c r="H1685" i="1" s="1"/>
  <c r="G1684" i="1"/>
  <c r="H1684" i="1" s="1"/>
  <c r="G1683" i="1"/>
  <c r="H1683" i="1" s="1"/>
  <c r="G1682" i="1"/>
  <c r="H1682" i="1" s="1"/>
  <c r="G1681" i="1"/>
  <c r="H1681" i="1" s="1"/>
  <c r="G1680" i="1"/>
  <c r="H1680" i="1" s="1"/>
  <c r="G1679" i="1"/>
  <c r="H1679" i="1" s="1"/>
  <c r="G1678" i="1"/>
  <c r="H1678" i="1" s="1"/>
  <c r="G1677" i="1"/>
  <c r="H1677" i="1" s="1"/>
  <c r="G1676" i="1"/>
  <c r="H1676" i="1" s="1"/>
  <c r="G1675" i="1"/>
  <c r="H1675" i="1" s="1"/>
  <c r="G1674" i="1"/>
  <c r="H1674" i="1" s="1"/>
  <c r="G1673" i="1"/>
  <c r="G1672" i="1"/>
  <c r="H1672" i="1" s="1"/>
  <c r="G1671" i="1"/>
  <c r="H1671" i="1" s="1"/>
  <c r="G1670" i="1"/>
  <c r="H1670" i="1" s="1"/>
  <c r="G1669" i="1"/>
  <c r="H1669" i="1" s="1"/>
  <c r="G1668" i="1"/>
  <c r="H1668" i="1" s="1"/>
  <c r="G1667" i="1"/>
  <c r="G1666" i="1"/>
  <c r="H1666" i="1" s="1"/>
  <c r="G1665" i="1"/>
  <c r="H1665" i="1" s="1"/>
  <c r="G1664" i="1"/>
  <c r="H1664" i="1" s="1"/>
  <c r="G1663" i="1"/>
  <c r="H1663" i="1" s="1"/>
  <c r="G1662" i="1"/>
  <c r="H1662" i="1" s="1"/>
  <c r="G1661" i="1"/>
  <c r="H1661" i="1" s="1"/>
  <c r="G1660" i="1"/>
  <c r="H1660" i="1" s="1"/>
  <c r="G1659" i="1"/>
  <c r="H1659" i="1" s="1"/>
  <c r="G1658" i="1"/>
  <c r="H1658" i="1" s="1"/>
  <c r="G1657" i="1"/>
  <c r="H1657" i="1" s="1"/>
  <c r="G1656" i="1"/>
  <c r="H1656" i="1" s="1"/>
  <c r="G1655" i="1"/>
  <c r="H1655" i="1" s="1"/>
  <c r="G1654" i="1"/>
  <c r="H1654" i="1" s="1"/>
  <c r="G1653" i="1"/>
  <c r="H1653" i="1" s="1"/>
  <c r="G1652" i="1"/>
  <c r="H1652" i="1" s="1"/>
  <c r="G1651" i="1"/>
  <c r="H1651" i="1" s="1"/>
  <c r="G1650" i="1"/>
  <c r="H1650" i="1" s="1"/>
  <c r="G1649" i="1"/>
  <c r="G1648" i="1"/>
  <c r="H1648" i="1" s="1"/>
  <c r="G1647" i="1"/>
  <c r="H1647" i="1" s="1"/>
  <c r="G1646" i="1"/>
  <c r="H1646" i="1" s="1"/>
  <c r="G1645" i="1"/>
  <c r="H1645" i="1" s="1"/>
  <c r="G1644" i="1"/>
  <c r="H1644" i="1" s="1"/>
  <c r="G1643" i="1"/>
  <c r="H1643" i="1" s="1"/>
  <c r="G1642" i="1"/>
  <c r="H1642" i="1" s="1"/>
  <c r="G1641" i="1"/>
  <c r="H1641" i="1" s="1"/>
  <c r="G1640" i="1"/>
  <c r="H1640" i="1" s="1"/>
  <c r="G1639" i="1"/>
  <c r="H1639" i="1" s="1"/>
  <c r="G1638" i="1"/>
  <c r="H1638" i="1" s="1"/>
  <c r="G1637" i="1"/>
  <c r="H1637" i="1" s="1"/>
  <c r="G1636" i="1"/>
  <c r="H1636" i="1" s="1"/>
  <c r="G1635" i="1"/>
  <c r="H1635" i="1" s="1"/>
  <c r="G1634" i="1"/>
  <c r="H1634" i="1" s="1"/>
  <c r="G1633" i="1"/>
  <c r="H1633" i="1" s="1"/>
  <c r="G1632" i="1"/>
  <c r="H1632" i="1" s="1"/>
  <c r="G1631" i="1"/>
  <c r="H1631" i="1" s="1"/>
  <c r="G1630" i="1"/>
  <c r="H1630" i="1" s="1"/>
  <c r="G1629" i="1"/>
  <c r="H1629" i="1" s="1"/>
  <c r="G1628" i="1"/>
  <c r="H1628" i="1" s="1"/>
  <c r="G1627" i="1"/>
  <c r="H1627" i="1" s="1"/>
  <c r="G1626" i="1"/>
  <c r="H1626" i="1" s="1"/>
  <c r="G1625" i="1"/>
  <c r="G1624" i="1"/>
  <c r="H1624" i="1" s="1"/>
  <c r="G1623" i="1"/>
  <c r="H1623" i="1" s="1"/>
  <c r="G1622" i="1"/>
  <c r="H1622" i="1" s="1"/>
  <c r="G1621" i="1"/>
  <c r="H1621" i="1" s="1"/>
  <c r="G1620" i="1"/>
  <c r="H1620" i="1" s="1"/>
  <c r="G1619" i="1"/>
  <c r="H1619" i="1" s="1"/>
  <c r="G1618" i="1"/>
  <c r="H1618" i="1" s="1"/>
  <c r="G1617" i="1"/>
  <c r="H1617" i="1" s="1"/>
  <c r="G1616" i="1"/>
  <c r="H1616" i="1" s="1"/>
  <c r="G1615" i="1"/>
  <c r="H1615" i="1" s="1"/>
  <c r="G1614" i="1"/>
  <c r="H1614" i="1" s="1"/>
  <c r="G1613" i="1"/>
  <c r="H1613" i="1" s="1"/>
  <c r="G1612" i="1"/>
  <c r="H1612" i="1" s="1"/>
  <c r="G1611" i="1"/>
  <c r="H1611" i="1" s="1"/>
  <c r="G1610" i="1"/>
  <c r="H1610" i="1" s="1"/>
  <c r="G1609" i="1"/>
  <c r="H1609" i="1" s="1"/>
  <c r="G1608" i="1"/>
  <c r="H1608" i="1" s="1"/>
  <c r="G1607" i="1"/>
  <c r="H1607" i="1" s="1"/>
  <c r="G1606" i="1"/>
  <c r="H1606" i="1" s="1"/>
  <c r="G1605" i="1"/>
  <c r="H1605" i="1" s="1"/>
  <c r="G1604" i="1"/>
  <c r="H1604" i="1" s="1"/>
  <c r="G1603" i="1"/>
  <c r="H1603" i="1" s="1"/>
  <c r="G1602" i="1"/>
  <c r="H1602" i="1" s="1"/>
  <c r="G1601" i="1"/>
  <c r="G1600" i="1"/>
  <c r="H1600" i="1" s="1"/>
  <c r="G1599" i="1"/>
  <c r="H1599" i="1" s="1"/>
  <c r="G1598" i="1"/>
  <c r="H1598" i="1" s="1"/>
  <c r="G1597" i="1"/>
  <c r="H1597" i="1" s="1"/>
  <c r="G1596" i="1"/>
  <c r="H1596" i="1" s="1"/>
  <c r="G1595" i="1"/>
  <c r="H1595" i="1" s="1"/>
  <c r="G1594" i="1"/>
  <c r="H1594" i="1" s="1"/>
  <c r="G1593" i="1"/>
  <c r="H1593" i="1" s="1"/>
  <c r="G1592" i="1"/>
  <c r="H1592" i="1" s="1"/>
  <c r="G1591" i="1"/>
  <c r="H1591" i="1" s="1"/>
  <c r="G1590" i="1"/>
  <c r="H1590" i="1" s="1"/>
  <c r="G1589" i="1"/>
  <c r="H1589" i="1" s="1"/>
  <c r="G1588" i="1"/>
  <c r="H1588" i="1" s="1"/>
  <c r="G1587" i="1"/>
  <c r="H1587" i="1" s="1"/>
  <c r="G1586" i="1"/>
  <c r="H1586" i="1" s="1"/>
  <c r="G1585" i="1"/>
  <c r="H1585" i="1" s="1"/>
  <c r="G1584" i="1"/>
  <c r="H1584" i="1" s="1"/>
  <c r="G1583" i="1"/>
  <c r="H1583" i="1" s="1"/>
  <c r="G1582" i="1"/>
  <c r="H1582" i="1" s="1"/>
  <c r="G1581" i="1"/>
  <c r="H1581" i="1" s="1"/>
  <c r="G1580" i="1"/>
  <c r="H1580" i="1" s="1"/>
  <c r="G1579" i="1"/>
  <c r="H1579" i="1" s="1"/>
  <c r="G1578" i="1"/>
  <c r="H1578" i="1" s="1"/>
  <c r="G1577" i="1"/>
  <c r="G1576" i="1"/>
  <c r="H1576" i="1" s="1"/>
  <c r="G1575" i="1"/>
  <c r="H1575" i="1" s="1"/>
  <c r="G1574" i="1"/>
  <c r="H1574" i="1" s="1"/>
  <c r="G1573" i="1"/>
  <c r="H1573" i="1" s="1"/>
  <c r="G1572" i="1"/>
  <c r="H1572" i="1" s="1"/>
  <c r="G1571" i="1"/>
  <c r="H1571" i="1" s="1"/>
  <c r="G1570" i="1"/>
  <c r="H1570" i="1" s="1"/>
  <c r="G1569" i="1"/>
  <c r="H1569" i="1" s="1"/>
  <c r="G1568" i="1"/>
  <c r="H1568" i="1" s="1"/>
  <c r="G1567" i="1"/>
  <c r="H1567" i="1" s="1"/>
  <c r="G1566" i="1"/>
  <c r="H1566" i="1" s="1"/>
  <c r="G1565" i="1"/>
  <c r="H1565" i="1" s="1"/>
  <c r="G1564" i="1"/>
  <c r="H1564" i="1" s="1"/>
  <c r="G1563" i="1"/>
  <c r="H1563" i="1" s="1"/>
  <c r="G1562" i="1"/>
  <c r="H1562" i="1" s="1"/>
  <c r="G1561" i="1"/>
  <c r="H1561" i="1" s="1"/>
  <c r="G1560" i="1"/>
  <c r="H1560" i="1" s="1"/>
  <c r="G1559" i="1"/>
  <c r="H1559" i="1" s="1"/>
  <c r="G1558" i="1"/>
  <c r="H1558" i="1" s="1"/>
  <c r="G1557" i="1"/>
  <c r="H1557" i="1" s="1"/>
  <c r="G1556" i="1"/>
  <c r="H1556" i="1" s="1"/>
  <c r="G1555" i="1"/>
  <c r="H1555" i="1" s="1"/>
  <c r="G1554" i="1"/>
  <c r="H1554" i="1" s="1"/>
  <c r="G1553" i="1"/>
  <c r="H1553" i="1" s="1"/>
  <c r="G1552" i="1"/>
  <c r="H1552" i="1" s="1"/>
  <c r="G1551" i="1"/>
  <c r="H1551" i="1" s="1"/>
  <c r="G1550" i="1"/>
  <c r="H1550" i="1" s="1"/>
  <c r="G1549" i="1"/>
  <c r="H1549" i="1" s="1"/>
  <c r="G1548" i="1"/>
  <c r="H1548" i="1" s="1"/>
  <c r="G1547" i="1"/>
  <c r="H1547" i="1" s="1"/>
  <c r="G1546" i="1"/>
  <c r="H1546" i="1" s="1"/>
  <c r="G1545" i="1"/>
  <c r="H1545" i="1" s="1"/>
  <c r="G1544" i="1"/>
  <c r="H1544" i="1" s="1"/>
  <c r="G1543" i="1"/>
  <c r="H1543" i="1" s="1"/>
  <c r="G1542" i="1"/>
  <c r="H1542" i="1" s="1"/>
  <c r="G1541" i="1"/>
  <c r="H1541" i="1" s="1"/>
  <c r="G1540" i="1"/>
  <c r="H1540" i="1" s="1"/>
  <c r="G1539" i="1"/>
  <c r="H1539" i="1" s="1"/>
  <c r="G1538" i="1"/>
  <c r="H1538" i="1" s="1"/>
  <c r="G1537" i="1"/>
  <c r="H1537" i="1" s="1"/>
  <c r="G1536" i="1"/>
  <c r="H1536" i="1" s="1"/>
  <c r="G1535" i="1"/>
  <c r="H1535" i="1" s="1"/>
  <c r="G1534" i="1"/>
  <c r="H1534" i="1" s="1"/>
  <c r="G1533" i="1"/>
  <c r="H1533" i="1" s="1"/>
  <c r="G1532" i="1"/>
  <c r="H1532" i="1" s="1"/>
  <c r="G1531" i="1"/>
  <c r="H1531" i="1" s="1"/>
  <c r="G1530" i="1"/>
  <c r="H1530" i="1" s="1"/>
  <c r="G1529" i="1"/>
  <c r="G1528" i="1"/>
  <c r="H1528" i="1" s="1"/>
  <c r="G1527" i="1"/>
  <c r="H1527" i="1" s="1"/>
  <c r="G1526" i="1"/>
  <c r="H1526" i="1" s="1"/>
  <c r="G1525" i="1"/>
  <c r="H1525" i="1" s="1"/>
  <c r="G1524" i="1"/>
  <c r="H1524" i="1" s="1"/>
  <c r="G1523" i="1"/>
  <c r="G1522" i="1"/>
  <c r="H1522" i="1" s="1"/>
  <c r="G1521" i="1"/>
  <c r="H1521" i="1" s="1"/>
  <c r="G1520" i="1"/>
  <c r="H1520" i="1" s="1"/>
  <c r="G1519" i="1"/>
  <c r="H1519" i="1" s="1"/>
  <c r="G1518" i="1"/>
  <c r="H1518" i="1" s="1"/>
  <c r="G1517" i="1"/>
  <c r="H1517" i="1" s="1"/>
  <c r="G1516" i="1"/>
  <c r="H1516" i="1" s="1"/>
  <c r="G1515" i="1"/>
  <c r="H1515" i="1" s="1"/>
  <c r="G1514" i="1"/>
  <c r="H1514" i="1" s="1"/>
  <c r="G1513" i="1"/>
  <c r="H1513" i="1" s="1"/>
  <c r="G1512" i="1"/>
  <c r="H1512" i="1" s="1"/>
  <c r="G1511" i="1"/>
  <c r="H1511" i="1" s="1"/>
  <c r="G1510" i="1"/>
  <c r="H1510" i="1" s="1"/>
  <c r="G1509" i="1"/>
  <c r="H1509" i="1" s="1"/>
  <c r="G1508" i="1"/>
  <c r="H1508" i="1" s="1"/>
  <c r="G1507" i="1"/>
  <c r="H1507" i="1" s="1"/>
  <c r="G1506" i="1"/>
  <c r="H1506" i="1" s="1"/>
  <c r="G1505" i="1"/>
  <c r="G1504" i="1"/>
  <c r="H1504" i="1" s="1"/>
  <c r="G1503" i="1"/>
  <c r="H1503" i="1" s="1"/>
  <c r="G1502" i="1"/>
  <c r="H1502" i="1" s="1"/>
  <c r="G1501" i="1"/>
  <c r="H1501" i="1" s="1"/>
  <c r="G1500" i="1"/>
  <c r="H1500" i="1" s="1"/>
  <c r="G1499" i="1"/>
  <c r="H1499" i="1" s="1"/>
  <c r="G1498" i="1"/>
  <c r="H1498" i="1" s="1"/>
  <c r="G1497" i="1"/>
  <c r="H1497" i="1" s="1"/>
  <c r="G1496" i="1"/>
  <c r="H1496" i="1" s="1"/>
  <c r="G1495" i="1"/>
  <c r="H1495" i="1" s="1"/>
  <c r="G1494" i="1"/>
  <c r="H1494" i="1" s="1"/>
  <c r="G1493" i="1"/>
  <c r="H1493" i="1" s="1"/>
  <c r="G1492" i="1"/>
  <c r="H1492" i="1" s="1"/>
  <c r="G1491" i="1"/>
  <c r="H1491" i="1" s="1"/>
  <c r="G1490" i="1"/>
  <c r="H1490" i="1" s="1"/>
  <c r="G1489" i="1"/>
  <c r="H1489" i="1" s="1"/>
  <c r="G1488" i="1"/>
  <c r="H1488" i="1" s="1"/>
  <c r="G1487" i="1"/>
  <c r="H1487" i="1" s="1"/>
  <c r="G1486" i="1"/>
  <c r="H1486" i="1" s="1"/>
  <c r="G1485" i="1"/>
  <c r="H1485" i="1" s="1"/>
  <c r="G1484" i="1"/>
  <c r="H1484" i="1" s="1"/>
  <c r="G1483" i="1"/>
  <c r="H1483" i="1" s="1"/>
  <c r="G1482" i="1"/>
  <c r="H1482" i="1" s="1"/>
  <c r="G1481" i="1"/>
  <c r="G1480" i="1"/>
  <c r="H1480" i="1" s="1"/>
  <c r="G1479" i="1"/>
  <c r="H1479" i="1" s="1"/>
  <c r="G1478" i="1"/>
  <c r="G1477" i="1"/>
  <c r="H1477" i="1" s="1"/>
  <c r="G1476" i="1"/>
  <c r="H1476" i="1" s="1"/>
  <c r="G1475" i="1"/>
  <c r="H1475" i="1" s="1"/>
  <c r="G1474" i="1"/>
  <c r="H1474" i="1" s="1"/>
  <c r="G1473" i="1"/>
  <c r="H1473" i="1" s="1"/>
  <c r="G1472" i="1"/>
  <c r="H1472" i="1" s="1"/>
  <c r="G1471" i="1"/>
  <c r="H1471" i="1" s="1"/>
  <c r="G1470" i="1"/>
  <c r="H1470" i="1" s="1"/>
  <c r="G1469" i="1"/>
  <c r="G1468" i="1"/>
  <c r="H1468" i="1" s="1"/>
  <c r="G1467" i="1"/>
  <c r="H1467" i="1" s="1"/>
  <c r="G1466" i="1"/>
  <c r="H1466" i="1" s="1"/>
  <c r="G1465" i="1"/>
  <c r="H1465" i="1" s="1"/>
  <c r="G1464" i="1"/>
  <c r="H1464" i="1" s="1"/>
  <c r="G1463" i="1"/>
  <c r="H1463" i="1" s="1"/>
  <c r="G1462" i="1"/>
  <c r="H1462" i="1" s="1"/>
  <c r="G1461" i="1"/>
  <c r="H1461" i="1" s="1"/>
  <c r="G1460" i="1"/>
  <c r="H1460" i="1" s="1"/>
  <c r="G1459" i="1"/>
  <c r="H1459" i="1" s="1"/>
  <c r="G1458" i="1"/>
  <c r="H1458" i="1" s="1"/>
  <c r="G1457" i="1"/>
  <c r="H1457" i="1" s="1"/>
  <c r="G1456" i="1"/>
  <c r="H1456" i="1" s="1"/>
  <c r="G1455" i="1"/>
  <c r="H1455" i="1" s="1"/>
  <c r="G1454" i="1"/>
  <c r="H1454" i="1" s="1"/>
  <c r="G1453" i="1"/>
  <c r="H1453" i="1" s="1"/>
  <c r="G1452" i="1"/>
  <c r="H1452" i="1" s="1"/>
  <c r="G1451" i="1"/>
  <c r="H1451" i="1" s="1"/>
  <c r="G1450" i="1"/>
  <c r="H1450" i="1" s="1"/>
  <c r="G1449" i="1"/>
  <c r="H1449" i="1" s="1"/>
  <c r="G1448" i="1"/>
  <c r="H1448" i="1" s="1"/>
  <c r="G1447" i="1"/>
  <c r="H1447" i="1" s="1"/>
  <c r="G1446" i="1"/>
  <c r="H1446" i="1" s="1"/>
  <c r="G1445" i="1"/>
  <c r="H1445" i="1" s="1"/>
  <c r="G1444" i="1"/>
  <c r="H1444" i="1" s="1"/>
  <c r="G1443" i="1"/>
  <c r="H1443" i="1" s="1"/>
  <c r="G1442" i="1"/>
  <c r="H1442" i="1" s="1"/>
  <c r="G1441" i="1"/>
  <c r="H1441" i="1" s="1"/>
  <c r="G1440" i="1"/>
  <c r="H1440" i="1" s="1"/>
  <c r="G1439" i="1"/>
  <c r="H1439" i="1" s="1"/>
  <c r="G1438" i="1"/>
  <c r="H1438" i="1" s="1"/>
  <c r="G1437" i="1"/>
  <c r="H1437" i="1" s="1"/>
  <c r="G1436" i="1"/>
  <c r="H1436" i="1" s="1"/>
  <c r="G1435" i="1"/>
  <c r="H1435" i="1" s="1"/>
  <c r="G1434" i="1"/>
  <c r="H1434" i="1" s="1"/>
  <c r="G1433" i="1"/>
  <c r="G1432" i="1"/>
  <c r="G1431" i="1"/>
  <c r="H1431" i="1" s="1"/>
  <c r="G1430" i="1"/>
  <c r="H1430" i="1" s="1"/>
  <c r="G1429" i="1"/>
  <c r="H1429" i="1" s="1"/>
  <c r="G1428" i="1"/>
  <c r="H1428" i="1" s="1"/>
  <c r="G1427" i="1"/>
  <c r="H1427" i="1" s="1"/>
  <c r="G1426" i="1"/>
  <c r="H1426" i="1" s="1"/>
  <c r="G1425" i="1"/>
  <c r="H1425" i="1" s="1"/>
  <c r="G1424" i="1"/>
  <c r="H1424" i="1" s="1"/>
  <c r="G1423" i="1"/>
  <c r="H1423" i="1" s="1"/>
  <c r="G1422" i="1"/>
  <c r="H1422" i="1" s="1"/>
  <c r="G1421" i="1"/>
  <c r="H1421" i="1" s="1"/>
  <c r="G1420" i="1"/>
  <c r="H1420" i="1" s="1"/>
  <c r="G1419" i="1"/>
  <c r="H1419" i="1" s="1"/>
  <c r="G1418" i="1"/>
  <c r="H1418" i="1" s="1"/>
  <c r="G1417" i="1"/>
  <c r="H1417" i="1" s="1"/>
  <c r="G1416" i="1"/>
  <c r="H1416" i="1" s="1"/>
  <c r="G1415" i="1"/>
  <c r="H1415" i="1" s="1"/>
  <c r="G1414" i="1"/>
  <c r="H1414" i="1" s="1"/>
  <c r="G1413" i="1"/>
  <c r="H1413" i="1" s="1"/>
  <c r="G1412" i="1"/>
  <c r="H1412" i="1" s="1"/>
  <c r="G1411" i="1"/>
  <c r="H1411" i="1" s="1"/>
  <c r="G1410" i="1"/>
  <c r="H1410" i="1" s="1"/>
  <c r="G1409" i="1"/>
  <c r="H1409" i="1" s="1"/>
  <c r="G1408" i="1"/>
  <c r="H1408" i="1" s="1"/>
  <c r="G1407" i="1"/>
  <c r="H1407" i="1" s="1"/>
  <c r="G1406" i="1"/>
  <c r="H1406" i="1" s="1"/>
  <c r="G1405" i="1"/>
  <c r="H1405" i="1" s="1"/>
  <c r="G1404" i="1"/>
  <c r="H1404" i="1" s="1"/>
  <c r="G1403" i="1"/>
  <c r="H1403" i="1" s="1"/>
  <c r="G1402" i="1"/>
  <c r="H1402" i="1" s="1"/>
  <c r="G1401" i="1"/>
  <c r="H1401" i="1" s="1"/>
  <c r="G1400" i="1"/>
  <c r="H1400" i="1" s="1"/>
  <c r="G1399" i="1"/>
  <c r="H1399" i="1" s="1"/>
  <c r="G1398" i="1"/>
  <c r="H1398" i="1" s="1"/>
  <c r="G1397" i="1"/>
  <c r="H1397" i="1" s="1"/>
  <c r="G1396" i="1"/>
  <c r="H1396" i="1" s="1"/>
  <c r="G1395" i="1"/>
  <c r="H1395" i="1" s="1"/>
  <c r="G1394" i="1"/>
  <c r="H1394" i="1" s="1"/>
  <c r="G1393" i="1"/>
  <c r="H1393" i="1" s="1"/>
  <c r="G1392" i="1"/>
  <c r="H1392" i="1" s="1"/>
  <c r="G1391" i="1"/>
  <c r="H1391" i="1" s="1"/>
  <c r="G1390" i="1"/>
  <c r="H1390" i="1" s="1"/>
  <c r="G1389" i="1"/>
  <c r="H1389" i="1" s="1"/>
  <c r="G1388" i="1"/>
  <c r="H1388" i="1" s="1"/>
  <c r="G1387" i="1"/>
  <c r="H1387" i="1" s="1"/>
  <c r="G1386" i="1"/>
  <c r="H1386" i="1" s="1"/>
  <c r="G1385" i="1"/>
  <c r="H1385" i="1" s="1"/>
  <c r="G1384" i="1"/>
  <c r="H1384" i="1" s="1"/>
  <c r="G1383" i="1"/>
  <c r="H1383" i="1" s="1"/>
  <c r="G1382" i="1"/>
  <c r="H1382" i="1" s="1"/>
  <c r="G1381" i="1"/>
  <c r="H1381" i="1" s="1"/>
  <c r="G1380" i="1"/>
  <c r="H1380" i="1" s="1"/>
  <c r="G1379" i="1"/>
  <c r="H1379" i="1" s="1"/>
  <c r="G1378" i="1"/>
  <c r="H1378" i="1" s="1"/>
  <c r="G1377" i="1"/>
  <c r="H1377" i="1" s="1"/>
  <c r="G1376" i="1"/>
  <c r="H1376" i="1" s="1"/>
  <c r="G1375" i="1"/>
  <c r="H1375" i="1" s="1"/>
  <c r="G1374" i="1"/>
  <c r="H1374" i="1" s="1"/>
  <c r="G1373" i="1"/>
  <c r="H1373" i="1" s="1"/>
  <c r="G1372" i="1"/>
  <c r="H1372" i="1" s="1"/>
  <c r="G1371" i="1"/>
  <c r="H1371" i="1" s="1"/>
  <c r="G1370" i="1"/>
  <c r="H1370" i="1" s="1"/>
  <c r="G1369" i="1"/>
  <c r="H1369" i="1" s="1"/>
  <c r="G1368" i="1"/>
  <c r="H1368" i="1" s="1"/>
  <c r="G1367" i="1"/>
  <c r="H1367" i="1" s="1"/>
  <c r="G1366" i="1"/>
  <c r="H1366" i="1" s="1"/>
  <c r="G1365" i="1"/>
  <c r="H1365" i="1" s="1"/>
  <c r="G1364" i="1"/>
  <c r="H1364" i="1" s="1"/>
  <c r="G1363" i="1"/>
  <c r="H1363" i="1" s="1"/>
  <c r="G1362" i="1"/>
  <c r="H1362" i="1" s="1"/>
  <c r="G1361" i="1"/>
  <c r="G1360" i="1"/>
  <c r="H1360" i="1" s="1"/>
  <c r="G1359" i="1"/>
  <c r="H1359" i="1" s="1"/>
  <c r="G1358" i="1"/>
  <c r="H1358" i="1" s="1"/>
  <c r="G1357" i="1"/>
  <c r="H1357" i="1" s="1"/>
  <c r="G1356" i="1"/>
  <c r="H1356" i="1" s="1"/>
  <c r="G1355" i="1"/>
  <c r="H1355" i="1" s="1"/>
  <c r="G1354" i="1"/>
  <c r="H1354" i="1" s="1"/>
  <c r="G1353" i="1"/>
  <c r="H1353" i="1" s="1"/>
  <c r="G1352" i="1"/>
  <c r="H1352" i="1" s="1"/>
  <c r="G1351" i="1"/>
  <c r="H1351" i="1" s="1"/>
  <c r="G1350" i="1"/>
  <c r="H1350" i="1" s="1"/>
  <c r="G1349" i="1"/>
  <c r="H1349" i="1" s="1"/>
  <c r="G1348" i="1"/>
  <c r="H1348" i="1" s="1"/>
  <c r="G1347" i="1"/>
  <c r="H1347" i="1" s="1"/>
  <c r="G1346" i="1"/>
  <c r="H1346" i="1" s="1"/>
  <c r="G1345" i="1"/>
  <c r="H1345" i="1" s="1"/>
  <c r="G1344" i="1"/>
  <c r="H1344" i="1" s="1"/>
  <c r="G1343" i="1"/>
  <c r="H1343" i="1" s="1"/>
  <c r="G1342" i="1"/>
  <c r="H1342" i="1" s="1"/>
  <c r="G1341" i="1"/>
  <c r="H1341" i="1" s="1"/>
  <c r="G1340" i="1"/>
  <c r="H1340" i="1" s="1"/>
  <c r="G1339" i="1"/>
  <c r="H1339" i="1" s="1"/>
  <c r="G1338" i="1"/>
  <c r="H1338" i="1" s="1"/>
  <c r="G1337" i="1"/>
  <c r="H1337" i="1" s="1"/>
  <c r="G1336" i="1"/>
  <c r="H1336" i="1" s="1"/>
  <c r="G1335" i="1"/>
  <c r="H1335" i="1" s="1"/>
  <c r="G1334" i="1"/>
  <c r="H1334" i="1" s="1"/>
  <c r="G1333" i="1"/>
  <c r="H1333" i="1" s="1"/>
  <c r="G1332" i="1"/>
  <c r="H1332" i="1" s="1"/>
  <c r="G1331" i="1"/>
  <c r="H1331" i="1" s="1"/>
  <c r="G1330" i="1"/>
  <c r="H1330" i="1" s="1"/>
  <c r="G1329" i="1"/>
  <c r="H1329" i="1" s="1"/>
  <c r="G1328" i="1"/>
  <c r="H1328" i="1" s="1"/>
  <c r="G1327" i="1"/>
  <c r="H1327" i="1" s="1"/>
  <c r="G1326" i="1"/>
  <c r="H1326" i="1" s="1"/>
  <c r="G1325" i="1"/>
  <c r="H1325" i="1" s="1"/>
  <c r="G1324" i="1"/>
  <c r="H1324" i="1" s="1"/>
  <c r="G1323" i="1"/>
  <c r="H1323" i="1" s="1"/>
  <c r="G1322" i="1"/>
  <c r="H1322" i="1" s="1"/>
  <c r="G1321" i="1"/>
  <c r="H1321" i="1" s="1"/>
  <c r="G1320" i="1"/>
  <c r="H1320" i="1" s="1"/>
  <c r="G1319" i="1"/>
  <c r="H1319" i="1" s="1"/>
  <c r="G1318" i="1"/>
  <c r="H1318" i="1" s="1"/>
  <c r="G1317" i="1"/>
  <c r="H1317" i="1" s="1"/>
  <c r="G1316" i="1"/>
  <c r="H1316" i="1" s="1"/>
  <c r="G1315" i="1"/>
  <c r="H1315" i="1" s="1"/>
  <c r="G1314" i="1"/>
  <c r="H1314" i="1" s="1"/>
  <c r="G1313" i="1"/>
  <c r="H1313" i="1" s="1"/>
  <c r="G1312" i="1"/>
  <c r="H1312" i="1" s="1"/>
  <c r="G1311" i="1"/>
  <c r="H1311" i="1" s="1"/>
  <c r="G1310" i="1"/>
  <c r="H1310" i="1" s="1"/>
  <c r="G1309" i="1"/>
  <c r="H1309" i="1" s="1"/>
  <c r="G1308" i="1"/>
  <c r="H1308" i="1" s="1"/>
  <c r="G1307" i="1"/>
  <c r="H1307" i="1" s="1"/>
  <c r="G1306" i="1"/>
  <c r="G1305" i="1"/>
  <c r="H1305" i="1" s="1"/>
  <c r="G1304" i="1"/>
  <c r="H1304" i="1" s="1"/>
  <c r="G1303" i="1"/>
  <c r="H1303" i="1" s="1"/>
  <c r="G1302" i="1"/>
  <c r="H1302" i="1" s="1"/>
  <c r="G1301" i="1"/>
  <c r="H1301" i="1" s="1"/>
  <c r="G1300" i="1"/>
  <c r="H1300" i="1" s="1"/>
  <c r="G1299" i="1"/>
  <c r="H1299" i="1" s="1"/>
  <c r="G1298" i="1"/>
  <c r="H1298" i="1" s="1"/>
  <c r="G1297" i="1"/>
  <c r="H1297" i="1" s="1"/>
  <c r="G1296" i="1"/>
  <c r="H1296" i="1" s="1"/>
  <c r="G1295" i="1"/>
  <c r="H1295" i="1" s="1"/>
  <c r="G1294" i="1"/>
  <c r="H1294" i="1" s="1"/>
  <c r="G1293" i="1"/>
  <c r="H1293" i="1" s="1"/>
  <c r="G1292" i="1"/>
  <c r="H1292" i="1" s="1"/>
  <c r="G1291" i="1"/>
  <c r="H1291" i="1" s="1"/>
  <c r="G1290" i="1"/>
  <c r="H1290" i="1" s="1"/>
  <c r="G1289" i="1"/>
  <c r="H1289" i="1" s="1"/>
  <c r="G1288" i="1"/>
  <c r="H1288" i="1" s="1"/>
  <c r="G1287" i="1"/>
  <c r="H1287" i="1" s="1"/>
  <c r="G1286" i="1"/>
  <c r="G1285" i="1"/>
  <c r="H1285" i="1" s="1"/>
  <c r="G1284" i="1"/>
  <c r="H1284" i="1" s="1"/>
  <c r="G1283" i="1"/>
  <c r="H1283" i="1" s="1"/>
  <c r="G1282" i="1"/>
  <c r="H1282" i="1" s="1"/>
  <c r="G1281" i="1"/>
  <c r="H1281" i="1" s="1"/>
  <c r="G1280" i="1"/>
  <c r="G1279" i="1"/>
  <c r="H1279" i="1" s="1"/>
  <c r="G1278" i="1"/>
  <c r="H1278" i="1" s="1"/>
  <c r="G1277" i="1"/>
  <c r="H1277" i="1" s="1"/>
  <c r="G1276" i="1"/>
  <c r="H1276" i="1" s="1"/>
  <c r="G1275" i="1"/>
  <c r="H1275" i="1" s="1"/>
  <c r="G1274" i="1"/>
  <c r="H1274" i="1" s="1"/>
  <c r="G1273" i="1"/>
  <c r="H1273" i="1" s="1"/>
  <c r="G1272" i="1"/>
  <c r="H1272" i="1" s="1"/>
  <c r="G1271" i="1"/>
  <c r="H1271" i="1" s="1"/>
  <c r="G1270" i="1"/>
  <c r="H1270" i="1" s="1"/>
  <c r="G1269" i="1"/>
  <c r="H1269" i="1" s="1"/>
  <c r="G1268" i="1"/>
  <c r="H1268" i="1" s="1"/>
  <c r="G1267" i="1"/>
  <c r="H1267" i="1" s="1"/>
  <c r="G1266" i="1"/>
  <c r="H1266" i="1" s="1"/>
  <c r="G1265" i="1"/>
  <c r="H1265" i="1" s="1"/>
  <c r="G1264" i="1"/>
  <c r="H1264" i="1" s="1"/>
  <c r="G1263" i="1"/>
  <c r="H1263" i="1" s="1"/>
  <c r="G1262" i="1"/>
  <c r="H1262" i="1" s="1"/>
  <c r="G1261" i="1"/>
  <c r="H1261" i="1" s="1"/>
  <c r="G1260" i="1"/>
  <c r="H1260" i="1" s="1"/>
  <c r="G1259" i="1"/>
  <c r="H1259" i="1" s="1"/>
  <c r="G1258" i="1"/>
  <c r="H1258" i="1" s="1"/>
  <c r="G1257" i="1"/>
  <c r="H1257" i="1" s="1"/>
  <c r="G1256" i="1"/>
  <c r="H1256" i="1" s="1"/>
  <c r="G1255" i="1"/>
  <c r="H1255" i="1" s="1"/>
  <c r="G1254" i="1"/>
  <c r="H1254" i="1" s="1"/>
  <c r="G1253" i="1"/>
  <c r="H1253" i="1" s="1"/>
  <c r="G1252" i="1"/>
  <c r="H1252" i="1" s="1"/>
  <c r="G1251" i="1"/>
  <c r="H1251" i="1" s="1"/>
  <c r="G1250" i="1"/>
  <c r="H1250" i="1" s="1"/>
  <c r="G1249" i="1"/>
  <c r="H1249" i="1" s="1"/>
  <c r="G1248" i="1"/>
  <c r="H1248" i="1" s="1"/>
  <c r="G1247" i="1"/>
  <c r="H1247" i="1" s="1"/>
  <c r="G1246" i="1"/>
  <c r="H1246" i="1" s="1"/>
  <c r="G1245" i="1"/>
  <c r="H1245" i="1" s="1"/>
  <c r="G1244" i="1"/>
  <c r="H1244" i="1" s="1"/>
  <c r="G1243" i="1"/>
  <c r="H1243" i="1" s="1"/>
  <c r="G1242" i="1"/>
  <c r="H1242" i="1" s="1"/>
  <c r="G1241" i="1"/>
  <c r="H1241" i="1" s="1"/>
  <c r="G1240" i="1"/>
  <c r="H1240" i="1" s="1"/>
  <c r="G1239" i="1"/>
  <c r="H1239" i="1" s="1"/>
  <c r="G1238" i="1"/>
  <c r="H1238" i="1" s="1"/>
  <c r="G1237" i="1"/>
  <c r="H1237" i="1" s="1"/>
  <c r="G1236" i="1"/>
  <c r="H1236" i="1" s="1"/>
  <c r="G1235" i="1"/>
  <c r="H1235" i="1" s="1"/>
  <c r="G1234" i="1"/>
  <c r="H1234" i="1" s="1"/>
  <c r="G1233" i="1"/>
  <c r="H1233" i="1" s="1"/>
  <c r="G1232" i="1"/>
  <c r="H1232" i="1" s="1"/>
  <c r="G1231" i="1"/>
  <c r="H1231" i="1" s="1"/>
  <c r="G1230" i="1"/>
  <c r="H1230" i="1" s="1"/>
  <c r="G1229" i="1"/>
  <c r="H1229" i="1" s="1"/>
  <c r="G1228" i="1"/>
  <c r="H1228" i="1" s="1"/>
  <c r="G1227" i="1"/>
  <c r="H1227" i="1" s="1"/>
  <c r="G1226" i="1"/>
  <c r="H1226" i="1" s="1"/>
  <c r="G1225" i="1"/>
  <c r="H1225" i="1" s="1"/>
  <c r="G1224" i="1"/>
  <c r="H1224" i="1" s="1"/>
  <c r="G1223" i="1"/>
  <c r="H1223" i="1" s="1"/>
  <c r="G1222" i="1"/>
  <c r="H1222" i="1" s="1"/>
  <c r="G1221" i="1"/>
  <c r="H1221" i="1" s="1"/>
  <c r="G1220" i="1"/>
  <c r="H1220" i="1" s="1"/>
  <c r="G1219" i="1"/>
  <c r="H1219" i="1" s="1"/>
  <c r="G1218" i="1"/>
  <c r="H1218" i="1" s="1"/>
  <c r="G1217" i="1"/>
  <c r="H1217" i="1" s="1"/>
  <c r="G1216" i="1"/>
  <c r="H1216" i="1" s="1"/>
  <c r="G1215" i="1"/>
  <c r="H1215" i="1" s="1"/>
  <c r="G1214" i="1"/>
  <c r="H1214" i="1" s="1"/>
  <c r="G1213" i="1"/>
  <c r="H1213" i="1" s="1"/>
  <c r="G1212" i="1"/>
  <c r="H1212" i="1" s="1"/>
  <c r="G1211" i="1"/>
  <c r="H1211" i="1" s="1"/>
  <c r="G1210" i="1"/>
  <c r="H1210" i="1" s="1"/>
  <c r="G1209" i="1"/>
  <c r="H1209" i="1" s="1"/>
  <c r="G1208" i="1"/>
  <c r="H1208" i="1" s="1"/>
  <c r="G1207" i="1"/>
  <c r="H1207" i="1" s="1"/>
  <c r="G1206" i="1"/>
  <c r="H1206" i="1" s="1"/>
  <c r="G1205" i="1"/>
  <c r="H1205" i="1" s="1"/>
  <c r="G1204" i="1"/>
  <c r="H1204" i="1" s="1"/>
  <c r="G1203" i="1"/>
  <c r="H1203" i="1" s="1"/>
  <c r="G1202" i="1"/>
  <c r="H1202" i="1" s="1"/>
  <c r="G1201" i="1"/>
  <c r="H1201" i="1" s="1"/>
  <c r="G1200" i="1"/>
  <c r="H1200" i="1" s="1"/>
  <c r="G1199" i="1"/>
  <c r="H1199" i="1" s="1"/>
  <c r="G1198" i="1"/>
  <c r="H1198" i="1" s="1"/>
  <c r="G1197" i="1"/>
  <c r="H1197" i="1" s="1"/>
  <c r="G1196" i="1"/>
  <c r="H1196" i="1" s="1"/>
  <c r="G1195" i="1"/>
  <c r="H1195" i="1" s="1"/>
  <c r="G1194" i="1"/>
  <c r="H1194" i="1" s="1"/>
  <c r="G1193" i="1"/>
  <c r="H1193" i="1" s="1"/>
  <c r="G1192" i="1"/>
  <c r="H1192" i="1" s="1"/>
  <c r="G1191" i="1"/>
  <c r="H1191" i="1" s="1"/>
  <c r="G1190" i="1"/>
  <c r="H1190" i="1" s="1"/>
  <c r="G1189" i="1"/>
  <c r="H1189" i="1" s="1"/>
  <c r="G1188" i="1"/>
  <c r="H1188" i="1" s="1"/>
  <c r="G1187" i="1"/>
  <c r="H1187" i="1" s="1"/>
  <c r="G1186" i="1"/>
  <c r="H1186" i="1" s="1"/>
  <c r="G1185" i="1"/>
  <c r="H1185" i="1" s="1"/>
  <c r="G1184" i="1"/>
  <c r="H1184" i="1" s="1"/>
  <c r="G1183" i="1"/>
  <c r="H1183" i="1" s="1"/>
  <c r="G1182" i="1"/>
  <c r="H1182" i="1" s="1"/>
  <c r="G1181" i="1"/>
  <c r="H1181" i="1" s="1"/>
  <c r="G1180" i="1"/>
  <c r="H1180" i="1" s="1"/>
  <c r="G1179" i="1"/>
  <c r="H1179" i="1" s="1"/>
  <c r="G1178" i="1"/>
  <c r="H1178" i="1" s="1"/>
  <c r="G1177" i="1"/>
  <c r="H1177" i="1" s="1"/>
  <c r="G1176" i="1"/>
  <c r="H1176" i="1" s="1"/>
  <c r="G1175" i="1"/>
  <c r="H1175" i="1" s="1"/>
  <c r="G1174" i="1"/>
  <c r="H1174" i="1" s="1"/>
  <c r="G1173" i="1"/>
  <c r="H1173" i="1" s="1"/>
  <c r="G1172" i="1"/>
  <c r="H1172" i="1" s="1"/>
  <c r="G1171" i="1"/>
  <c r="H1171" i="1" s="1"/>
  <c r="G1170" i="1"/>
  <c r="H1170" i="1" s="1"/>
  <c r="G1169" i="1"/>
  <c r="H1169" i="1" s="1"/>
  <c r="G1168" i="1"/>
  <c r="H1168" i="1" s="1"/>
  <c r="G1167" i="1"/>
  <c r="H1167" i="1" s="1"/>
  <c r="G1166" i="1"/>
  <c r="H1166" i="1" s="1"/>
  <c r="G1165" i="1"/>
  <c r="H1165" i="1" s="1"/>
  <c r="G1164" i="1"/>
  <c r="H1164" i="1" s="1"/>
  <c r="G1163" i="1"/>
  <c r="H1163" i="1" s="1"/>
  <c r="G1162" i="1"/>
  <c r="H1162" i="1" s="1"/>
  <c r="G1161" i="1"/>
  <c r="H1161" i="1" s="1"/>
  <c r="G1160" i="1"/>
  <c r="H1160" i="1" s="1"/>
  <c r="G1159" i="1"/>
  <c r="H1159" i="1" s="1"/>
  <c r="G1158" i="1"/>
  <c r="H1158" i="1" s="1"/>
  <c r="G1157" i="1"/>
  <c r="H1157" i="1" s="1"/>
  <c r="G1156" i="1"/>
  <c r="H1156" i="1" s="1"/>
  <c r="G1155" i="1"/>
  <c r="H1155" i="1" s="1"/>
  <c r="G1154" i="1"/>
  <c r="H1154" i="1" s="1"/>
  <c r="G1153" i="1"/>
  <c r="H1153" i="1" s="1"/>
  <c r="G1152" i="1"/>
  <c r="H1152" i="1" s="1"/>
  <c r="G1151" i="1"/>
  <c r="H1151" i="1" s="1"/>
  <c r="G1150" i="1"/>
  <c r="H1150" i="1" s="1"/>
  <c r="G1149" i="1"/>
  <c r="H1149" i="1" s="1"/>
  <c r="G1148" i="1"/>
  <c r="H1148" i="1" s="1"/>
  <c r="G1147" i="1"/>
  <c r="H1147" i="1" s="1"/>
  <c r="G1146" i="1"/>
  <c r="H1146" i="1" s="1"/>
  <c r="G1145" i="1"/>
  <c r="H1145" i="1" s="1"/>
  <c r="G1144" i="1"/>
  <c r="H1144" i="1" s="1"/>
  <c r="G1143" i="1"/>
  <c r="H1143" i="1" s="1"/>
  <c r="G1142" i="1"/>
  <c r="H1142" i="1" s="1"/>
  <c r="G1141" i="1"/>
  <c r="H1141" i="1" s="1"/>
  <c r="G1140" i="1"/>
  <c r="H1140" i="1" s="1"/>
  <c r="G1139" i="1"/>
  <c r="H1139" i="1" s="1"/>
  <c r="G1138" i="1"/>
  <c r="H1138" i="1" s="1"/>
  <c r="G1137" i="1"/>
  <c r="H1137" i="1" s="1"/>
  <c r="G1136" i="1"/>
  <c r="H1136" i="1" s="1"/>
  <c r="G1135" i="1"/>
  <c r="H1135" i="1" s="1"/>
  <c r="G1134" i="1"/>
  <c r="H1134" i="1" s="1"/>
  <c r="G1133" i="1"/>
  <c r="H1133" i="1" s="1"/>
  <c r="G1132" i="1"/>
  <c r="H1132" i="1" s="1"/>
  <c r="G1131" i="1"/>
  <c r="H1131" i="1" s="1"/>
  <c r="G1130" i="1"/>
  <c r="H1130" i="1" s="1"/>
  <c r="G1129" i="1"/>
  <c r="H1129" i="1" s="1"/>
  <c r="G1128" i="1"/>
  <c r="H1128" i="1" s="1"/>
  <c r="G1127" i="1"/>
  <c r="H1127" i="1" s="1"/>
  <c r="G1126" i="1"/>
  <c r="H1126" i="1" s="1"/>
  <c r="G1125" i="1"/>
  <c r="H1125" i="1" s="1"/>
  <c r="G1124" i="1"/>
  <c r="H1124" i="1" s="1"/>
  <c r="G1123" i="1"/>
  <c r="H1123" i="1" s="1"/>
  <c r="G1122" i="1"/>
  <c r="H1122" i="1" s="1"/>
  <c r="G1121" i="1"/>
  <c r="H1121" i="1" s="1"/>
  <c r="G1120" i="1"/>
  <c r="H1120" i="1" s="1"/>
  <c r="G1119" i="1"/>
  <c r="H1119" i="1" s="1"/>
  <c r="G1118" i="1"/>
  <c r="H1118" i="1" s="1"/>
  <c r="G1117" i="1"/>
  <c r="H1117" i="1" s="1"/>
  <c r="G1116" i="1"/>
  <c r="H1116" i="1" s="1"/>
  <c r="G1115" i="1"/>
  <c r="H1115" i="1" s="1"/>
  <c r="G1114" i="1"/>
  <c r="H1114" i="1" s="1"/>
  <c r="G1113" i="1"/>
  <c r="H1113" i="1" s="1"/>
  <c r="G1112" i="1"/>
  <c r="H1112" i="1" s="1"/>
  <c r="G1111" i="1"/>
  <c r="H1111" i="1" s="1"/>
  <c r="G1110" i="1"/>
  <c r="H1110" i="1" s="1"/>
  <c r="G1109" i="1"/>
  <c r="H1109" i="1" s="1"/>
  <c r="G1108" i="1"/>
  <c r="H1108" i="1" s="1"/>
  <c r="G1107" i="1"/>
  <c r="H1107" i="1" s="1"/>
  <c r="G1106" i="1"/>
  <c r="H1106" i="1" s="1"/>
  <c r="G1105" i="1"/>
  <c r="H1105" i="1" s="1"/>
  <c r="G1104" i="1"/>
  <c r="H1104" i="1" s="1"/>
  <c r="G1103" i="1"/>
  <c r="H1103" i="1" s="1"/>
  <c r="G1102" i="1"/>
  <c r="H1102" i="1" s="1"/>
  <c r="G1101" i="1"/>
  <c r="H1101" i="1" s="1"/>
  <c r="G1100" i="1"/>
  <c r="H1100" i="1" s="1"/>
  <c r="G1099" i="1"/>
  <c r="H1099" i="1" s="1"/>
  <c r="G1098" i="1"/>
  <c r="H1098" i="1" s="1"/>
  <c r="G1097" i="1"/>
  <c r="H1097" i="1" s="1"/>
  <c r="G1096" i="1"/>
  <c r="H1096" i="1" s="1"/>
  <c r="G1095" i="1"/>
  <c r="H1095" i="1" s="1"/>
  <c r="G1094" i="1"/>
  <c r="H1094" i="1" s="1"/>
  <c r="G1093" i="1"/>
  <c r="H1093" i="1" s="1"/>
  <c r="G1092" i="1"/>
  <c r="H1092" i="1" s="1"/>
  <c r="G1091" i="1"/>
  <c r="H1091" i="1" s="1"/>
  <c r="G1090" i="1"/>
  <c r="H1090" i="1" s="1"/>
  <c r="G1089" i="1"/>
  <c r="H1089" i="1" s="1"/>
  <c r="G1088" i="1"/>
  <c r="H1088" i="1" s="1"/>
  <c r="G1087" i="1"/>
  <c r="H1087" i="1" s="1"/>
  <c r="G1086" i="1"/>
  <c r="H1086" i="1" s="1"/>
  <c r="G1085" i="1"/>
  <c r="H1085" i="1" s="1"/>
  <c r="G1084" i="1"/>
  <c r="H1084" i="1" s="1"/>
  <c r="G1083" i="1"/>
  <c r="H1083" i="1" s="1"/>
  <c r="G1082" i="1"/>
  <c r="H1082" i="1" s="1"/>
  <c r="G1081" i="1"/>
  <c r="H1081" i="1" s="1"/>
  <c r="G1080" i="1"/>
  <c r="H1080" i="1" s="1"/>
  <c r="G1079" i="1"/>
  <c r="H1079" i="1" s="1"/>
  <c r="G1078" i="1"/>
  <c r="H1078" i="1" s="1"/>
  <c r="G1077" i="1"/>
  <c r="H1077" i="1" s="1"/>
  <c r="G1076" i="1"/>
  <c r="H1076" i="1" s="1"/>
  <c r="G1075" i="1"/>
  <c r="H1075" i="1" s="1"/>
  <c r="G1074" i="1"/>
  <c r="H1074" i="1" s="1"/>
  <c r="G1073" i="1"/>
  <c r="H1073" i="1" s="1"/>
  <c r="G1072" i="1"/>
  <c r="H1072" i="1" s="1"/>
  <c r="G1071" i="1"/>
  <c r="H1071" i="1" s="1"/>
  <c r="G1070" i="1"/>
  <c r="H1070" i="1" s="1"/>
  <c r="G1069" i="1"/>
  <c r="H1069" i="1" s="1"/>
  <c r="G1068" i="1"/>
  <c r="H1068" i="1" s="1"/>
  <c r="G1067" i="1"/>
  <c r="H1067" i="1" s="1"/>
  <c r="G1066" i="1"/>
  <c r="H1066" i="1" s="1"/>
  <c r="G1065" i="1"/>
  <c r="H1065" i="1" s="1"/>
  <c r="G1064" i="1"/>
  <c r="H1064" i="1" s="1"/>
  <c r="G1063" i="1"/>
  <c r="H1063" i="1" s="1"/>
  <c r="G1062" i="1"/>
  <c r="H1062" i="1" s="1"/>
  <c r="G1061" i="1"/>
  <c r="H1061" i="1" s="1"/>
  <c r="G1060" i="1"/>
  <c r="H1060" i="1" s="1"/>
  <c r="G1059" i="1"/>
  <c r="H1059" i="1" s="1"/>
  <c r="G1058" i="1"/>
  <c r="H1058" i="1" s="1"/>
  <c r="G1057" i="1"/>
  <c r="H1057" i="1" s="1"/>
  <c r="G1056" i="1"/>
  <c r="H1056" i="1" s="1"/>
  <c r="G1055" i="1"/>
  <c r="H1055" i="1" s="1"/>
  <c r="G1054" i="1"/>
  <c r="H1054" i="1" s="1"/>
  <c r="G1053" i="1"/>
  <c r="H1053" i="1" s="1"/>
  <c r="G1052" i="1"/>
  <c r="H1052" i="1" s="1"/>
  <c r="G1051" i="1"/>
  <c r="H1051" i="1" s="1"/>
  <c r="G1050" i="1"/>
  <c r="H1050" i="1" s="1"/>
  <c r="G1049" i="1"/>
  <c r="H1049" i="1" s="1"/>
  <c r="G1048" i="1"/>
  <c r="H1048" i="1" s="1"/>
  <c r="G1047" i="1"/>
  <c r="H1047" i="1" s="1"/>
  <c r="G1046" i="1"/>
  <c r="H1046" i="1" s="1"/>
  <c r="G1045" i="1"/>
  <c r="H1045" i="1" s="1"/>
  <c r="G1044" i="1"/>
  <c r="H1044" i="1" s="1"/>
  <c r="G1043" i="1"/>
  <c r="H1043" i="1" s="1"/>
  <c r="G1042" i="1"/>
  <c r="H1042" i="1" s="1"/>
  <c r="G1041" i="1"/>
  <c r="H1041" i="1" s="1"/>
  <c r="G1040" i="1"/>
  <c r="H1040" i="1" s="1"/>
  <c r="G1039" i="1"/>
  <c r="H1039" i="1" s="1"/>
  <c r="G1038" i="1"/>
  <c r="H1038" i="1" s="1"/>
  <c r="G1037" i="1"/>
  <c r="H1037" i="1" s="1"/>
  <c r="G1036" i="1"/>
  <c r="H1036" i="1" s="1"/>
  <c r="G1035" i="1"/>
  <c r="H1035" i="1" s="1"/>
  <c r="G1034" i="1"/>
  <c r="H1034" i="1" s="1"/>
  <c r="G1033" i="1"/>
  <c r="H1033" i="1" s="1"/>
  <c r="G1032" i="1"/>
  <c r="H1032" i="1" s="1"/>
  <c r="G1031" i="1"/>
  <c r="H1031" i="1" s="1"/>
  <c r="G1030" i="1"/>
  <c r="H1030" i="1" s="1"/>
  <c r="G1029" i="1"/>
  <c r="H1029" i="1" s="1"/>
  <c r="G1028" i="1"/>
  <c r="H1028" i="1" s="1"/>
  <c r="G1027" i="1"/>
  <c r="H1027" i="1" s="1"/>
  <c r="G1026" i="1"/>
  <c r="H1026" i="1" s="1"/>
  <c r="G1025" i="1"/>
  <c r="H1025" i="1" s="1"/>
  <c r="G1024" i="1"/>
  <c r="H1024" i="1" s="1"/>
  <c r="G1023" i="1"/>
  <c r="H1023" i="1" s="1"/>
  <c r="G1022" i="1"/>
  <c r="H1022" i="1" s="1"/>
  <c r="G1021" i="1"/>
  <c r="H1021" i="1" s="1"/>
  <c r="G1020" i="1"/>
  <c r="H1020" i="1" s="1"/>
  <c r="G1019" i="1"/>
  <c r="H1019" i="1" s="1"/>
  <c r="G1018" i="1"/>
  <c r="H1018" i="1" s="1"/>
  <c r="G1017" i="1"/>
  <c r="H1017" i="1" s="1"/>
  <c r="G1016" i="1"/>
  <c r="H1016" i="1" s="1"/>
  <c r="G1015" i="1"/>
  <c r="H1015" i="1" s="1"/>
  <c r="G1014" i="1"/>
  <c r="H1014" i="1" s="1"/>
  <c r="G1013" i="1"/>
  <c r="H1013" i="1" s="1"/>
  <c r="G1012" i="1"/>
  <c r="H1012" i="1" s="1"/>
  <c r="G1011" i="1"/>
  <c r="H1011" i="1" s="1"/>
  <c r="G1010" i="1"/>
  <c r="H1010" i="1" s="1"/>
  <c r="G1009" i="1"/>
  <c r="H1009" i="1" s="1"/>
  <c r="G1008" i="1"/>
  <c r="H1008" i="1" s="1"/>
  <c r="G1007" i="1"/>
  <c r="H1007" i="1" s="1"/>
  <c r="G1006" i="1"/>
  <c r="H1006" i="1" s="1"/>
  <c r="G1005" i="1"/>
  <c r="H1005" i="1" s="1"/>
  <c r="G1004" i="1"/>
  <c r="H1004" i="1" s="1"/>
  <c r="G1003" i="1"/>
  <c r="H1003" i="1" s="1"/>
  <c r="G1002" i="1"/>
  <c r="H1002" i="1" s="1"/>
  <c r="G1001" i="1"/>
  <c r="H1001" i="1" s="1"/>
  <c r="G1000" i="1"/>
  <c r="H1000" i="1" s="1"/>
  <c r="G999" i="1"/>
  <c r="H999" i="1" s="1"/>
  <c r="G998" i="1"/>
  <c r="H998" i="1" s="1"/>
  <c r="G997" i="1"/>
  <c r="H997" i="1" s="1"/>
  <c r="G996" i="1"/>
  <c r="H996" i="1" s="1"/>
  <c r="G995" i="1"/>
  <c r="H995" i="1" s="1"/>
  <c r="G994" i="1"/>
  <c r="H994" i="1" s="1"/>
  <c r="G993" i="1"/>
  <c r="H993" i="1" s="1"/>
  <c r="G992" i="1"/>
  <c r="H992" i="1" s="1"/>
  <c r="G991" i="1"/>
  <c r="H991" i="1" s="1"/>
  <c r="G990" i="1"/>
  <c r="H990" i="1" s="1"/>
  <c r="G989" i="1"/>
  <c r="H989" i="1" s="1"/>
  <c r="G988" i="1"/>
  <c r="H988" i="1" s="1"/>
  <c r="G987" i="1"/>
  <c r="H987" i="1" s="1"/>
  <c r="G986" i="1"/>
  <c r="H986" i="1" s="1"/>
  <c r="G985" i="1"/>
  <c r="H985" i="1" s="1"/>
  <c r="G984" i="1"/>
  <c r="H984" i="1" s="1"/>
  <c r="G983" i="1"/>
  <c r="H983" i="1" s="1"/>
  <c r="G982" i="1"/>
  <c r="H982" i="1" s="1"/>
  <c r="G981" i="1"/>
  <c r="H981" i="1" s="1"/>
  <c r="G980" i="1"/>
  <c r="H980" i="1" s="1"/>
  <c r="G979" i="1"/>
  <c r="H979" i="1" s="1"/>
  <c r="G978" i="1"/>
  <c r="H978" i="1" s="1"/>
  <c r="G977" i="1"/>
  <c r="H977" i="1" s="1"/>
  <c r="G976" i="1"/>
  <c r="H976" i="1" s="1"/>
  <c r="G975" i="1"/>
  <c r="H975" i="1" s="1"/>
  <c r="G974" i="1"/>
  <c r="H974" i="1" s="1"/>
  <c r="G973" i="1"/>
  <c r="H973" i="1" s="1"/>
  <c r="G972" i="1"/>
  <c r="H972" i="1" s="1"/>
  <c r="G971" i="1"/>
  <c r="H971" i="1" s="1"/>
  <c r="G970" i="1"/>
  <c r="H970" i="1" s="1"/>
  <c r="G969" i="1"/>
  <c r="H969" i="1" s="1"/>
  <c r="G968" i="1"/>
  <c r="H968" i="1" s="1"/>
  <c r="G967" i="1"/>
  <c r="H967" i="1" s="1"/>
  <c r="G966" i="1"/>
  <c r="H966" i="1" s="1"/>
  <c r="G965" i="1"/>
  <c r="H965" i="1" s="1"/>
  <c r="G964" i="1"/>
  <c r="H964" i="1" s="1"/>
  <c r="G963" i="1"/>
  <c r="H963" i="1" s="1"/>
  <c r="G962" i="1"/>
  <c r="H962" i="1" s="1"/>
  <c r="G961" i="1"/>
  <c r="H961" i="1" s="1"/>
  <c r="G960" i="1"/>
  <c r="H960" i="1" s="1"/>
  <c r="G959" i="1"/>
  <c r="H959" i="1" s="1"/>
  <c r="G958" i="1"/>
  <c r="H958" i="1" s="1"/>
  <c r="G957" i="1"/>
  <c r="H957" i="1" s="1"/>
  <c r="G956" i="1"/>
  <c r="H956" i="1" s="1"/>
  <c r="G955" i="1"/>
  <c r="H955" i="1" s="1"/>
  <c r="G954" i="1"/>
  <c r="H954" i="1" s="1"/>
  <c r="G953" i="1"/>
  <c r="H953" i="1" s="1"/>
  <c r="G952" i="1"/>
  <c r="H952" i="1" s="1"/>
  <c r="G951" i="1"/>
  <c r="H951" i="1" s="1"/>
  <c r="G950" i="1"/>
  <c r="H950" i="1" s="1"/>
  <c r="G949" i="1"/>
  <c r="H949" i="1" s="1"/>
  <c r="G948" i="1"/>
  <c r="H948" i="1" s="1"/>
  <c r="G947" i="1"/>
  <c r="H947" i="1" s="1"/>
  <c r="G946" i="1"/>
  <c r="H946" i="1" s="1"/>
  <c r="G945" i="1"/>
  <c r="H945" i="1" s="1"/>
  <c r="G944" i="1"/>
  <c r="H944" i="1" s="1"/>
  <c r="G943" i="1"/>
  <c r="H943" i="1" s="1"/>
  <c r="G942" i="1"/>
  <c r="H942" i="1" s="1"/>
  <c r="G941" i="1"/>
  <c r="H941" i="1" s="1"/>
  <c r="G940" i="1"/>
  <c r="H940" i="1" s="1"/>
  <c r="G939" i="1"/>
  <c r="H939" i="1" s="1"/>
  <c r="G938" i="1"/>
  <c r="H938" i="1" s="1"/>
  <c r="G937" i="1"/>
  <c r="H937" i="1" s="1"/>
  <c r="G936" i="1"/>
  <c r="H936" i="1" s="1"/>
  <c r="G935" i="1"/>
  <c r="H935" i="1" s="1"/>
  <c r="G934" i="1"/>
  <c r="H934" i="1" s="1"/>
  <c r="G933" i="1"/>
  <c r="H933" i="1" s="1"/>
  <c r="G932" i="1"/>
  <c r="H932" i="1" s="1"/>
  <c r="G931" i="1"/>
  <c r="H931" i="1" s="1"/>
  <c r="G930" i="1"/>
  <c r="H930" i="1" s="1"/>
  <c r="G929" i="1"/>
  <c r="H929" i="1" s="1"/>
  <c r="G928" i="1"/>
  <c r="H928" i="1" s="1"/>
  <c r="G927" i="1"/>
  <c r="H927" i="1" s="1"/>
  <c r="G926" i="1"/>
  <c r="H926" i="1" s="1"/>
  <c r="G925" i="1"/>
  <c r="H925" i="1" s="1"/>
  <c r="G924" i="1"/>
  <c r="H924" i="1" s="1"/>
  <c r="G923" i="1"/>
  <c r="H923" i="1" s="1"/>
  <c r="G922" i="1"/>
  <c r="H922" i="1" s="1"/>
  <c r="G921" i="1"/>
  <c r="H921" i="1" s="1"/>
  <c r="G920" i="1"/>
  <c r="H920" i="1" s="1"/>
  <c r="G919" i="1"/>
  <c r="H919" i="1" s="1"/>
  <c r="G918" i="1"/>
  <c r="H918" i="1" s="1"/>
  <c r="G917" i="1"/>
  <c r="H917" i="1" s="1"/>
  <c r="G916" i="1"/>
  <c r="H916" i="1" s="1"/>
  <c r="G915" i="1"/>
  <c r="H915" i="1" s="1"/>
  <c r="G914" i="1"/>
  <c r="H914" i="1" s="1"/>
  <c r="G913" i="1"/>
  <c r="H913" i="1" s="1"/>
  <c r="G912" i="1"/>
  <c r="H912" i="1" s="1"/>
  <c r="G911" i="1"/>
  <c r="H911" i="1" s="1"/>
  <c r="G910" i="1"/>
  <c r="H910" i="1" s="1"/>
  <c r="G909" i="1"/>
  <c r="H909" i="1" s="1"/>
  <c r="G908" i="1"/>
  <c r="H908" i="1" s="1"/>
  <c r="G907" i="1"/>
  <c r="H907" i="1" s="1"/>
  <c r="G906" i="1"/>
  <c r="H906" i="1" s="1"/>
  <c r="G905" i="1"/>
  <c r="H905" i="1" s="1"/>
  <c r="G904" i="1"/>
  <c r="H904" i="1" s="1"/>
  <c r="G903" i="1"/>
  <c r="H903" i="1" s="1"/>
  <c r="G902" i="1"/>
  <c r="H902" i="1" s="1"/>
  <c r="G901" i="1"/>
  <c r="H901" i="1" s="1"/>
  <c r="G900" i="1"/>
  <c r="H900" i="1" s="1"/>
  <c r="G899" i="1"/>
  <c r="H899" i="1" s="1"/>
  <c r="G898" i="1"/>
  <c r="H898" i="1" s="1"/>
  <c r="G897" i="1"/>
  <c r="H897" i="1" s="1"/>
  <c r="G896" i="1"/>
  <c r="H896" i="1" s="1"/>
  <c r="G895" i="1"/>
  <c r="H895" i="1" s="1"/>
  <c r="G894" i="1"/>
  <c r="H894" i="1" s="1"/>
  <c r="G893" i="1"/>
  <c r="H893" i="1" s="1"/>
  <c r="G892" i="1"/>
  <c r="H892" i="1" s="1"/>
  <c r="G891" i="1"/>
  <c r="H891" i="1" s="1"/>
  <c r="G890" i="1"/>
  <c r="H890" i="1" s="1"/>
  <c r="G889" i="1"/>
  <c r="H889" i="1" s="1"/>
  <c r="G888" i="1"/>
  <c r="H888" i="1" s="1"/>
  <c r="G887" i="1"/>
  <c r="H887" i="1" s="1"/>
  <c r="G886" i="1"/>
  <c r="H886" i="1" s="1"/>
  <c r="G885" i="1"/>
  <c r="H885" i="1" s="1"/>
  <c r="G884" i="1"/>
  <c r="H884" i="1" s="1"/>
  <c r="G883" i="1"/>
  <c r="H883" i="1" s="1"/>
  <c r="G882" i="1"/>
  <c r="H882" i="1" s="1"/>
  <c r="G881" i="1"/>
  <c r="H881" i="1" s="1"/>
  <c r="G880" i="1"/>
  <c r="H880" i="1" s="1"/>
  <c r="G879" i="1"/>
  <c r="H879" i="1" s="1"/>
  <c r="G878" i="1"/>
  <c r="H878" i="1" s="1"/>
  <c r="G877" i="1"/>
  <c r="H877" i="1" s="1"/>
  <c r="G876" i="1"/>
  <c r="H876" i="1" s="1"/>
  <c r="G875" i="1"/>
  <c r="H875" i="1" s="1"/>
  <c r="G874" i="1"/>
  <c r="H874" i="1" s="1"/>
  <c r="G873" i="1"/>
  <c r="H873" i="1" s="1"/>
  <c r="G872" i="1"/>
  <c r="H872" i="1" s="1"/>
  <c r="G871" i="1"/>
  <c r="H871" i="1" s="1"/>
  <c r="G870" i="1"/>
  <c r="H870" i="1" s="1"/>
  <c r="G869" i="1"/>
  <c r="H869" i="1" s="1"/>
  <c r="G868" i="1"/>
  <c r="H868" i="1" s="1"/>
  <c r="G867" i="1"/>
  <c r="H867" i="1" s="1"/>
  <c r="G866" i="1"/>
  <c r="H866" i="1" s="1"/>
  <c r="G865" i="1"/>
  <c r="H865" i="1" s="1"/>
  <c r="G864" i="1"/>
  <c r="H864" i="1" s="1"/>
  <c r="G863" i="1"/>
  <c r="H863" i="1" s="1"/>
  <c r="G862" i="1"/>
  <c r="H862" i="1" s="1"/>
  <c r="G861" i="1"/>
  <c r="H861" i="1" s="1"/>
  <c r="G860" i="1"/>
  <c r="H860" i="1" s="1"/>
  <c r="G859" i="1"/>
  <c r="H859" i="1" s="1"/>
  <c r="G858" i="1"/>
  <c r="H858" i="1" s="1"/>
  <c r="G857" i="1"/>
  <c r="H857" i="1" s="1"/>
  <c r="G856" i="1"/>
  <c r="H856" i="1" s="1"/>
  <c r="G855" i="1"/>
  <c r="H855" i="1" s="1"/>
  <c r="G854" i="1"/>
  <c r="H854" i="1" s="1"/>
  <c r="G853" i="1"/>
  <c r="H853" i="1" s="1"/>
  <c r="G852" i="1"/>
  <c r="H852" i="1" s="1"/>
  <c r="G851" i="1"/>
  <c r="H851" i="1" s="1"/>
  <c r="G850" i="1"/>
  <c r="H850" i="1" s="1"/>
  <c r="G849" i="1"/>
  <c r="H849" i="1" s="1"/>
  <c r="G848" i="1"/>
  <c r="H848" i="1" s="1"/>
  <c r="G847" i="1"/>
  <c r="H847" i="1" s="1"/>
  <c r="G846" i="1"/>
  <c r="H846" i="1" s="1"/>
  <c r="G845" i="1"/>
  <c r="H845" i="1" s="1"/>
  <c r="G844" i="1"/>
  <c r="H844" i="1" s="1"/>
  <c r="G843" i="1"/>
  <c r="H843" i="1" s="1"/>
  <c r="G842" i="1"/>
  <c r="H842" i="1" s="1"/>
  <c r="G841" i="1"/>
  <c r="H841" i="1" s="1"/>
  <c r="G840" i="1"/>
  <c r="H840" i="1" s="1"/>
  <c r="G839" i="1"/>
  <c r="H839" i="1" s="1"/>
  <c r="G838" i="1"/>
  <c r="H838" i="1" s="1"/>
  <c r="G837" i="1"/>
  <c r="H837" i="1" s="1"/>
  <c r="G836" i="1"/>
  <c r="H836" i="1" s="1"/>
  <c r="G835" i="1"/>
  <c r="H835" i="1" s="1"/>
  <c r="G834" i="1"/>
  <c r="H834" i="1" s="1"/>
  <c r="G833" i="1"/>
  <c r="H833" i="1" s="1"/>
  <c r="G832" i="1"/>
  <c r="H832" i="1" s="1"/>
  <c r="G831" i="1"/>
  <c r="H831" i="1" s="1"/>
  <c r="G830" i="1"/>
  <c r="H830" i="1" s="1"/>
  <c r="G829" i="1"/>
  <c r="H829" i="1" s="1"/>
  <c r="G828" i="1"/>
  <c r="H828" i="1" s="1"/>
  <c r="G827" i="1"/>
  <c r="H827" i="1" s="1"/>
  <c r="G826" i="1"/>
  <c r="H826" i="1" s="1"/>
  <c r="G825" i="1"/>
  <c r="H825" i="1" s="1"/>
  <c r="G824" i="1"/>
  <c r="H824" i="1" s="1"/>
  <c r="G823" i="1"/>
  <c r="H823" i="1" s="1"/>
  <c r="G822" i="1"/>
  <c r="H822" i="1" s="1"/>
  <c r="G821" i="1"/>
  <c r="H821" i="1" s="1"/>
  <c r="G820" i="1"/>
  <c r="H820" i="1" s="1"/>
  <c r="G819" i="1"/>
  <c r="H819" i="1" s="1"/>
  <c r="G818" i="1"/>
  <c r="H818" i="1" s="1"/>
  <c r="G817" i="1"/>
  <c r="H817" i="1" s="1"/>
  <c r="G816" i="1"/>
  <c r="H816" i="1" s="1"/>
  <c r="G815" i="1"/>
  <c r="H815" i="1" s="1"/>
  <c r="G814" i="1"/>
  <c r="H814" i="1" s="1"/>
  <c r="G813" i="1"/>
  <c r="H813" i="1" s="1"/>
  <c r="G812" i="1"/>
  <c r="H812" i="1" s="1"/>
  <c r="G811" i="1"/>
  <c r="H811" i="1" s="1"/>
  <c r="G810" i="1"/>
  <c r="H810" i="1" s="1"/>
  <c r="G809" i="1"/>
  <c r="H809" i="1" s="1"/>
  <c r="G808" i="1"/>
  <c r="H808" i="1" s="1"/>
  <c r="G807" i="1"/>
  <c r="H807" i="1" s="1"/>
  <c r="G806" i="1"/>
  <c r="H806" i="1" s="1"/>
  <c r="G805" i="1"/>
  <c r="H805" i="1" s="1"/>
  <c r="G804" i="1"/>
  <c r="H804" i="1" s="1"/>
  <c r="G803" i="1"/>
  <c r="H803" i="1" s="1"/>
  <c r="G802" i="1"/>
  <c r="H802" i="1" s="1"/>
  <c r="G801" i="1"/>
  <c r="H801" i="1" s="1"/>
  <c r="G800" i="1"/>
  <c r="H800" i="1" s="1"/>
  <c r="G799" i="1"/>
  <c r="H799" i="1" s="1"/>
  <c r="G798" i="1"/>
  <c r="H798" i="1" s="1"/>
  <c r="G797" i="1"/>
  <c r="H797" i="1" s="1"/>
  <c r="G796" i="1"/>
  <c r="H796" i="1" s="1"/>
  <c r="G795" i="1"/>
  <c r="H795" i="1" s="1"/>
  <c r="G794" i="1"/>
  <c r="H794" i="1" s="1"/>
  <c r="G793" i="1"/>
  <c r="H793" i="1" s="1"/>
  <c r="G792" i="1"/>
  <c r="H792" i="1" s="1"/>
  <c r="G791" i="1"/>
  <c r="H791" i="1" s="1"/>
  <c r="G790" i="1"/>
  <c r="H790" i="1" s="1"/>
  <c r="G789" i="1"/>
  <c r="H789" i="1" s="1"/>
  <c r="G788" i="1"/>
  <c r="H788" i="1" s="1"/>
  <c r="G787" i="1"/>
  <c r="H787" i="1" s="1"/>
  <c r="G786" i="1"/>
  <c r="H786" i="1" s="1"/>
  <c r="G785" i="1"/>
  <c r="H785" i="1" s="1"/>
  <c r="G784" i="1"/>
  <c r="H784" i="1" s="1"/>
  <c r="G783" i="1"/>
  <c r="H783" i="1" s="1"/>
  <c r="G782" i="1"/>
  <c r="H782" i="1" s="1"/>
  <c r="G781" i="1"/>
  <c r="H781" i="1" s="1"/>
  <c r="G780" i="1"/>
  <c r="H780" i="1" s="1"/>
  <c r="G779" i="1"/>
  <c r="H779" i="1" s="1"/>
  <c r="G778" i="1"/>
  <c r="H778" i="1" s="1"/>
  <c r="G777" i="1"/>
  <c r="H777" i="1" s="1"/>
  <c r="G776" i="1"/>
  <c r="H776" i="1" s="1"/>
  <c r="G775" i="1"/>
  <c r="H775" i="1" s="1"/>
  <c r="G774" i="1"/>
  <c r="H774" i="1" s="1"/>
  <c r="G773" i="1"/>
  <c r="H773" i="1" s="1"/>
  <c r="G772" i="1"/>
  <c r="H772" i="1" s="1"/>
  <c r="G771" i="1"/>
  <c r="H771" i="1" s="1"/>
  <c r="G770" i="1"/>
  <c r="H770" i="1" s="1"/>
  <c r="G769" i="1"/>
  <c r="H769" i="1" s="1"/>
  <c r="G768" i="1"/>
  <c r="H768" i="1" s="1"/>
  <c r="G767" i="1"/>
  <c r="H767" i="1" s="1"/>
  <c r="G766" i="1"/>
  <c r="H766" i="1" s="1"/>
  <c r="G765" i="1"/>
  <c r="H765" i="1" s="1"/>
  <c r="G764" i="1"/>
  <c r="H764" i="1" s="1"/>
  <c r="G763" i="1"/>
  <c r="H763" i="1" s="1"/>
  <c r="G762" i="1"/>
  <c r="H762" i="1" s="1"/>
  <c r="G761" i="1"/>
  <c r="H761" i="1" s="1"/>
  <c r="G760" i="1"/>
  <c r="H760" i="1" s="1"/>
  <c r="G759" i="1"/>
  <c r="H759" i="1" s="1"/>
  <c r="G758" i="1"/>
  <c r="H758" i="1" s="1"/>
  <c r="G757" i="1"/>
  <c r="H757" i="1" s="1"/>
  <c r="G756" i="1"/>
  <c r="H756" i="1" s="1"/>
  <c r="G755" i="1"/>
  <c r="H755" i="1" s="1"/>
  <c r="G754" i="1"/>
  <c r="H754" i="1" s="1"/>
  <c r="G753" i="1"/>
  <c r="H753" i="1" s="1"/>
  <c r="G752" i="1"/>
  <c r="H752" i="1" s="1"/>
  <c r="G751" i="1"/>
  <c r="H751" i="1" s="1"/>
  <c r="G750" i="1"/>
  <c r="H750" i="1" s="1"/>
  <c r="G749" i="1"/>
  <c r="H749" i="1" s="1"/>
  <c r="G748" i="1"/>
  <c r="H748" i="1" s="1"/>
  <c r="G747" i="1"/>
  <c r="H747" i="1" s="1"/>
  <c r="G746" i="1"/>
  <c r="H746" i="1" s="1"/>
  <c r="G745" i="1"/>
  <c r="H745" i="1" s="1"/>
  <c r="G744" i="1"/>
  <c r="H744" i="1" s="1"/>
  <c r="G743" i="1"/>
  <c r="H743" i="1" s="1"/>
  <c r="G742" i="1"/>
  <c r="H742" i="1" s="1"/>
  <c r="G741" i="1"/>
  <c r="H741" i="1" s="1"/>
  <c r="G740" i="1"/>
  <c r="H740" i="1" s="1"/>
  <c r="G739" i="1"/>
  <c r="H739" i="1" s="1"/>
  <c r="G738" i="1"/>
  <c r="H738" i="1" s="1"/>
  <c r="G737" i="1"/>
  <c r="H737" i="1" s="1"/>
  <c r="G736" i="1"/>
  <c r="H736" i="1" s="1"/>
  <c r="G735" i="1"/>
  <c r="H735" i="1" s="1"/>
  <c r="G734" i="1"/>
  <c r="H734" i="1" s="1"/>
  <c r="G733" i="1"/>
  <c r="H733" i="1" s="1"/>
  <c r="G732" i="1"/>
  <c r="H732" i="1" s="1"/>
  <c r="G731" i="1"/>
  <c r="H731" i="1" s="1"/>
  <c r="G730" i="1"/>
  <c r="H730" i="1" s="1"/>
  <c r="G729" i="1"/>
  <c r="H729" i="1" s="1"/>
  <c r="G728" i="1"/>
  <c r="H728" i="1" s="1"/>
  <c r="G727" i="1"/>
  <c r="H727" i="1" s="1"/>
  <c r="G726" i="1"/>
  <c r="H726" i="1" s="1"/>
  <c r="G725" i="1"/>
  <c r="H725" i="1" s="1"/>
  <c r="G724" i="1"/>
  <c r="H724" i="1" s="1"/>
  <c r="G723" i="1"/>
  <c r="H723" i="1" s="1"/>
  <c r="G722" i="1"/>
  <c r="H722" i="1" s="1"/>
  <c r="G721" i="1"/>
  <c r="H721" i="1" s="1"/>
  <c r="G720" i="1"/>
  <c r="H720" i="1" s="1"/>
  <c r="G719" i="1"/>
  <c r="H719" i="1" s="1"/>
  <c r="G718" i="1"/>
  <c r="H718" i="1" s="1"/>
  <c r="G717" i="1"/>
  <c r="H717" i="1" s="1"/>
  <c r="G716" i="1"/>
  <c r="H716" i="1" s="1"/>
  <c r="G715" i="1"/>
  <c r="H715" i="1" s="1"/>
  <c r="G714" i="1"/>
  <c r="H714" i="1" s="1"/>
  <c r="G713" i="1"/>
  <c r="H713" i="1" s="1"/>
  <c r="G712" i="1"/>
  <c r="H712" i="1" s="1"/>
  <c r="G711" i="1"/>
  <c r="H711" i="1" s="1"/>
  <c r="G710" i="1"/>
  <c r="H710" i="1" s="1"/>
  <c r="G709" i="1"/>
  <c r="H709" i="1" s="1"/>
  <c r="G708" i="1"/>
  <c r="H708" i="1" s="1"/>
  <c r="G707" i="1"/>
  <c r="H707" i="1" s="1"/>
  <c r="G706" i="1"/>
  <c r="H706" i="1" s="1"/>
  <c r="G705" i="1"/>
  <c r="H705" i="1" s="1"/>
  <c r="G704" i="1"/>
  <c r="H704" i="1" s="1"/>
  <c r="G703" i="1"/>
  <c r="H703" i="1" s="1"/>
  <c r="G702" i="1"/>
  <c r="H702" i="1" s="1"/>
  <c r="G701" i="1"/>
  <c r="H701" i="1" s="1"/>
  <c r="G700" i="1"/>
  <c r="H700" i="1" s="1"/>
  <c r="G699" i="1"/>
  <c r="H699" i="1" s="1"/>
  <c r="G698" i="1"/>
  <c r="H698" i="1" s="1"/>
  <c r="G697" i="1"/>
  <c r="H697" i="1" s="1"/>
  <c r="G696" i="1"/>
  <c r="H696" i="1" s="1"/>
  <c r="G695" i="1"/>
  <c r="H695" i="1" s="1"/>
  <c r="G694" i="1"/>
  <c r="H694" i="1" s="1"/>
  <c r="G693" i="1"/>
  <c r="H693" i="1" s="1"/>
  <c r="G692" i="1"/>
  <c r="H692" i="1" s="1"/>
  <c r="G691" i="1"/>
  <c r="H691" i="1" s="1"/>
  <c r="G690" i="1"/>
  <c r="H690" i="1" s="1"/>
  <c r="G689" i="1"/>
  <c r="H689" i="1" s="1"/>
  <c r="G688" i="1"/>
  <c r="H688" i="1" s="1"/>
  <c r="G687" i="1"/>
  <c r="H687" i="1" s="1"/>
  <c r="G686" i="1"/>
  <c r="H686" i="1" s="1"/>
  <c r="G685" i="1"/>
  <c r="H685" i="1" s="1"/>
  <c r="G684" i="1"/>
  <c r="H684" i="1" s="1"/>
  <c r="G683" i="1"/>
  <c r="H683" i="1" s="1"/>
  <c r="G682" i="1"/>
  <c r="H682" i="1" s="1"/>
  <c r="G681" i="1"/>
  <c r="H681" i="1" s="1"/>
  <c r="G680" i="1"/>
  <c r="H680" i="1" s="1"/>
  <c r="G679" i="1"/>
  <c r="H679" i="1" s="1"/>
  <c r="G678" i="1"/>
  <c r="H678" i="1" s="1"/>
  <c r="G677" i="1"/>
  <c r="H677" i="1" s="1"/>
  <c r="G676" i="1"/>
  <c r="H676" i="1" s="1"/>
  <c r="G675" i="1"/>
  <c r="H675" i="1" s="1"/>
  <c r="G674" i="1"/>
  <c r="H674" i="1" s="1"/>
  <c r="G673" i="1"/>
  <c r="H673" i="1" s="1"/>
  <c r="G672" i="1"/>
  <c r="H672" i="1" s="1"/>
  <c r="G671" i="1"/>
  <c r="H671" i="1" s="1"/>
  <c r="G670" i="1"/>
  <c r="H670" i="1" s="1"/>
  <c r="G669" i="1"/>
  <c r="H669" i="1" s="1"/>
  <c r="G668" i="1"/>
  <c r="H668" i="1" s="1"/>
  <c r="G667" i="1"/>
  <c r="H667" i="1" s="1"/>
  <c r="G666" i="1"/>
  <c r="H666" i="1" s="1"/>
  <c r="G665" i="1"/>
  <c r="H665" i="1" s="1"/>
  <c r="G664" i="1"/>
  <c r="H664" i="1" s="1"/>
  <c r="G663" i="1"/>
  <c r="H663" i="1" s="1"/>
  <c r="G662" i="1"/>
  <c r="H662" i="1" s="1"/>
  <c r="G661" i="1"/>
  <c r="H661" i="1" s="1"/>
  <c r="G660" i="1"/>
  <c r="H660" i="1" s="1"/>
  <c r="G659" i="1"/>
  <c r="H659" i="1" s="1"/>
  <c r="G658" i="1"/>
  <c r="H658" i="1" s="1"/>
  <c r="G657" i="1"/>
  <c r="H657" i="1" s="1"/>
  <c r="G656" i="1"/>
  <c r="H656" i="1" s="1"/>
  <c r="G655" i="1"/>
  <c r="H655" i="1" s="1"/>
  <c r="G654" i="1"/>
  <c r="H654" i="1" s="1"/>
  <c r="G653" i="1"/>
  <c r="H653" i="1" s="1"/>
  <c r="G652" i="1"/>
  <c r="H652" i="1" s="1"/>
  <c r="G651" i="1"/>
  <c r="H651" i="1" s="1"/>
  <c r="G650" i="1"/>
  <c r="H650" i="1" s="1"/>
  <c r="G649" i="1"/>
  <c r="H649" i="1" s="1"/>
  <c r="G648" i="1"/>
  <c r="H648" i="1" s="1"/>
  <c r="G647" i="1"/>
  <c r="H647" i="1" s="1"/>
  <c r="G646" i="1"/>
  <c r="H646" i="1" s="1"/>
  <c r="G645" i="1"/>
  <c r="H645" i="1" s="1"/>
  <c r="G644" i="1"/>
  <c r="H644" i="1" s="1"/>
  <c r="G643" i="1"/>
  <c r="H643" i="1" s="1"/>
  <c r="G642" i="1"/>
  <c r="H642" i="1" s="1"/>
  <c r="G641" i="1"/>
  <c r="H641" i="1" s="1"/>
  <c r="G640" i="1"/>
  <c r="H640" i="1" s="1"/>
  <c r="G639" i="1"/>
  <c r="H639" i="1" s="1"/>
  <c r="G638" i="1"/>
  <c r="H638" i="1" s="1"/>
  <c r="G637" i="1"/>
  <c r="H637" i="1" s="1"/>
  <c r="G636" i="1"/>
  <c r="H636" i="1" s="1"/>
  <c r="G635" i="1"/>
  <c r="H635" i="1" s="1"/>
  <c r="G634" i="1"/>
  <c r="H634" i="1" s="1"/>
  <c r="G633" i="1"/>
  <c r="H633" i="1" s="1"/>
  <c r="G632" i="1"/>
  <c r="H632" i="1" s="1"/>
  <c r="G631" i="1"/>
  <c r="H631" i="1" s="1"/>
  <c r="G630" i="1"/>
  <c r="H630" i="1" s="1"/>
  <c r="G629" i="1"/>
  <c r="H629" i="1" s="1"/>
  <c r="G628" i="1"/>
  <c r="H628" i="1" s="1"/>
  <c r="G627" i="1"/>
  <c r="H627" i="1" s="1"/>
  <c r="G626" i="1"/>
  <c r="H626" i="1" s="1"/>
  <c r="G625" i="1"/>
  <c r="H625" i="1" s="1"/>
  <c r="G624" i="1"/>
  <c r="H624" i="1" s="1"/>
  <c r="G623" i="1"/>
  <c r="H623" i="1" s="1"/>
  <c r="G622" i="1"/>
  <c r="H622" i="1" s="1"/>
  <c r="G621" i="1"/>
  <c r="H621" i="1" s="1"/>
  <c r="G620" i="1"/>
  <c r="H620" i="1" s="1"/>
  <c r="G619" i="1"/>
  <c r="H619" i="1" s="1"/>
  <c r="G618" i="1"/>
  <c r="H618" i="1" s="1"/>
  <c r="G617" i="1"/>
  <c r="H617" i="1" s="1"/>
  <c r="G616" i="1"/>
  <c r="H616" i="1" s="1"/>
  <c r="G615" i="1"/>
  <c r="H615" i="1" s="1"/>
  <c r="G614" i="1"/>
  <c r="H614" i="1" s="1"/>
  <c r="G613" i="1"/>
  <c r="H613" i="1" s="1"/>
  <c r="G612" i="1"/>
  <c r="H612" i="1" s="1"/>
  <c r="G611" i="1"/>
  <c r="H611" i="1" s="1"/>
  <c r="G610" i="1"/>
  <c r="H610" i="1" s="1"/>
  <c r="G609" i="1"/>
  <c r="H609" i="1" s="1"/>
  <c r="G608" i="1"/>
  <c r="H608" i="1" s="1"/>
  <c r="G607" i="1"/>
  <c r="H607" i="1" s="1"/>
  <c r="G606" i="1"/>
  <c r="H606" i="1" s="1"/>
  <c r="G605" i="1"/>
  <c r="H605" i="1" s="1"/>
  <c r="G604" i="1"/>
  <c r="H604" i="1" s="1"/>
  <c r="G603" i="1"/>
  <c r="H603" i="1" s="1"/>
  <c r="G602" i="1"/>
  <c r="H602" i="1" s="1"/>
  <c r="G601" i="1"/>
  <c r="H601" i="1" s="1"/>
  <c r="G600" i="1"/>
  <c r="H600" i="1" s="1"/>
  <c r="G599" i="1"/>
  <c r="H599" i="1" s="1"/>
  <c r="G598" i="1"/>
  <c r="H598" i="1" s="1"/>
  <c r="G597" i="1"/>
  <c r="H597" i="1" s="1"/>
  <c r="G596" i="1"/>
  <c r="H596" i="1" s="1"/>
  <c r="G595" i="1"/>
  <c r="H595" i="1" s="1"/>
  <c r="G594" i="1"/>
  <c r="H594" i="1" s="1"/>
  <c r="G593" i="1"/>
  <c r="H593" i="1" s="1"/>
  <c r="G592" i="1"/>
  <c r="H592" i="1" s="1"/>
  <c r="G591" i="1"/>
  <c r="H591" i="1" s="1"/>
  <c r="G590" i="1"/>
  <c r="H590" i="1" s="1"/>
  <c r="G589" i="1"/>
  <c r="H589" i="1" s="1"/>
  <c r="G588" i="1"/>
  <c r="H588" i="1" s="1"/>
  <c r="G587" i="1"/>
  <c r="H587" i="1" s="1"/>
  <c r="G586" i="1"/>
  <c r="H586" i="1" s="1"/>
  <c r="G585" i="1"/>
  <c r="H585" i="1" s="1"/>
  <c r="G584" i="1"/>
  <c r="H584" i="1" s="1"/>
  <c r="G583" i="1"/>
  <c r="H583" i="1" s="1"/>
  <c r="G582" i="1"/>
  <c r="H582" i="1" s="1"/>
  <c r="G581" i="1"/>
  <c r="H581" i="1" s="1"/>
  <c r="G580" i="1"/>
  <c r="H580" i="1" s="1"/>
  <c r="G579" i="1"/>
  <c r="H579" i="1" s="1"/>
  <c r="G578" i="1"/>
  <c r="H578" i="1" s="1"/>
  <c r="G577" i="1"/>
  <c r="H577" i="1" s="1"/>
  <c r="G576" i="1"/>
  <c r="H576" i="1" s="1"/>
  <c r="G575" i="1"/>
  <c r="H575" i="1" s="1"/>
  <c r="G574" i="1"/>
  <c r="H574" i="1" s="1"/>
  <c r="G573" i="1"/>
  <c r="H573" i="1" s="1"/>
  <c r="G572" i="1"/>
  <c r="H572" i="1" s="1"/>
  <c r="G571" i="1"/>
  <c r="H571" i="1" s="1"/>
  <c r="G570" i="1"/>
  <c r="H570" i="1" s="1"/>
  <c r="G569" i="1"/>
  <c r="H569" i="1" s="1"/>
  <c r="G568" i="1"/>
  <c r="H568" i="1" s="1"/>
  <c r="G567" i="1"/>
  <c r="H567" i="1" s="1"/>
  <c r="G566" i="1"/>
  <c r="H566" i="1" s="1"/>
  <c r="G565" i="1"/>
  <c r="H565" i="1" s="1"/>
  <c r="G564" i="1"/>
  <c r="H564" i="1" s="1"/>
  <c r="G563" i="1"/>
  <c r="H563" i="1" s="1"/>
  <c r="G562" i="1"/>
  <c r="H562" i="1" s="1"/>
  <c r="G561" i="1"/>
  <c r="H561" i="1" s="1"/>
  <c r="G560" i="1"/>
  <c r="H560" i="1" s="1"/>
  <c r="G559" i="1"/>
  <c r="H559" i="1" s="1"/>
  <c r="G558" i="1"/>
  <c r="H558" i="1" s="1"/>
  <c r="G557" i="1"/>
  <c r="H557" i="1" s="1"/>
  <c r="G556" i="1"/>
  <c r="H556" i="1" s="1"/>
  <c r="G555" i="1"/>
  <c r="H555" i="1" s="1"/>
  <c r="G554" i="1"/>
  <c r="H554" i="1" s="1"/>
  <c r="G553" i="1"/>
  <c r="H553" i="1" s="1"/>
  <c r="G552" i="1"/>
  <c r="H552" i="1" s="1"/>
  <c r="G551" i="1"/>
  <c r="H551" i="1" s="1"/>
  <c r="G550" i="1"/>
  <c r="H550" i="1" s="1"/>
  <c r="G549" i="1"/>
  <c r="H549" i="1" s="1"/>
  <c r="G548" i="1"/>
  <c r="H548" i="1" s="1"/>
  <c r="G547" i="1"/>
  <c r="H547" i="1" s="1"/>
  <c r="G546" i="1"/>
  <c r="H546" i="1" s="1"/>
  <c r="G545" i="1"/>
  <c r="H545" i="1" s="1"/>
  <c r="G544" i="1"/>
  <c r="H544" i="1" s="1"/>
  <c r="G543" i="1"/>
  <c r="H543" i="1" s="1"/>
  <c r="G542" i="1"/>
  <c r="H542" i="1" s="1"/>
  <c r="G541" i="1"/>
  <c r="H541" i="1" s="1"/>
  <c r="G540" i="1"/>
  <c r="H540" i="1" s="1"/>
  <c r="G539" i="1"/>
  <c r="H539" i="1" s="1"/>
  <c r="G538" i="1"/>
  <c r="H538" i="1" s="1"/>
  <c r="G537" i="1"/>
  <c r="H537" i="1" s="1"/>
  <c r="G536" i="1"/>
  <c r="H536" i="1" s="1"/>
  <c r="G535" i="1"/>
  <c r="H535" i="1" s="1"/>
  <c r="G534" i="1"/>
  <c r="H534" i="1" s="1"/>
  <c r="G533" i="1"/>
  <c r="H533" i="1" s="1"/>
  <c r="G532" i="1"/>
  <c r="H532" i="1" s="1"/>
  <c r="G531" i="1"/>
  <c r="H531" i="1" s="1"/>
  <c r="G530" i="1"/>
  <c r="H530" i="1" s="1"/>
  <c r="G529" i="1"/>
  <c r="H529" i="1" s="1"/>
  <c r="G528" i="1"/>
  <c r="H528" i="1" s="1"/>
  <c r="G527" i="1"/>
  <c r="H527" i="1" s="1"/>
  <c r="G526" i="1"/>
  <c r="H526" i="1" s="1"/>
  <c r="G525" i="1"/>
  <c r="H525" i="1" s="1"/>
  <c r="G524" i="1"/>
  <c r="H524" i="1" s="1"/>
  <c r="G523" i="1"/>
  <c r="H523" i="1" s="1"/>
  <c r="G522" i="1"/>
  <c r="H522" i="1" s="1"/>
  <c r="G521" i="1"/>
  <c r="H521" i="1" s="1"/>
  <c r="G520" i="1"/>
  <c r="H520" i="1" s="1"/>
  <c r="G519" i="1"/>
  <c r="H519" i="1" s="1"/>
  <c r="G518" i="1"/>
  <c r="H518" i="1" s="1"/>
  <c r="G517" i="1"/>
  <c r="H517" i="1" s="1"/>
  <c r="G516" i="1"/>
  <c r="H516" i="1" s="1"/>
  <c r="G515" i="1"/>
  <c r="H515" i="1" s="1"/>
  <c r="G514" i="1"/>
  <c r="H514" i="1" s="1"/>
  <c r="G513" i="1"/>
  <c r="H513" i="1" s="1"/>
  <c r="G512" i="1"/>
  <c r="H512" i="1" s="1"/>
  <c r="G511" i="1"/>
  <c r="H511" i="1" s="1"/>
  <c r="G510" i="1"/>
  <c r="H510" i="1" s="1"/>
  <c r="G509" i="1"/>
  <c r="H509" i="1" s="1"/>
  <c r="G508" i="1"/>
  <c r="H508" i="1" s="1"/>
  <c r="G507" i="1"/>
  <c r="H507" i="1" s="1"/>
  <c r="G506" i="1"/>
  <c r="H506" i="1" s="1"/>
  <c r="G505" i="1"/>
  <c r="H505" i="1" s="1"/>
  <c r="G504" i="1"/>
  <c r="H504" i="1" s="1"/>
  <c r="G503" i="1"/>
  <c r="H503" i="1" s="1"/>
  <c r="G502" i="1"/>
  <c r="H502" i="1" s="1"/>
  <c r="G501" i="1"/>
  <c r="H501" i="1" s="1"/>
  <c r="G500" i="1"/>
  <c r="H500" i="1" s="1"/>
  <c r="G499" i="1"/>
  <c r="H499" i="1" s="1"/>
  <c r="G498" i="1"/>
  <c r="H498" i="1" s="1"/>
  <c r="G497" i="1"/>
  <c r="H497" i="1" s="1"/>
  <c r="G496" i="1"/>
  <c r="H496" i="1" s="1"/>
  <c r="G495" i="1"/>
  <c r="H495" i="1" s="1"/>
  <c r="G494" i="1"/>
  <c r="H494" i="1" s="1"/>
  <c r="G493" i="1"/>
  <c r="H493" i="1" s="1"/>
  <c r="G492" i="1"/>
  <c r="H492" i="1" s="1"/>
  <c r="G491" i="1"/>
  <c r="H491" i="1" s="1"/>
  <c r="G490" i="1"/>
  <c r="H490" i="1" s="1"/>
  <c r="G489" i="1"/>
  <c r="H489" i="1" s="1"/>
  <c r="G488" i="1"/>
  <c r="H488" i="1" s="1"/>
  <c r="G487" i="1"/>
  <c r="H487" i="1" s="1"/>
  <c r="G486" i="1"/>
  <c r="H486" i="1" s="1"/>
  <c r="G485" i="1"/>
  <c r="H485" i="1" s="1"/>
  <c r="G484" i="1"/>
  <c r="H484" i="1" s="1"/>
  <c r="G483" i="1"/>
  <c r="H483" i="1" s="1"/>
  <c r="G482" i="1"/>
  <c r="H482" i="1" s="1"/>
  <c r="G481" i="1"/>
  <c r="H481" i="1" s="1"/>
  <c r="G480" i="1"/>
  <c r="H480" i="1" s="1"/>
  <c r="G479" i="1"/>
  <c r="H479" i="1" s="1"/>
  <c r="G478" i="1"/>
  <c r="H478" i="1" s="1"/>
  <c r="G477" i="1"/>
  <c r="H477" i="1" s="1"/>
  <c r="G476" i="1"/>
  <c r="H476" i="1" s="1"/>
  <c r="G475" i="1"/>
  <c r="H475" i="1" s="1"/>
  <c r="G474" i="1"/>
  <c r="H474" i="1" s="1"/>
  <c r="G473" i="1"/>
  <c r="H473" i="1" s="1"/>
  <c r="G472" i="1"/>
  <c r="H472" i="1" s="1"/>
  <c r="G471" i="1"/>
  <c r="H471" i="1" s="1"/>
  <c r="G470" i="1"/>
  <c r="H470" i="1" s="1"/>
  <c r="G469" i="1"/>
  <c r="H469" i="1" s="1"/>
  <c r="G468" i="1"/>
  <c r="H468" i="1" s="1"/>
  <c r="G467" i="1"/>
  <c r="H467" i="1" s="1"/>
  <c r="G466" i="1"/>
  <c r="H466" i="1" s="1"/>
  <c r="G465" i="1"/>
  <c r="H465" i="1" s="1"/>
  <c r="G464" i="1"/>
  <c r="H464" i="1" s="1"/>
  <c r="G463" i="1"/>
  <c r="H463" i="1" s="1"/>
  <c r="G462" i="1"/>
  <c r="H462" i="1" s="1"/>
  <c r="G461" i="1"/>
  <c r="H461" i="1" s="1"/>
  <c r="G460" i="1"/>
  <c r="H460" i="1" s="1"/>
  <c r="G459" i="1"/>
  <c r="H459" i="1" s="1"/>
  <c r="G458" i="1"/>
  <c r="H458" i="1" s="1"/>
  <c r="G457" i="1"/>
  <c r="H457" i="1" s="1"/>
  <c r="G456" i="1"/>
  <c r="H456" i="1" s="1"/>
  <c r="G455" i="1"/>
  <c r="H455" i="1" s="1"/>
  <c r="G454" i="1"/>
  <c r="H454" i="1" s="1"/>
  <c r="G453" i="1"/>
  <c r="H453" i="1" s="1"/>
  <c r="G452" i="1"/>
  <c r="H452" i="1" s="1"/>
  <c r="G451" i="1"/>
  <c r="H451" i="1" s="1"/>
  <c r="G450" i="1"/>
  <c r="H450" i="1" s="1"/>
  <c r="G449" i="1"/>
  <c r="H449" i="1" s="1"/>
  <c r="G448" i="1"/>
  <c r="H448" i="1" s="1"/>
  <c r="G447" i="1"/>
  <c r="H447" i="1" s="1"/>
  <c r="G446" i="1"/>
  <c r="H446" i="1" s="1"/>
  <c r="G445" i="1"/>
  <c r="H445" i="1" s="1"/>
  <c r="G444" i="1"/>
  <c r="H444" i="1" s="1"/>
  <c r="G443" i="1"/>
  <c r="H443" i="1" s="1"/>
  <c r="G442" i="1"/>
  <c r="H442" i="1" s="1"/>
  <c r="G441" i="1"/>
  <c r="H441" i="1" s="1"/>
  <c r="G440" i="1"/>
  <c r="H440" i="1" s="1"/>
  <c r="G439" i="1"/>
  <c r="H439" i="1" s="1"/>
  <c r="G438" i="1"/>
  <c r="H438" i="1" s="1"/>
  <c r="G437" i="1"/>
  <c r="H437" i="1" s="1"/>
  <c r="G436" i="1"/>
  <c r="H436" i="1" s="1"/>
  <c r="G435" i="1"/>
  <c r="H435" i="1" s="1"/>
  <c r="G434" i="1"/>
  <c r="H434" i="1" s="1"/>
  <c r="G433" i="1"/>
  <c r="H433" i="1" s="1"/>
  <c r="G432" i="1"/>
  <c r="H432" i="1" s="1"/>
  <c r="G431" i="1"/>
  <c r="H431" i="1" s="1"/>
  <c r="G430" i="1"/>
  <c r="H430" i="1" s="1"/>
  <c r="G429" i="1"/>
  <c r="H429" i="1" s="1"/>
  <c r="G428" i="1"/>
  <c r="H428" i="1" s="1"/>
  <c r="G427" i="1"/>
  <c r="H427" i="1" s="1"/>
  <c r="G426" i="1"/>
  <c r="H426" i="1" s="1"/>
  <c r="G425" i="1"/>
  <c r="H425" i="1" s="1"/>
  <c r="G424" i="1"/>
  <c r="H424" i="1" s="1"/>
  <c r="G423" i="1"/>
  <c r="H423" i="1" s="1"/>
  <c r="G422" i="1"/>
  <c r="H422" i="1" s="1"/>
  <c r="G421" i="1"/>
  <c r="H421" i="1" s="1"/>
  <c r="G420" i="1"/>
  <c r="H420" i="1" s="1"/>
  <c r="G419" i="1"/>
  <c r="H419" i="1" s="1"/>
  <c r="G418" i="1"/>
  <c r="H418" i="1" s="1"/>
  <c r="G417" i="1"/>
  <c r="H417" i="1" s="1"/>
  <c r="G416" i="1"/>
  <c r="H416" i="1" s="1"/>
  <c r="G415" i="1"/>
  <c r="H415" i="1" s="1"/>
  <c r="G414" i="1"/>
  <c r="H414" i="1" s="1"/>
  <c r="G413" i="1"/>
  <c r="H413" i="1" s="1"/>
  <c r="G412" i="1"/>
  <c r="H412" i="1" s="1"/>
  <c r="G411" i="1"/>
  <c r="H411" i="1" s="1"/>
  <c r="G410" i="1"/>
  <c r="H410" i="1" s="1"/>
  <c r="G409" i="1"/>
  <c r="H409" i="1" s="1"/>
  <c r="G408" i="1"/>
  <c r="H408" i="1" s="1"/>
  <c r="G407" i="1"/>
  <c r="H407" i="1" s="1"/>
  <c r="G406" i="1"/>
  <c r="H406" i="1" s="1"/>
  <c r="G405" i="1"/>
  <c r="H405" i="1" s="1"/>
  <c r="G404" i="1"/>
  <c r="H404" i="1" s="1"/>
  <c r="G403" i="1"/>
  <c r="H403" i="1" s="1"/>
  <c r="G402" i="1"/>
  <c r="H402" i="1" s="1"/>
  <c r="G401" i="1"/>
  <c r="H401" i="1" s="1"/>
  <c r="G400" i="1"/>
  <c r="H400" i="1" s="1"/>
  <c r="G399" i="1"/>
  <c r="H399" i="1" s="1"/>
  <c r="G398" i="1"/>
  <c r="H398" i="1" s="1"/>
  <c r="G397" i="1"/>
  <c r="H397" i="1" s="1"/>
  <c r="G396" i="1"/>
  <c r="H396" i="1" s="1"/>
  <c r="G395" i="1"/>
  <c r="H395" i="1" s="1"/>
  <c r="G394" i="1"/>
  <c r="H394" i="1" s="1"/>
  <c r="G393" i="1"/>
  <c r="H393" i="1" s="1"/>
  <c r="G392" i="1"/>
  <c r="H392" i="1" s="1"/>
  <c r="G391" i="1"/>
  <c r="H391" i="1" s="1"/>
  <c r="G390" i="1"/>
  <c r="H390" i="1" s="1"/>
  <c r="G389" i="1"/>
  <c r="H389" i="1" s="1"/>
  <c r="G388" i="1"/>
  <c r="H388" i="1" s="1"/>
  <c r="G387" i="1"/>
  <c r="H387" i="1" s="1"/>
  <c r="G386" i="1"/>
  <c r="H386" i="1" s="1"/>
  <c r="G385" i="1"/>
  <c r="H385" i="1" s="1"/>
  <c r="G384" i="1"/>
  <c r="H384" i="1" s="1"/>
  <c r="G383" i="1"/>
  <c r="H383" i="1" s="1"/>
  <c r="G382" i="1"/>
  <c r="H382" i="1" s="1"/>
  <c r="G381" i="1"/>
  <c r="H381" i="1" s="1"/>
  <c r="G380" i="1"/>
  <c r="H380" i="1" s="1"/>
  <c r="G379" i="1"/>
  <c r="H379" i="1" s="1"/>
  <c r="G378" i="1"/>
  <c r="H378" i="1" s="1"/>
  <c r="G377" i="1"/>
  <c r="H377" i="1" s="1"/>
  <c r="G376" i="1"/>
  <c r="H376" i="1" s="1"/>
  <c r="G375" i="1"/>
  <c r="H375" i="1" s="1"/>
  <c r="G374" i="1"/>
  <c r="H374" i="1" s="1"/>
  <c r="G373" i="1"/>
  <c r="H373" i="1" s="1"/>
  <c r="G372" i="1"/>
  <c r="H372" i="1" s="1"/>
  <c r="G371" i="1"/>
  <c r="H371" i="1" s="1"/>
  <c r="G370" i="1"/>
  <c r="H370" i="1" s="1"/>
  <c r="G369" i="1"/>
  <c r="H369" i="1" s="1"/>
  <c r="G368" i="1"/>
  <c r="H368" i="1" s="1"/>
  <c r="G367" i="1"/>
  <c r="H367" i="1" s="1"/>
  <c r="G366" i="1"/>
  <c r="H366" i="1" s="1"/>
  <c r="G365" i="1"/>
  <c r="H365" i="1" s="1"/>
  <c r="G364" i="1"/>
  <c r="H364" i="1" s="1"/>
  <c r="G363" i="1"/>
  <c r="H363" i="1" s="1"/>
  <c r="G362" i="1"/>
  <c r="H362" i="1" s="1"/>
  <c r="G361" i="1"/>
  <c r="H361" i="1" s="1"/>
  <c r="G360" i="1"/>
  <c r="H360" i="1" s="1"/>
  <c r="G359" i="1"/>
  <c r="H359" i="1" s="1"/>
  <c r="G358" i="1"/>
  <c r="H358" i="1" s="1"/>
  <c r="G357" i="1"/>
  <c r="H357" i="1" s="1"/>
  <c r="G356" i="1"/>
  <c r="H356" i="1" s="1"/>
  <c r="G355" i="1"/>
  <c r="H355" i="1" s="1"/>
  <c r="G354" i="1"/>
  <c r="H354" i="1" s="1"/>
  <c r="G353" i="1"/>
  <c r="H353" i="1" s="1"/>
  <c r="G352" i="1"/>
  <c r="H352" i="1" s="1"/>
  <c r="G351" i="1"/>
  <c r="H351" i="1" s="1"/>
  <c r="G350" i="1"/>
  <c r="H350" i="1" s="1"/>
  <c r="G349" i="1"/>
  <c r="H349" i="1" s="1"/>
  <c r="G348" i="1"/>
  <c r="H348" i="1" s="1"/>
  <c r="G347" i="1"/>
  <c r="H347" i="1" s="1"/>
  <c r="G346" i="1"/>
  <c r="H346" i="1" s="1"/>
  <c r="G345" i="1"/>
  <c r="H345" i="1" s="1"/>
  <c r="G344" i="1"/>
  <c r="H344" i="1" s="1"/>
  <c r="G343" i="1"/>
  <c r="H343" i="1" s="1"/>
  <c r="G342" i="1"/>
  <c r="H342" i="1" s="1"/>
  <c r="G341" i="1"/>
  <c r="H341" i="1" s="1"/>
  <c r="G340" i="1"/>
  <c r="H340" i="1" s="1"/>
  <c r="G339" i="1"/>
  <c r="H339" i="1" s="1"/>
  <c r="G338" i="1"/>
  <c r="H338" i="1" s="1"/>
  <c r="G337" i="1"/>
  <c r="H337" i="1" s="1"/>
  <c r="G336" i="1"/>
  <c r="H336" i="1" s="1"/>
  <c r="G335" i="1"/>
  <c r="H335" i="1" s="1"/>
  <c r="G334" i="1"/>
  <c r="H334" i="1" s="1"/>
  <c r="G333" i="1"/>
  <c r="H333" i="1" s="1"/>
  <c r="G332" i="1"/>
  <c r="H332" i="1" s="1"/>
  <c r="G331" i="1"/>
  <c r="H331" i="1" s="1"/>
  <c r="G330" i="1"/>
  <c r="H330" i="1" s="1"/>
  <c r="G329" i="1"/>
  <c r="H329" i="1" s="1"/>
  <c r="G328" i="1"/>
  <c r="H328" i="1" s="1"/>
  <c r="G327" i="1"/>
  <c r="H327" i="1" s="1"/>
  <c r="G326" i="1"/>
  <c r="H326" i="1" s="1"/>
  <c r="G325" i="1"/>
  <c r="H325" i="1" s="1"/>
  <c r="G324" i="1"/>
  <c r="H324" i="1" s="1"/>
  <c r="G323" i="1"/>
  <c r="H323" i="1" s="1"/>
  <c r="G322" i="1"/>
  <c r="H322" i="1" s="1"/>
  <c r="G321" i="1"/>
  <c r="H321" i="1" s="1"/>
  <c r="G320" i="1"/>
  <c r="H320" i="1" s="1"/>
  <c r="G319" i="1"/>
  <c r="H319" i="1" s="1"/>
  <c r="G318" i="1"/>
  <c r="H318" i="1" s="1"/>
  <c r="G317" i="1"/>
  <c r="H317" i="1" s="1"/>
  <c r="G316" i="1"/>
  <c r="H316" i="1" s="1"/>
  <c r="G315" i="1"/>
  <c r="H315" i="1" s="1"/>
  <c r="G314" i="1"/>
  <c r="H314" i="1" s="1"/>
  <c r="G313" i="1"/>
  <c r="H313" i="1" s="1"/>
  <c r="G312" i="1"/>
  <c r="H312" i="1" s="1"/>
  <c r="G311" i="1"/>
  <c r="H311" i="1" s="1"/>
  <c r="G310" i="1"/>
  <c r="H310" i="1" s="1"/>
  <c r="G309" i="1"/>
  <c r="H309" i="1" s="1"/>
  <c r="G308" i="1"/>
  <c r="H308" i="1" s="1"/>
  <c r="G307" i="1"/>
  <c r="H307" i="1" s="1"/>
  <c r="G306" i="1"/>
  <c r="H306" i="1" s="1"/>
  <c r="G305" i="1"/>
  <c r="H305" i="1" s="1"/>
  <c r="G304" i="1"/>
  <c r="H304" i="1" s="1"/>
  <c r="G303" i="1"/>
  <c r="H303" i="1" s="1"/>
  <c r="G302" i="1"/>
  <c r="H302" i="1" s="1"/>
  <c r="G301" i="1"/>
  <c r="H301" i="1" s="1"/>
  <c r="G300" i="1"/>
  <c r="H300" i="1" s="1"/>
  <c r="G299" i="1"/>
  <c r="H299" i="1" s="1"/>
  <c r="G298" i="1"/>
  <c r="H298" i="1" s="1"/>
  <c r="G297" i="1"/>
  <c r="H297" i="1" s="1"/>
  <c r="G296" i="1"/>
  <c r="H296" i="1" s="1"/>
  <c r="G295" i="1"/>
  <c r="H295" i="1" s="1"/>
  <c r="G294" i="1"/>
  <c r="H294" i="1" s="1"/>
  <c r="G293" i="1"/>
  <c r="H293" i="1" s="1"/>
  <c r="G292" i="1"/>
  <c r="H292" i="1" s="1"/>
  <c r="G291" i="1"/>
  <c r="H291" i="1" s="1"/>
  <c r="G290" i="1"/>
  <c r="H290" i="1" s="1"/>
  <c r="G289" i="1"/>
  <c r="H289" i="1" s="1"/>
  <c r="G288" i="1"/>
  <c r="H288" i="1" s="1"/>
  <c r="G287" i="1"/>
  <c r="H287" i="1" s="1"/>
  <c r="G286" i="1"/>
  <c r="H286" i="1" s="1"/>
  <c r="G285" i="1"/>
  <c r="H285" i="1" s="1"/>
  <c r="G284" i="1"/>
  <c r="H284" i="1" s="1"/>
  <c r="G283" i="1"/>
  <c r="H283" i="1" s="1"/>
  <c r="G282" i="1"/>
  <c r="H282" i="1" s="1"/>
  <c r="G281" i="1"/>
  <c r="H281" i="1" s="1"/>
  <c r="G280" i="1"/>
  <c r="H280" i="1" s="1"/>
  <c r="G279" i="1"/>
  <c r="H279" i="1" s="1"/>
  <c r="G278" i="1"/>
  <c r="H278" i="1" s="1"/>
  <c r="G277" i="1"/>
  <c r="H277" i="1" s="1"/>
  <c r="G276" i="1"/>
  <c r="H276" i="1" s="1"/>
  <c r="G275" i="1"/>
  <c r="H275" i="1" s="1"/>
  <c r="G274" i="1"/>
  <c r="H274" i="1" s="1"/>
  <c r="G273" i="1"/>
  <c r="H273" i="1" s="1"/>
  <c r="G272" i="1"/>
  <c r="H272" i="1" s="1"/>
  <c r="G271" i="1"/>
  <c r="H271" i="1" s="1"/>
  <c r="G270" i="1"/>
  <c r="H270" i="1" s="1"/>
  <c r="G269" i="1"/>
  <c r="H269" i="1" s="1"/>
  <c r="G268" i="1"/>
  <c r="H268" i="1" s="1"/>
  <c r="G267" i="1"/>
  <c r="H267" i="1" s="1"/>
  <c r="G266" i="1"/>
  <c r="H266" i="1" s="1"/>
  <c r="G265" i="1"/>
  <c r="H265" i="1" s="1"/>
  <c r="G264" i="1"/>
  <c r="H264" i="1" s="1"/>
  <c r="G263" i="1"/>
  <c r="H263" i="1" s="1"/>
  <c r="G262" i="1"/>
  <c r="H262" i="1" s="1"/>
  <c r="G261" i="1"/>
  <c r="H261" i="1" s="1"/>
  <c r="G260" i="1"/>
  <c r="H260" i="1" s="1"/>
  <c r="G259" i="1"/>
  <c r="H259" i="1" s="1"/>
  <c r="G258" i="1"/>
  <c r="H258" i="1" s="1"/>
  <c r="G257" i="1"/>
  <c r="H257" i="1" s="1"/>
  <c r="G256" i="1"/>
  <c r="H256" i="1" s="1"/>
  <c r="G255" i="1"/>
  <c r="H255" i="1" s="1"/>
  <c r="G254" i="1"/>
  <c r="H254" i="1" s="1"/>
  <c r="G253" i="1"/>
  <c r="H253" i="1" s="1"/>
  <c r="G252" i="1"/>
  <c r="H252" i="1" s="1"/>
  <c r="G251" i="1"/>
  <c r="H251" i="1" s="1"/>
  <c r="G250" i="1"/>
  <c r="H250" i="1" s="1"/>
  <c r="G249" i="1"/>
  <c r="H249" i="1" s="1"/>
  <c r="G248" i="1"/>
  <c r="H248" i="1" s="1"/>
  <c r="G247" i="1"/>
  <c r="H247" i="1" s="1"/>
  <c r="G246" i="1"/>
  <c r="H246" i="1" s="1"/>
  <c r="G245" i="1"/>
  <c r="H245" i="1" s="1"/>
  <c r="G244" i="1"/>
  <c r="H244" i="1" s="1"/>
  <c r="G243" i="1"/>
  <c r="H243" i="1" s="1"/>
  <c r="G242" i="1"/>
  <c r="H242" i="1" s="1"/>
  <c r="G241" i="1"/>
  <c r="H241" i="1" s="1"/>
  <c r="G240" i="1"/>
  <c r="H240" i="1" s="1"/>
  <c r="G239" i="1"/>
  <c r="H239" i="1" s="1"/>
  <c r="G238" i="1"/>
  <c r="H238" i="1" s="1"/>
  <c r="G237" i="1"/>
  <c r="H237" i="1" s="1"/>
  <c r="G236" i="1"/>
  <c r="H236" i="1" s="1"/>
  <c r="G235" i="1"/>
  <c r="H235" i="1" s="1"/>
  <c r="G234" i="1"/>
  <c r="H234" i="1" s="1"/>
  <c r="G233" i="1"/>
  <c r="H233" i="1" s="1"/>
  <c r="G232" i="1"/>
  <c r="H232" i="1" s="1"/>
  <c r="G231" i="1"/>
  <c r="H231" i="1" s="1"/>
  <c r="G230" i="1"/>
  <c r="H230" i="1" s="1"/>
  <c r="G229" i="1"/>
  <c r="H229" i="1" s="1"/>
  <c r="G228" i="1"/>
  <c r="H228" i="1" s="1"/>
  <c r="G227" i="1"/>
  <c r="H227" i="1" s="1"/>
  <c r="G226" i="1"/>
  <c r="H226" i="1" s="1"/>
  <c r="G225" i="1"/>
  <c r="H225" i="1" s="1"/>
  <c r="G224" i="1"/>
  <c r="H224" i="1" s="1"/>
  <c r="G223" i="1"/>
  <c r="H223" i="1" s="1"/>
  <c r="G222" i="1"/>
  <c r="H222" i="1" s="1"/>
  <c r="G221" i="1"/>
  <c r="H221" i="1" s="1"/>
  <c r="G220" i="1"/>
  <c r="H220" i="1" s="1"/>
  <c r="G219" i="1"/>
  <c r="H219" i="1" s="1"/>
  <c r="G218" i="1"/>
  <c r="H218" i="1" s="1"/>
  <c r="G217" i="1"/>
  <c r="H217" i="1" s="1"/>
  <c r="G216" i="1"/>
  <c r="H216" i="1" s="1"/>
  <c r="G215" i="1"/>
  <c r="H215" i="1" s="1"/>
  <c r="G214" i="1"/>
  <c r="H214" i="1" s="1"/>
  <c r="G213" i="1"/>
  <c r="H213" i="1" s="1"/>
  <c r="G212" i="1"/>
  <c r="H212" i="1" s="1"/>
  <c r="G211" i="1"/>
  <c r="H211" i="1" s="1"/>
  <c r="G210" i="1"/>
  <c r="H210" i="1" s="1"/>
  <c r="G209" i="1"/>
  <c r="H209" i="1" s="1"/>
  <c r="G208" i="1"/>
  <c r="H208" i="1" s="1"/>
  <c r="G207" i="1"/>
  <c r="H207" i="1" s="1"/>
  <c r="G206" i="1"/>
  <c r="H206" i="1" s="1"/>
  <c r="G205" i="1"/>
  <c r="H205" i="1" s="1"/>
  <c r="G204" i="1"/>
  <c r="H204" i="1" s="1"/>
  <c r="G203" i="1"/>
  <c r="H203" i="1" s="1"/>
  <c r="G202" i="1"/>
  <c r="H202" i="1" s="1"/>
  <c r="G201" i="1"/>
  <c r="H201" i="1" s="1"/>
  <c r="G200" i="1"/>
  <c r="H200" i="1" s="1"/>
  <c r="G199" i="1"/>
  <c r="H199" i="1" s="1"/>
  <c r="G198" i="1"/>
  <c r="H198" i="1" s="1"/>
  <c r="G197" i="1"/>
  <c r="H197" i="1" s="1"/>
  <c r="G196" i="1"/>
  <c r="H196" i="1" s="1"/>
  <c r="G195" i="1"/>
  <c r="H195" i="1" s="1"/>
  <c r="G194" i="1"/>
  <c r="H194" i="1" s="1"/>
  <c r="G193" i="1"/>
  <c r="H193" i="1" s="1"/>
  <c r="G192" i="1"/>
  <c r="H192" i="1" s="1"/>
  <c r="G191" i="1"/>
  <c r="H191" i="1" s="1"/>
  <c r="G190" i="1"/>
  <c r="H190" i="1" s="1"/>
  <c r="G189" i="1"/>
  <c r="H189" i="1" s="1"/>
  <c r="G188" i="1"/>
  <c r="H188" i="1" s="1"/>
  <c r="G187" i="1"/>
  <c r="H187" i="1" s="1"/>
  <c r="G186" i="1"/>
  <c r="H186" i="1" s="1"/>
  <c r="G185" i="1"/>
  <c r="H185" i="1" s="1"/>
  <c r="G184" i="1"/>
  <c r="H184" i="1" s="1"/>
  <c r="G183" i="1"/>
  <c r="H183" i="1" s="1"/>
  <c r="G182" i="1"/>
  <c r="H182" i="1" s="1"/>
  <c r="G181" i="1"/>
  <c r="H181" i="1" s="1"/>
  <c r="G180" i="1"/>
  <c r="H180" i="1" s="1"/>
  <c r="G179" i="1"/>
  <c r="H179" i="1" s="1"/>
  <c r="G178" i="1"/>
  <c r="H178" i="1" s="1"/>
  <c r="G177" i="1"/>
  <c r="H177" i="1" s="1"/>
  <c r="G176" i="1"/>
  <c r="H176" i="1" s="1"/>
  <c r="G175" i="1"/>
  <c r="H175" i="1" s="1"/>
  <c r="G174" i="1"/>
  <c r="H174" i="1" s="1"/>
  <c r="G173" i="1"/>
  <c r="H173" i="1" s="1"/>
  <c r="G172" i="1"/>
  <c r="H172" i="1" s="1"/>
  <c r="G171" i="1"/>
  <c r="H171" i="1" s="1"/>
  <c r="G170" i="1"/>
  <c r="H170" i="1" s="1"/>
  <c r="G169" i="1"/>
  <c r="H169" i="1" s="1"/>
  <c r="G168" i="1"/>
  <c r="H168" i="1" s="1"/>
  <c r="G167" i="1"/>
  <c r="H167" i="1" s="1"/>
  <c r="G166" i="1"/>
  <c r="H166" i="1" s="1"/>
  <c r="G165" i="1"/>
  <c r="H165" i="1" s="1"/>
  <c r="G164" i="1"/>
  <c r="H164" i="1" s="1"/>
  <c r="G163" i="1"/>
  <c r="H163" i="1" s="1"/>
  <c r="G162" i="1"/>
  <c r="H162" i="1" s="1"/>
  <c r="G161" i="1"/>
  <c r="H161" i="1" s="1"/>
  <c r="G160" i="1"/>
  <c r="H160" i="1" s="1"/>
  <c r="G159" i="1"/>
  <c r="H159" i="1" s="1"/>
  <c r="G158" i="1"/>
  <c r="H158" i="1" s="1"/>
  <c r="G157" i="1"/>
  <c r="H157" i="1" s="1"/>
  <c r="G156" i="1"/>
  <c r="H156" i="1" s="1"/>
  <c r="G155" i="1"/>
  <c r="H155" i="1" s="1"/>
  <c r="G154" i="1"/>
  <c r="H154" i="1" s="1"/>
  <c r="G153" i="1"/>
  <c r="H153" i="1" s="1"/>
  <c r="G152" i="1"/>
  <c r="H152" i="1" s="1"/>
  <c r="G151" i="1"/>
  <c r="H151" i="1" s="1"/>
  <c r="G150" i="1"/>
  <c r="H150" i="1" s="1"/>
  <c r="G149" i="1"/>
  <c r="H149" i="1" s="1"/>
  <c r="G148" i="1"/>
  <c r="H148" i="1" s="1"/>
  <c r="G147" i="1"/>
  <c r="H147" i="1" s="1"/>
  <c r="G146" i="1"/>
  <c r="H146" i="1" s="1"/>
  <c r="G145" i="1"/>
  <c r="H145" i="1" s="1"/>
  <c r="G144" i="1"/>
  <c r="H144" i="1" s="1"/>
  <c r="G143" i="1"/>
  <c r="H143" i="1" s="1"/>
  <c r="G142" i="1"/>
  <c r="H142" i="1" s="1"/>
  <c r="G141" i="1"/>
  <c r="H141" i="1" s="1"/>
  <c r="G140" i="1"/>
  <c r="H140" i="1" s="1"/>
  <c r="G139" i="1"/>
  <c r="H139" i="1" s="1"/>
  <c r="G138" i="1"/>
  <c r="H138" i="1" s="1"/>
  <c r="G137" i="1"/>
  <c r="H137" i="1" s="1"/>
  <c r="G136" i="1"/>
  <c r="H136" i="1" s="1"/>
  <c r="G135" i="1"/>
  <c r="H135" i="1" s="1"/>
  <c r="G134" i="1"/>
  <c r="H134" i="1" s="1"/>
  <c r="G133" i="1"/>
  <c r="H133" i="1" s="1"/>
  <c r="G132" i="1"/>
  <c r="H132" i="1" s="1"/>
  <c r="G131" i="1"/>
  <c r="H131" i="1" s="1"/>
  <c r="G130" i="1"/>
  <c r="H130" i="1" s="1"/>
  <c r="G129" i="1"/>
  <c r="H129" i="1" s="1"/>
  <c r="G128" i="1"/>
  <c r="H128" i="1" s="1"/>
  <c r="G127" i="1"/>
  <c r="H127" i="1" s="1"/>
  <c r="G126" i="1"/>
  <c r="H126" i="1" s="1"/>
  <c r="G125" i="1"/>
  <c r="H125" i="1" s="1"/>
  <c r="G124" i="1"/>
  <c r="H124" i="1" s="1"/>
  <c r="G123" i="1"/>
  <c r="H123" i="1" s="1"/>
  <c r="G122" i="1"/>
  <c r="H122" i="1" s="1"/>
  <c r="G121" i="1"/>
  <c r="H121" i="1" s="1"/>
  <c r="G120" i="1"/>
  <c r="H120" i="1" s="1"/>
  <c r="G119" i="1"/>
  <c r="H119" i="1" s="1"/>
  <c r="G118" i="1"/>
  <c r="H118" i="1" s="1"/>
  <c r="G117" i="1"/>
  <c r="H117" i="1" s="1"/>
  <c r="G116" i="1"/>
  <c r="H116" i="1" s="1"/>
  <c r="G115" i="1"/>
  <c r="H115" i="1" s="1"/>
  <c r="G114" i="1"/>
  <c r="H114" i="1" s="1"/>
  <c r="G113" i="1"/>
  <c r="H113" i="1" s="1"/>
  <c r="G112" i="1"/>
  <c r="H112" i="1" s="1"/>
  <c r="G111" i="1"/>
  <c r="H111" i="1" s="1"/>
  <c r="G110" i="1"/>
  <c r="H110" i="1" s="1"/>
  <c r="G109" i="1"/>
  <c r="H109" i="1" s="1"/>
  <c r="G108" i="1"/>
  <c r="H108" i="1" s="1"/>
  <c r="G107" i="1"/>
  <c r="H107" i="1" s="1"/>
  <c r="G106" i="1"/>
  <c r="H106" i="1" s="1"/>
  <c r="G105" i="1"/>
  <c r="H105" i="1" s="1"/>
  <c r="G104" i="1"/>
  <c r="H104" i="1" s="1"/>
  <c r="G103" i="1"/>
  <c r="H103" i="1" s="1"/>
  <c r="G102" i="1"/>
  <c r="H102" i="1" s="1"/>
  <c r="G101" i="1"/>
  <c r="H101" i="1" s="1"/>
  <c r="G100" i="1"/>
  <c r="H100" i="1" s="1"/>
  <c r="G99" i="1"/>
  <c r="H99" i="1" s="1"/>
  <c r="G98" i="1"/>
  <c r="H98" i="1" s="1"/>
  <c r="G97" i="1"/>
  <c r="H97" i="1" s="1"/>
  <c r="G96" i="1"/>
  <c r="H96" i="1" s="1"/>
  <c r="G95" i="1"/>
  <c r="H95" i="1" s="1"/>
  <c r="G94" i="1"/>
  <c r="H94" i="1" s="1"/>
  <c r="G93" i="1"/>
  <c r="H93" i="1" s="1"/>
  <c r="G92" i="1"/>
  <c r="H92" i="1" s="1"/>
  <c r="G91" i="1"/>
  <c r="H91" i="1" s="1"/>
  <c r="G90" i="1"/>
  <c r="H90" i="1" s="1"/>
  <c r="G89" i="1"/>
  <c r="H89" i="1" s="1"/>
  <c r="G88" i="1"/>
  <c r="H88" i="1" s="1"/>
  <c r="G87" i="1"/>
  <c r="H87" i="1" s="1"/>
  <c r="G86" i="1"/>
  <c r="H86" i="1" s="1"/>
  <c r="G85" i="1"/>
  <c r="H85" i="1" s="1"/>
  <c r="G84" i="1"/>
  <c r="H84" i="1" s="1"/>
  <c r="G83" i="1"/>
  <c r="H83" i="1" s="1"/>
  <c r="G82" i="1"/>
  <c r="H82" i="1" s="1"/>
  <c r="G81" i="1"/>
  <c r="H81" i="1" s="1"/>
  <c r="G80" i="1"/>
  <c r="H80" i="1" s="1"/>
  <c r="G79" i="1"/>
  <c r="H79" i="1" s="1"/>
  <c r="G78" i="1"/>
  <c r="H78" i="1" s="1"/>
  <c r="G77" i="1"/>
  <c r="H77" i="1" s="1"/>
  <c r="G76" i="1"/>
  <c r="H76" i="1" s="1"/>
  <c r="G75" i="1"/>
  <c r="H75" i="1" s="1"/>
  <c r="G74" i="1"/>
  <c r="H74" i="1" s="1"/>
  <c r="G73" i="1"/>
  <c r="H73" i="1" s="1"/>
  <c r="G72" i="1"/>
  <c r="H72" i="1" s="1"/>
  <c r="G71" i="1"/>
  <c r="H71" i="1" s="1"/>
  <c r="G70" i="1"/>
  <c r="H70" i="1" s="1"/>
  <c r="G69" i="1"/>
  <c r="H69" i="1" s="1"/>
  <c r="G68" i="1"/>
  <c r="H68" i="1" s="1"/>
  <c r="G67" i="1"/>
  <c r="H67" i="1" s="1"/>
  <c r="G66" i="1"/>
  <c r="H66" i="1" s="1"/>
  <c r="G65" i="1"/>
  <c r="H65" i="1" s="1"/>
  <c r="G64" i="1"/>
  <c r="H64" i="1" s="1"/>
  <c r="G63" i="1"/>
  <c r="H63" i="1" s="1"/>
  <c r="G62" i="1"/>
  <c r="H62" i="1" s="1"/>
  <c r="H61" i="1"/>
  <c r="H60" i="1"/>
  <c r="H55" i="1"/>
  <c r="H54" i="1"/>
  <c r="H53" i="1"/>
  <c r="H43" i="1"/>
  <c r="H42" i="1"/>
  <c r="H41" i="1"/>
  <c r="H37" i="1"/>
  <c r="H36" i="1"/>
  <c r="H31" i="1"/>
  <c r="H30" i="1"/>
  <c r="H29" i="1"/>
  <c r="H18" i="1"/>
  <c r="H17" i="1"/>
  <c r="H15" i="1"/>
  <c r="H3" i="1"/>
  <c r="D6" i="5" l="1"/>
  <c r="H5" i="1"/>
  <c r="C6" i="5"/>
  <c r="B6" i="5"/>
</calcChain>
</file>

<file path=xl/sharedStrings.xml><?xml version="1.0" encoding="utf-8"?>
<sst xmlns="http://schemas.openxmlformats.org/spreadsheetml/2006/main" count="8040" uniqueCount="2038">
  <si>
    <t>Item ID</t>
  </si>
  <si>
    <t>Description</t>
  </si>
  <si>
    <t>Category</t>
  </si>
  <si>
    <t>Quantity</t>
  </si>
  <si>
    <t>Unit</t>
  </si>
  <si>
    <t>Amount</t>
  </si>
  <si>
    <t>ITEM-0001</t>
  </si>
  <si>
    <t>Excavation</t>
  </si>
  <si>
    <t>Plumbing</t>
  </si>
  <si>
    <t>sqft</t>
  </si>
  <si>
    <t>ITEM-0002</t>
  </si>
  <si>
    <t>Plastering</t>
  </si>
  <si>
    <t>Electrical</t>
  </si>
  <si>
    <t>ITEM-0003</t>
  </si>
  <si>
    <t>m</t>
  </si>
  <si>
    <t>ITEM-0004</t>
  </si>
  <si>
    <t>Flooring</t>
  </si>
  <si>
    <t>Civil</t>
  </si>
  <si>
    <t>nos</t>
  </si>
  <si>
    <t>ITEM-0005</t>
  </si>
  <si>
    <t>Brick Masonry</t>
  </si>
  <si>
    <t>HVAC</t>
  </si>
  <si>
    <t>m³</t>
  </si>
  <si>
    <t>ITEM-0006</t>
  </si>
  <si>
    <t>ITEM-0007</t>
  </si>
  <si>
    <t>ITEM-0008</t>
  </si>
  <si>
    <t>ITEM-0009</t>
  </si>
  <si>
    <t>kg</t>
  </si>
  <si>
    <t>ITEM-0010</t>
  </si>
  <si>
    <t>ITEM-0011</t>
  </si>
  <si>
    <t>Wiring</t>
  </si>
  <si>
    <t>ITEM-0012</t>
  </si>
  <si>
    <t>Concrete Work</t>
  </si>
  <si>
    <t>ITEM-0013</t>
  </si>
  <si>
    <t>ITEM-0014</t>
  </si>
  <si>
    <t>ITEM-0015</t>
  </si>
  <si>
    <t>ITEM-0016</t>
  </si>
  <si>
    <t>ITEM-0017</t>
  </si>
  <si>
    <t>Finishing</t>
  </si>
  <si>
    <t>ITEM-0018</t>
  </si>
  <si>
    <t>Piping</t>
  </si>
  <si>
    <t>ITEM-0019</t>
  </si>
  <si>
    <t>Painting</t>
  </si>
  <si>
    <t>ITEM-0020</t>
  </si>
  <si>
    <t>ITEM-0021</t>
  </si>
  <si>
    <t>ITEM-0022</t>
  </si>
  <si>
    <t>Duct Installation</t>
  </si>
  <si>
    <t>ITEM-0023</t>
  </si>
  <si>
    <t>ITEM-0024</t>
  </si>
  <si>
    <t>ITEM-0025</t>
  </si>
  <si>
    <t>ITEM-0026</t>
  </si>
  <si>
    <t>ITEM-0027</t>
  </si>
  <si>
    <t>ITEM-0028</t>
  </si>
  <si>
    <t>ITEM-0029</t>
  </si>
  <si>
    <t>ITEM-0030</t>
  </si>
  <si>
    <t>ITEM-0031</t>
  </si>
  <si>
    <t>Cable Laying</t>
  </si>
  <si>
    <t>ITEM-0032</t>
  </si>
  <si>
    <t>ITEM-0033</t>
  </si>
  <si>
    <t>ITEM-0034</t>
  </si>
  <si>
    <t>ITEM-0035</t>
  </si>
  <si>
    <t>ITEM-0036</t>
  </si>
  <si>
    <t>ITEM-0037</t>
  </si>
  <si>
    <t>ITEM-0038</t>
  </si>
  <si>
    <t>ITEM-0039</t>
  </si>
  <si>
    <t>ITEM-0040</t>
  </si>
  <si>
    <t>ITEM-0041</t>
  </si>
  <si>
    <t>ITEM-0042</t>
  </si>
  <si>
    <t>ITEM-0043</t>
  </si>
  <si>
    <t>ITEM-0044</t>
  </si>
  <si>
    <t>ITEM-0045</t>
  </si>
  <si>
    <t>ITEM-0046</t>
  </si>
  <si>
    <t>ITEM-0047</t>
  </si>
  <si>
    <t>ITEM-0048</t>
  </si>
  <si>
    <t>ITEM-0049</t>
  </si>
  <si>
    <t>ITEM-0050</t>
  </si>
  <si>
    <t>ITEM-0051</t>
  </si>
  <si>
    <t>ITEM-0052</t>
  </si>
  <si>
    <t>ITEM-0053</t>
  </si>
  <si>
    <t>ITEM-0054</t>
  </si>
  <si>
    <t>ITEM-0055</t>
  </si>
  <si>
    <t>ITEM-0056</t>
  </si>
  <si>
    <t>ITEM-0057</t>
  </si>
  <si>
    <t>ITEM-0058</t>
  </si>
  <si>
    <t>ITEM-0059</t>
  </si>
  <si>
    <t>ITEM-0060</t>
  </si>
  <si>
    <t>ITEM-0061</t>
  </si>
  <si>
    <t>ITEM-0062</t>
  </si>
  <si>
    <t>ITEM-0063</t>
  </si>
  <si>
    <t>ITEM-0064</t>
  </si>
  <si>
    <t>ITEM-0065</t>
  </si>
  <si>
    <t>ITEM-0066</t>
  </si>
  <si>
    <t>ITEM-0067</t>
  </si>
  <si>
    <t>ITEM-0068</t>
  </si>
  <si>
    <t>ITEM-0069</t>
  </si>
  <si>
    <t>ITEM-0070</t>
  </si>
  <si>
    <t>ITEM-0071</t>
  </si>
  <si>
    <t>ITEM-0072</t>
  </si>
  <si>
    <t>ITEM-0073</t>
  </si>
  <si>
    <t>ITEM-0074</t>
  </si>
  <si>
    <t>ITEM-0075</t>
  </si>
  <si>
    <t>ITEM-0076</t>
  </si>
  <si>
    <t>ITEM-0077</t>
  </si>
  <si>
    <t>ITEM-0078</t>
  </si>
  <si>
    <t>ITEM-0079</t>
  </si>
  <si>
    <t>ITEM-0080</t>
  </si>
  <si>
    <t>ITEM-0081</t>
  </si>
  <si>
    <t>ITEM-0082</t>
  </si>
  <si>
    <t>ITEM-0083</t>
  </si>
  <si>
    <t>ITEM-0084</t>
  </si>
  <si>
    <t>ITEM-0085</t>
  </si>
  <si>
    <t>ITEM-0086</t>
  </si>
  <si>
    <t>ITEM-0087</t>
  </si>
  <si>
    <t>ITEM-0088</t>
  </si>
  <si>
    <t>ITEM-0089</t>
  </si>
  <si>
    <t>ITEM-0090</t>
  </si>
  <si>
    <t>ITEM-0091</t>
  </si>
  <si>
    <t>ITEM-0092</t>
  </si>
  <si>
    <t>ITEM-0093</t>
  </si>
  <si>
    <t>ITEM-0094</t>
  </si>
  <si>
    <t>ITEM-0095</t>
  </si>
  <si>
    <t>ITEM-0096</t>
  </si>
  <si>
    <t>ITEM-0097</t>
  </si>
  <si>
    <t>ITEM-0098</t>
  </si>
  <si>
    <t>ITEM-0099</t>
  </si>
  <si>
    <t>ITEM-0100</t>
  </si>
  <si>
    <t>ITEM-0101</t>
  </si>
  <si>
    <t>ITEM-0102</t>
  </si>
  <si>
    <t>ITEM-0103</t>
  </si>
  <si>
    <t>ITEM-0104</t>
  </si>
  <si>
    <t>ITEM-0105</t>
  </si>
  <si>
    <t>ITEM-0106</t>
  </si>
  <si>
    <t>ITEM-0107</t>
  </si>
  <si>
    <t>ITEM-0108</t>
  </si>
  <si>
    <t>ITEM-0109</t>
  </si>
  <si>
    <t>ITEM-0110</t>
  </si>
  <si>
    <t>ITEM-0111</t>
  </si>
  <si>
    <t>ITEM-0112</t>
  </si>
  <si>
    <t>ITEM-0113</t>
  </si>
  <si>
    <t>ITEM-0114</t>
  </si>
  <si>
    <t>ITEM-0115</t>
  </si>
  <si>
    <t>ITEM-0116</t>
  </si>
  <si>
    <t>ITEM-0117</t>
  </si>
  <si>
    <t>ITEM-0118</t>
  </si>
  <si>
    <t>ITEM-0119</t>
  </si>
  <si>
    <t>ITEM-0120</t>
  </si>
  <si>
    <t>ITEM-0121</t>
  </si>
  <si>
    <t>ITEM-0122</t>
  </si>
  <si>
    <t>ITEM-0123</t>
  </si>
  <si>
    <t>ITEM-0124</t>
  </si>
  <si>
    <t>ITEM-0125</t>
  </si>
  <si>
    <t>ITEM-0126</t>
  </si>
  <si>
    <t>ITEM-0127</t>
  </si>
  <si>
    <t>ITEM-0128</t>
  </si>
  <si>
    <t>ITEM-0129</t>
  </si>
  <si>
    <t>ITEM-0130</t>
  </si>
  <si>
    <t>ITEM-0131</t>
  </si>
  <si>
    <t>ITEM-0132</t>
  </si>
  <si>
    <t>ITEM-0133</t>
  </si>
  <si>
    <t>ITEM-0134</t>
  </si>
  <si>
    <t>ITEM-0135</t>
  </si>
  <si>
    <t>ITEM-0136</t>
  </si>
  <si>
    <t>ITEM-0137</t>
  </si>
  <si>
    <t>ITEM-0138</t>
  </si>
  <si>
    <t>ITEM-0139</t>
  </si>
  <si>
    <t>ITEM-0140</t>
  </si>
  <si>
    <t>ITEM-0141</t>
  </si>
  <si>
    <t>ITEM-0142</t>
  </si>
  <si>
    <t>ITEM-0143</t>
  </si>
  <si>
    <t>ITEM-0144</t>
  </si>
  <si>
    <t>ITEM-0145</t>
  </si>
  <si>
    <t>ITEM-0146</t>
  </si>
  <si>
    <t>ITEM-0147</t>
  </si>
  <si>
    <t>ITEM-0148</t>
  </si>
  <si>
    <t>ITEM-0149</t>
  </si>
  <si>
    <t>ITEM-0150</t>
  </si>
  <si>
    <t>ITEM-0151</t>
  </si>
  <si>
    <t>ITEM-0152</t>
  </si>
  <si>
    <t>ITEM-0153</t>
  </si>
  <si>
    <t>ITEM-0154</t>
  </si>
  <si>
    <t>ITEM-0155</t>
  </si>
  <si>
    <t>ITEM-0156</t>
  </si>
  <si>
    <t>ITEM-0157</t>
  </si>
  <si>
    <t>ITEM-0158</t>
  </si>
  <si>
    <t>ITEM-0159</t>
  </si>
  <si>
    <t>ITEM-0160</t>
  </si>
  <si>
    <t>ITEM-0161</t>
  </si>
  <si>
    <t>ITEM-0162</t>
  </si>
  <si>
    <t>ITEM-0163</t>
  </si>
  <si>
    <t>ITEM-0164</t>
  </si>
  <si>
    <t>ITEM-0165</t>
  </si>
  <si>
    <t>ITEM-0166</t>
  </si>
  <si>
    <t>ITEM-0167</t>
  </si>
  <si>
    <t>ITEM-0168</t>
  </si>
  <si>
    <t>ITEM-0169</t>
  </si>
  <si>
    <t>ITEM-0170</t>
  </si>
  <si>
    <t>ITEM-0171</t>
  </si>
  <si>
    <t>ITEM-0172</t>
  </si>
  <si>
    <t>ITEM-0173</t>
  </si>
  <si>
    <t>ITEM-0174</t>
  </si>
  <si>
    <t>ITEM-0175</t>
  </si>
  <si>
    <t>ITEM-0176</t>
  </si>
  <si>
    <t>ITEM-0177</t>
  </si>
  <si>
    <t>ITEM-0178</t>
  </si>
  <si>
    <t>ITEM-0179</t>
  </si>
  <si>
    <t>ITEM-0180</t>
  </si>
  <si>
    <t>ITEM-0181</t>
  </si>
  <si>
    <t>ITEM-0182</t>
  </si>
  <si>
    <t>ITEM-0183</t>
  </si>
  <si>
    <t>ITEM-0184</t>
  </si>
  <si>
    <t>ITEM-0185</t>
  </si>
  <si>
    <t>ITEM-0186</t>
  </si>
  <si>
    <t>ITEM-0187</t>
  </si>
  <si>
    <t>ITEM-0188</t>
  </si>
  <si>
    <t>ITEM-0189</t>
  </si>
  <si>
    <t>ITEM-0190</t>
  </si>
  <si>
    <t>ITEM-0191</t>
  </si>
  <si>
    <t>ITEM-0192</t>
  </si>
  <si>
    <t>ITEM-0193</t>
  </si>
  <si>
    <t>ITEM-0194</t>
  </si>
  <si>
    <t>ITEM-0195</t>
  </si>
  <si>
    <t>ITEM-0196</t>
  </si>
  <si>
    <t>ITEM-0197</t>
  </si>
  <si>
    <t>ITEM-0198</t>
  </si>
  <si>
    <t>ITEM-0199</t>
  </si>
  <si>
    <t>ITEM-0200</t>
  </si>
  <si>
    <t>ITEM-0201</t>
  </si>
  <si>
    <t>ITEM-0202</t>
  </si>
  <si>
    <t>ITEM-0203</t>
  </si>
  <si>
    <t>ITEM-0204</t>
  </si>
  <si>
    <t>ITEM-0205</t>
  </si>
  <si>
    <t>ITEM-0206</t>
  </si>
  <si>
    <t>ITEM-0207</t>
  </si>
  <si>
    <t>ITEM-0208</t>
  </si>
  <si>
    <t>ITEM-0209</t>
  </si>
  <si>
    <t>ITEM-0210</t>
  </si>
  <si>
    <t>ITEM-0211</t>
  </si>
  <si>
    <t>ITEM-0212</t>
  </si>
  <si>
    <t>ITEM-0213</t>
  </si>
  <si>
    <t>ITEM-0214</t>
  </si>
  <si>
    <t>ITEM-0215</t>
  </si>
  <si>
    <t>ITEM-0216</t>
  </si>
  <si>
    <t>ITEM-0217</t>
  </si>
  <si>
    <t>ITEM-0218</t>
  </si>
  <si>
    <t>ITEM-0219</t>
  </si>
  <si>
    <t>ITEM-0220</t>
  </si>
  <si>
    <t>ITEM-0221</t>
  </si>
  <si>
    <t>ITEM-0222</t>
  </si>
  <si>
    <t>ITEM-0223</t>
  </si>
  <si>
    <t>ITEM-0224</t>
  </si>
  <si>
    <t>ITEM-0225</t>
  </si>
  <si>
    <t>ITEM-0226</t>
  </si>
  <si>
    <t>ITEM-0227</t>
  </si>
  <si>
    <t>ITEM-0228</t>
  </si>
  <si>
    <t>ITEM-0229</t>
  </si>
  <si>
    <t>ITEM-0230</t>
  </si>
  <si>
    <t>ITEM-0231</t>
  </si>
  <si>
    <t>ITEM-0232</t>
  </si>
  <si>
    <t>ITEM-0233</t>
  </si>
  <si>
    <t>ITEM-0234</t>
  </si>
  <si>
    <t>ITEM-0235</t>
  </si>
  <si>
    <t>ITEM-0236</t>
  </si>
  <si>
    <t>ITEM-0237</t>
  </si>
  <si>
    <t>ITEM-0238</t>
  </si>
  <si>
    <t>ITEM-0239</t>
  </si>
  <si>
    <t>ITEM-0240</t>
  </si>
  <si>
    <t>ITEM-0241</t>
  </si>
  <si>
    <t>ITEM-0242</t>
  </si>
  <si>
    <t>ITEM-0243</t>
  </si>
  <si>
    <t>ITEM-0244</t>
  </si>
  <si>
    <t>ITEM-0245</t>
  </si>
  <si>
    <t>ITEM-0246</t>
  </si>
  <si>
    <t>ITEM-0247</t>
  </si>
  <si>
    <t>ITEM-0248</t>
  </si>
  <si>
    <t>ITEM-0249</t>
  </si>
  <si>
    <t>ITEM-0250</t>
  </si>
  <si>
    <t>ITEM-0251</t>
  </si>
  <si>
    <t>ITEM-0252</t>
  </si>
  <si>
    <t>ITEM-0253</t>
  </si>
  <si>
    <t>ITEM-0254</t>
  </si>
  <si>
    <t>ITEM-0255</t>
  </si>
  <si>
    <t>ITEM-0256</t>
  </si>
  <si>
    <t>ITEM-0257</t>
  </si>
  <si>
    <t>ITEM-0258</t>
  </si>
  <si>
    <t>ITEM-0259</t>
  </si>
  <si>
    <t>ITEM-0260</t>
  </si>
  <si>
    <t>ITEM-0261</t>
  </si>
  <si>
    <t>ITEM-0262</t>
  </si>
  <si>
    <t>ITEM-0263</t>
  </si>
  <si>
    <t>ITEM-0264</t>
  </si>
  <si>
    <t>ITEM-0265</t>
  </si>
  <si>
    <t>ITEM-0266</t>
  </si>
  <si>
    <t>ITEM-0267</t>
  </si>
  <si>
    <t>ITEM-0268</t>
  </si>
  <si>
    <t>ITEM-0269</t>
  </si>
  <si>
    <t>ITEM-0270</t>
  </si>
  <si>
    <t>ITEM-0271</t>
  </si>
  <si>
    <t>ITEM-0272</t>
  </si>
  <si>
    <t>ITEM-0273</t>
  </si>
  <si>
    <t>ITEM-0274</t>
  </si>
  <si>
    <t>ITEM-0275</t>
  </si>
  <si>
    <t>ITEM-0276</t>
  </si>
  <si>
    <t>ITEM-0277</t>
  </si>
  <si>
    <t>ITEM-0278</t>
  </si>
  <si>
    <t>ITEM-0279</t>
  </si>
  <si>
    <t>ITEM-0280</t>
  </si>
  <si>
    <t>ITEM-0281</t>
  </si>
  <si>
    <t>ITEM-0282</t>
  </si>
  <si>
    <t>ITEM-0283</t>
  </si>
  <si>
    <t>ITEM-0284</t>
  </si>
  <si>
    <t>ITEM-0285</t>
  </si>
  <si>
    <t>ITEM-0286</t>
  </si>
  <si>
    <t>ITEM-0287</t>
  </si>
  <si>
    <t>ITEM-0288</t>
  </si>
  <si>
    <t>ITEM-0289</t>
  </si>
  <si>
    <t>ITEM-0290</t>
  </si>
  <si>
    <t>ITEM-0291</t>
  </si>
  <si>
    <t>ITEM-0292</t>
  </si>
  <si>
    <t>ITEM-0293</t>
  </si>
  <si>
    <t>ITEM-0294</t>
  </si>
  <si>
    <t>ITEM-0295</t>
  </si>
  <si>
    <t>ITEM-0296</t>
  </si>
  <si>
    <t>ITEM-0297</t>
  </si>
  <si>
    <t>ITEM-0298</t>
  </si>
  <si>
    <t>ITEM-0299</t>
  </si>
  <si>
    <t>ITEM-0300</t>
  </si>
  <si>
    <t>ITEM-0301</t>
  </si>
  <si>
    <t>ITEM-0302</t>
  </si>
  <si>
    <t>ITEM-0303</t>
  </si>
  <si>
    <t>ITEM-0304</t>
  </si>
  <si>
    <t>ITEM-0305</t>
  </si>
  <si>
    <t>ITEM-0306</t>
  </si>
  <si>
    <t>ITEM-0307</t>
  </si>
  <si>
    <t>ITEM-0308</t>
  </si>
  <si>
    <t>ITEM-0309</t>
  </si>
  <si>
    <t>ITEM-0310</t>
  </si>
  <si>
    <t>ITEM-0311</t>
  </si>
  <si>
    <t>ITEM-0312</t>
  </si>
  <si>
    <t>ITEM-0313</t>
  </si>
  <si>
    <t>ITEM-0314</t>
  </si>
  <si>
    <t>ITEM-0315</t>
  </si>
  <si>
    <t>ITEM-0316</t>
  </si>
  <si>
    <t>ITEM-0317</t>
  </si>
  <si>
    <t>ITEM-0318</t>
  </si>
  <si>
    <t>ITEM-0319</t>
  </si>
  <si>
    <t>ITEM-0320</t>
  </si>
  <si>
    <t>ITEM-0321</t>
  </si>
  <si>
    <t>ITEM-0322</t>
  </si>
  <si>
    <t>ITEM-0323</t>
  </si>
  <si>
    <t>ITEM-0324</t>
  </si>
  <si>
    <t>ITEM-0325</t>
  </si>
  <si>
    <t>ITEM-0326</t>
  </si>
  <si>
    <t>ITEM-0327</t>
  </si>
  <si>
    <t>ITEM-0328</t>
  </si>
  <si>
    <t>ITEM-0329</t>
  </si>
  <si>
    <t>ITEM-0330</t>
  </si>
  <si>
    <t>ITEM-0331</t>
  </si>
  <si>
    <t>ITEM-0332</t>
  </si>
  <si>
    <t>ITEM-0333</t>
  </si>
  <si>
    <t>ITEM-0334</t>
  </si>
  <si>
    <t>ITEM-0335</t>
  </si>
  <si>
    <t>ITEM-0336</t>
  </si>
  <si>
    <t>ITEM-0337</t>
  </si>
  <si>
    <t>ITEM-0338</t>
  </si>
  <si>
    <t>ITEM-0339</t>
  </si>
  <si>
    <t>ITEM-0340</t>
  </si>
  <si>
    <t>ITEM-0341</t>
  </si>
  <si>
    <t>ITEM-0342</t>
  </si>
  <si>
    <t>ITEM-0343</t>
  </si>
  <si>
    <t>ITEM-0344</t>
  </si>
  <si>
    <t>ITEM-0345</t>
  </si>
  <si>
    <t>ITEM-0346</t>
  </si>
  <si>
    <t>ITEM-0347</t>
  </si>
  <si>
    <t>ITEM-0348</t>
  </si>
  <si>
    <t>ITEM-0349</t>
  </si>
  <si>
    <t>ITEM-0350</t>
  </si>
  <si>
    <t>ITEM-0351</t>
  </si>
  <si>
    <t>ITEM-0352</t>
  </si>
  <si>
    <t>ITEM-0353</t>
  </si>
  <si>
    <t>ITEM-0354</t>
  </si>
  <si>
    <t>ITEM-0355</t>
  </si>
  <si>
    <t>ITEM-0356</t>
  </si>
  <si>
    <t>ITEM-0357</t>
  </si>
  <si>
    <t>ITEM-0358</t>
  </si>
  <si>
    <t>ITEM-0359</t>
  </si>
  <si>
    <t>ITEM-0360</t>
  </si>
  <si>
    <t>ITEM-0361</t>
  </si>
  <si>
    <t>ITEM-0362</t>
  </si>
  <si>
    <t>ITEM-0363</t>
  </si>
  <si>
    <t>ITEM-0364</t>
  </si>
  <si>
    <t>ITEM-0365</t>
  </si>
  <si>
    <t>ITEM-0366</t>
  </si>
  <si>
    <t>ITEM-0367</t>
  </si>
  <si>
    <t>ITEM-0368</t>
  </si>
  <si>
    <t>ITEM-0369</t>
  </si>
  <si>
    <t>ITEM-0370</t>
  </si>
  <si>
    <t>ITEM-0371</t>
  </si>
  <si>
    <t>ITEM-0372</t>
  </si>
  <si>
    <t>ITEM-0373</t>
  </si>
  <si>
    <t>ITEM-0374</t>
  </si>
  <si>
    <t>ITEM-0375</t>
  </si>
  <si>
    <t>ITEM-0376</t>
  </si>
  <si>
    <t>ITEM-0377</t>
  </si>
  <si>
    <t>ITEM-0378</t>
  </si>
  <si>
    <t>ITEM-0379</t>
  </si>
  <si>
    <t>ITEM-0380</t>
  </si>
  <si>
    <t>ITEM-0381</t>
  </si>
  <si>
    <t>ITEM-0382</t>
  </si>
  <si>
    <t>ITEM-0383</t>
  </si>
  <si>
    <t>ITEM-0384</t>
  </si>
  <si>
    <t>ITEM-0385</t>
  </si>
  <si>
    <t>ITEM-0386</t>
  </si>
  <si>
    <t>ITEM-0387</t>
  </si>
  <si>
    <t>ITEM-0388</t>
  </si>
  <si>
    <t>ITEM-0389</t>
  </si>
  <si>
    <t>ITEM-0390</t>
  </si>
  <si>
    <t>ITEM-0391</t>
  </si>
  <si>
    <t>ITEM-0392</t>
  </si>
  <si>
    <t>ITEM-0393</t>
  </si>
  <si>
    <t>ITEM-0394</t>
  </si>
  <si>
    <t>ITEM-0395</t>
  </si>
  <si>
    <t>ITEM-0396</t>
  </si>
  <si>
    <t>ITEM-0397</t>
  </si>
  <si>
    <t>ITEM-0398</t>
  </si>
  <si>
    <t>ITEM-0399</t>
  </si>
  <si>
    <t>ITEM-0400</t>
  </si>
  <si>
    <t>ITEM-0401</t>
  </si>
  <si>
    <t>ITEM-0402</t>
  </si>
  <si>
    <t>ITEM-0403</t>
  </si>
  <si>
    <t>ITEM-0404</t>
  </si>
  <si>
    <t>ITEM-0405</t>
  </si>
  <si>
    <t>ITEM-0406</t>
  </si>
  <si>
    <t>ITEM-0407</t>
  </si>
  <si>
    <t>ITEM-0408</t>
  </si>
  <si>
    <t>ITEM-0409</t>
  </si>
  <si>
    <t>ITEM-0410</t>
  </si>
  <si>
    <t>ITEM-0411</t>
  </si>
  <si>
    <t>ITEM-0412</t>
  </si>
  <si>
    <t>ITEM-0413</t>
  </si>
  <si>
    <t>ITEM-0414</t>
  </si>
  <si>
    <t>ITEM-0415</t>
  </si>
  <si>
    <t>ITEM-0416</t>
  </si>
  <si>
    <t>ITEM-0417</t>
  </si>
  <si>
    <t>ITEM-0418</t>
  </si>
  <si>
    <t>ITEM-0419</t>
  </si>
  <si>
    <t>ITEM-0420</t>
  </si>
  <si>
    <t>ITEM-0421</t>
  </si>
  <si>
    <t>ITEM-0422</t>
  </si>
  <si>
    <t>ITEM-0423</t>
  </si>
  <si>
    <t>ITEM-0424</t>
  </si>
  <si>
    <t>ITEM-0425</t>
  </si>
  <si>
    <t>ITEM-0426</t>
  </si>
  <si>
    <t>ITEM-0427</t>
  </si>
  <si>
    <t>ITEM-0428</t>
  </si>
  <si>
    <t>ITEM-0429</t>
  </si>
  <si>
    <t>ITEM-0430</t>
  </si>
  <si>
    <t>ITEM-0431</t>
  </si>
  <si>
    <t>ITEM-0432</t>
  </si>
  <si>
    <t>ITEM-0433</t>
  </si>
  <si>
    <t>ITEM-0434</t>
  </si>
  <si>
    <t>ITEM-0435</t>
  </si>
  <si>
    <t>ITEM-0436</t>
  </si>
  <si>
    <t>ITEM-0437</t>
  </si>
  <si>
    <t>ITEM-0438</t>
  </si>
  <si>
    <t>ITEM-0439</t>
  </si>
  <si>
    <t>ITEM-0440</t>
  </si>
  <si>
    <t>ITEM-0441</t>
  </si>
  <si>
    <t>ITEM-0442</t>
  </si>
  <si>
    <t>ITEM-0443</t>
  </si>
  <si>
    <t>ITEM-0444</t>
  </si>
  <si>
    <t>ITEM-0445</t>
  </si>
  <si>
    <t>ITEM-0446</t>
  </si>
  <si>
    <t>ITEM-0447</t>
  </si>
  <si>
    <t>ITEM-0448</t>
  </si>
  <si>
    <t>ITEM-0449</t>
  </si>
  <si>
    <t>ITEM-0450</t>
  </si>
  <si>
    <t>ITEM-0451</t>
  </si>
  <si>
    <t>ITEM-0452</t>
  </si>
  <si>
    <t>ITEM-0453</t>
  </si>
  <si>
    <t>ITEM-0454</t>
  </si>
  <si>
    <t>ITEM-0455</t>
  </si>
  <si>
    <t>ITEM-0456</t>
  </si>
  <si>
    <t>ITEM-0457</t>
  </si>
  <si>
    <t>ITEM-0458</t>
  </si>
  <si>
    <t>ITEM-0459</t>
  </si>
  <si>
    <t>ITEM-0460</t>
  </si>
  <si>
    <t>ITEM-0461</t>
  </si>
  <si>
    <t>ITEM-0462</t>
  </si>
  <si>
    <t>ITEM-0463</t>
  </si>
  <si>
    <t>ITEM-0464</t>
  </si>
  <si>
    <t>ITEM-0465</t>
  </si>
  <si>
    <t>ITEM-0466</t>
  </si>
  <si>
    <t>ITEM-0467</t>
  </si>
  <si>
    <t>ITEM-0468</t>
  </si>
  <si>
    <t>ITEM-0469</t>
  </si>
  <si>
    <t>ITEM-0470</t>
  </si>
  <si>
    <t>ITEM-0471</t>
  </si>
  <si>
    <t>ITEM-0472</t>
  </si>
  <si>
    <t>ITEM-0473</t>
  </si>
  <si>
    <t>ITEM-0474</t>
  </si>
  <si>
    <t>ITEM-0475</t>
  </si>
  <si>
    <t>ITEM-0476</t>
  </si>
  <si>
    <t>ITEM-0477</t>
  </si>
  <si>
    <t>ITEM-0478</t>
  </si>
  <si>
    <t>ITEM-0479</t>
  </si>
  <si>
    <t>ITEM-0480</t>
  </si>
  <si>
    <t>ITEM-0481</t>
  </si>
  <si>
    <t>ITEM-0482</t>
  </si>
  <si>
    <t>ITEM-0483</t>
  </si>
  <si>
    <t>ITEM-0484</t>
  </si>
  <si>
    <t>ITEM-0485</t>
  </si>
  <si>
    <t>ITEM-0486</t>
  </si>
  <si>
    <t>ITEM-0487</t>
  </si>
  <si>
    <t>ITEM-0488</t>
  </si>
  <si>
    <t>ITEM-0489</t>
  </si>
  <si>
    <t>ITEM-0490</t>
  </si>
  <si>
    <t>ITEM-0491</t>
  </si>
  <si>
    <t>ITEM-0492</t>
  </si>
  <si>
    <t>ITEM-0493</t>
  </si>
  <si>
    <t>ITEM-0494</t>
  </si>
  <si>
    <t>ITEM-0495</t>
  </si>
  <si>
    <t>ITEM-0496</t>
  </si>
  <si>
    <t>ITEM-0497</t>
  </si>
  <si>
    <t>ITEM-0498</t>
  </si>
  <si>
    <t>ITEM-0499</t>
  </si>
  <si>
    <t>ITEM-0500</t>
  </si>
  <si>
    <t>ITEM-0501</t>
  </si>
  <si>
    <t>ITEM-0502</t>
  </si>
  <si>
    <t>ITEM-0503</t>
  </si>
  <si>
    <t>ITEM-0504</t>
  </si>
  <si>
    <t>ITEM-0505</t>
  </si>
  <si>
    <t>ITEM-0506</t>
  </si>
  <si>
    <t>ITEM-0507</t>
  </si>
  <si>
    <t>ITEM-0508</t>
  </si>
  <si>
    <t>ITEM-0509</t>
  </si>
  <si>
    <t>ITEM-0510</t>
  </si>
  <si>
    <t>ITEM-0511</t>
  </si>
  <si>
    <t>ITEM-0512</t>
  </si>
  <si>
    <t>ITEM-0513</t>
  </si>
  <si>
    <t>ITEM-0514</t>
  </si>
  <si>
    <t>ITEM-0515</t>
  </si>
  <si>
    <t>ITEM-0516</t>
  </si>
  <si>
    <t>ITEM-0517</t>
  </si>
  <si>
    <t>ITEM-0518</t>
  </si>
  <si>
    <t>ITEM-0519</t>
  </si>
  <si>
    <t>ITEM-0520</t>
  </si>
  <si>
    <t>ITEM-0521</t>
  </si>
  <si>
    <t>ITEM-0522</t>
  </si>
  <si>
    <t>ITEM-0523</t>
  </si>
  <si>
    <t>ITEM-0524</t>
  </si>
  <si>
    <t>ITEM-0525</t>
  </si>
  <si>
    <t>ITEM-0526</t>
  </si>
  <si>
    <t>ITEM-0527</t>
  </si>
  <si>
    <t>ITEM-0528</t>
  </si>
  <si>
    <t>ITEM-0529</t>
  </si>
  <si>
    <t>ITEM-0530</t>
  </si>
  <si>
    <t>ITEM-0531</t>
  </si>
  <si>
    <t>ITEM-0532</t>
  </si>
  <si>
    <t>ITEM-0533</t>
  </si>
  <si>
    <t>ITEM-0534</t>
  </si>
  <si>
    <t>ITEM-0535</t>
  </si>
  <si>
    <t>ITEM-0536</t>
  </si>
  <si>
    <t>ITEM-0537</t>
  </si>
  <si>
    <t>ITEM-0538</t>
  </si>
  <si>
    <t>ITEM-0539</t>
  </si>
  <si>
    <t>ITEM-0540</t>
  </si>
  <si>
    <t>ITEM-0541</t>
  </si>
  <si>
    <t>ITEM-0542</t>
  </si>
  <si>
    <t>ITEM-0543</t>
  </si>
  <si>
    <t>ITEM-0544</t>
  </si>
  <si>
    <t>ITEM-0545</t>
  </si>
  <si>
    <t>ITEM-0546</t>
  </si>
  <si>
    <t>ITEM-0547</t>
  </si>
  <si>
    <t>ITEM-0548</t>
  </si>
  <si>
    <t>ITEM-0549</t>
  </si>
  <si>
    <t>ITEM-0550</t>
  </si>
  <si>
    <t>ITEM-0551</t>
  </si>
  <si>
    <t>ITEM-0552</t>
  </si>
  <si>
    <t>ITEM-0553</t>
  </si>
  <si>
    <t>ITEM-0554</t>
  </si>
  <si>
    <t>ITEM-0555</t>
  </si>
  <si>
    <t>ITEM-0556</t>
  </si>
  <si>
    <t>ITEM-0557</t>
  </si>
  <si>
    <t>ITEM-0558</t>
  </si>
  <si>
    <t>ITEM-0559</t>
  </si>
  <si>
    <t>ITEM-0560</t>
  </si>
  <si>
    <t>ITEM-0561</t>
  </si>
  <si>
    <t>ITEM-0562</t>
  </si>
  <si>
    <t>ITEM-0563</t>
  </si>
  <si>
    <t>ITEM-0564</t>
  </si>
  <si>
    <t>ITEM-0565</t>
  </si>
  <si>
    <t>ITEM-0566</t>
  </si>
  <si>
    <t>ITEM-0567</t>
  </si>
  <si>
    <t>ITEM-0568</t>
  </si>
  <si>
    <t>ITEM-0569</t>
  </si>
  <si>
    <t>ITEM-0570</t>
  </si>
  <si>
    <t>ITEM-0571</t>
  </si>
  <si>
    <t>ITEM-0572</t>
  </si>
  <si>
    <t>ITEM-0573</t>
  </si>
  <si>
    <t>ITEM-0574</t>
  </si>
  <si>
    <t>ITEM-0575</t>
  </si>
  <si>
    <t>ITEM-0576</t>
  </si>
  <si>
    <t>ITEM-0577</t>
  </si>
  <si>
    <t>ITEM-0578</t>
  </si>
  <si>
    <t>ITEM-0579</t>
  </si>
  <si>
    <t>ITEM-0580</t>
  </si>
  <si>
    <t>ITEM-0581</t>
  </si>
  <si>
    <t>ITEM-0582</t>
  </si>
  <si>
    <t>ITEM-0583</t>
  </si>
  <si>
    <t>ITEM-0584</t>
  </si>
  <si>
    <t>ITEM-0585</t>
  </si>
  <si>
    <t>ITEM-0586</t>
  </si>
  <si>
    <t>ITEM-0587</t>
  </si>
  <si>
    <t>ITEM-0588</t>
  </si>
  <si>
    <t>ITEM-0589</t>
  </si>
  <si>
    <t>ITEM-0590</t>
  </si>
  <si>
    <t>ITEM-0591</t>
  </si>
  <si>
    <t>ITEM-0592</t>
  </si>
  <si>
    <t>ITEM-0593</t>
  </si>
  <si>
    <t>ITEM-0594</t>
  </si>
  <si>
    <t>ITEM-0595</t>
  </si>
  <si>
    <t>ITEM-0596</t>
  </si>
  <si>
    <t>ITEM-0597</t>
  </si>
  <si>
    <t>ITEM-0598</t>
  </si>
  <si>
    <t>ITEM-0599</t>
  </si>
  <si>
    <t>ITEM-0600</t>
  </si>
  <si>
    <t>ITEM-0601</t>
  </si>
  <si>
    <t>ITEM-0602</t>
  </si>
  <si>
    <t>ITEM-0603</t>
  </si>
  <si>
    <t>ITEM-0604</t>
  </si>
  <si>
    <t>ITEM-0605</t>
  </si>
  <si>
    <t>ITEM-0606</t>
  </si>
  <si>
    <t>ITEM-0607</t>
  </si>
  <si>
    <t>ITEM-0608</t>
  </si>
  <si>
    <t>ITEM-0609</t>
  </si>
  <si>
    <t>ITEM-0610</t>
  </si>
  <si>
    <t>ITEM-0611</t>
  </si>
  <si>
    <t>ITEM-0612</t>
  </si>
  <si>
    <t>ITEM-0613</t>
  </si>
  <si>
    <t>ITEM-0614</t>
  </si>
  <si>
    <t>ITEM-0615</t>
  </si>
  <si>
    <t>ITEM-0616</t>
  </si>
  <si>
    <t>ITEM-0617</t>
  </si>
  <si>
    <t>ITEM-0618</t>
  </si>
  <si>
    <t>ITEM-0619</t>
  </si>
  <si>
    <t>ITEM-0620</t>
  </si>
  <si>
    <t>ITEM-0621</t>
  </si>
  <si>
    <t>ITEM-0622</t>
  </si>
  <si>
    <t>ITEM-0623</t>
  </si>
  <si>
    <t>ITEM-0624</t>
  </si>
  <si>
    <t>ITEM-0625</t>
  </si>
  <si>
    <t>ITEM-0626</t>
  </si>
  <si>
    <t>ITEM-0627</t>
  </si>
  <si>
    <t>ITEM-0628</t>
  </si>
  <si>
    <t>ITEM-0629</t>
  </si>
  <si>
    <t>ITEM-0630</t>
  </si>
  <si>
    <t>ITEM-0631</t>
  </si>
  <si>
    <t>ITEM-0632</t>
  </si>
  <si>
    <t>ITEM-0633</t>
  </si>
  <si>
    <t>ITEM-0634</t>
  </si>
  <si>
    <t>ITEM-0635</t>
  </si>
  <si>
    <t>ITEM-0636</t>
  </si>
  <si>
    <t>ITEM-0637</t>
  </si>
  <si>
    <t>ITEM-0638</t>
  </si>
  <si>
    <t>ITEM-0639</t>
  </si>
  <si>
    <t>ITEM-0640</t>
  </si>
  <si>
    <t>ITEM-0641</t>
  </si>
  <si>
    <t>ITEM-0642</t>
  </si>
  <si>
    <t>ITEM-0643</t>
  </si>
  <si>
    <t>ITEM-0644</t>
  </si>
  <si>
    <t>ITEM-0645</t>
  </si>
  <si>
    <t>ITEM-0646</t>
  </si>
  <si>
    <t>ITEM-0647</t>
  </si>
  <si>
    <t>ITEM-0648</t>
  </si>
  <si>
    <t>ITEM-0649</t>
  </si>
  <si>
    <t>ITEM-0650</t>
  </si>
  <si>
    <t>ITEM-0651</t>
  </si>
  <si>
    <t>ITEM-0652</t>
  </si>
  <si>
    <t>ITEM-0653</t>
  </si>
  <si>
    <t>ITEM-0654</t>
  </si>
  <si>
    <t>ITEM-0655</t>
  </si>
  <si>
    <t>ITEM-0656</t>
  </si>
  <si>
    <t>ITEM-0657</t>
  </si>
  <si>
    <t>ITEM-0658</t>
  </si>
  <si>
    <t>ITEM-0659</t>
  </si>
  <si>
    <t>ITEM-0660</t>
  </si>
  <si>
    <t>ITEM-0661</t>
  </si>
  <si>
    <t>ITEM-0662</t>
  </si>
  <si>
    <t>ITEM-0663</t>
  </si>
  <si>
    <t>ITEM-0664</t>
  </si>
  <si>
    <t>ITEM-0665</t>
  </si>
  <si>
    <t>ITEM-0666</t>
  </si>
  <si>
    <t>ITEM-0667</t>
  </si>
  <si>
    <t>ITEM-0668</t>
  </si>
  <si>
    <t>ITEM-0669</t>
  </si>
  <si>
    <t>ITEM-0670</t>
  </si>
  <si>
    <t>ITEM-0671</t>
  </si>
  <si>
    <t>ITEM-0672</t>
  </si>
  <si>
    <t>ITEM-0673</t>
  </si>
  <si>
    <t>ITEM-0674</t>
  </si>
  <si>
    <t>ITEM-0675</t>
  </si>
  <si>
    <t>ITEM-0676</t>
  </si>
  <si>
    <t>ITEM-0677</t>
  </si>
  <si>
    <t>ITEM-0678</t>
  </si>
  <si>
    <t>ITEM-0679</t>
  </si>
  <si>
    <t>ITEM-0680</t>
  </si>
  <si>
    <t>ITEM-0681</t>
  </si>
  <si>
    <t>ITEM-0682</t>
  </si>
  <si>
    <t>ITEM-0683</t>
  </si>
  <si>
    <t>ITEM-0684</t>
  </si>
  <si>
    <t>ITEM-0685</t>
  </si>
  <si>
    <t>ITEM-0686</t>
  </si>
  <si>
    <t>ITEM-0687</t>
  </si>
  <si>
    <t>ITEM-0688</t>
  </si>
  <si>
    <t>ITEM-0689</t>
  </si>
  <si>
    <t>ITEM-0690</t>
  </si>
  <si>
    <t>ITEM-0691</t>
  </si>
  <si>
    <t>ITEM-0692</t>
  </si>
  <si>
    <t>ITEM-0693</t>
  </si>
  <si>
    <t>ITEM-0694</t>
  </si>
  <si>
    <t>ITEM-0695</t>
  </si>
  <si>
    <t>ITEM-0696</t>
  </si>
  <si>
    <t>ITEM-0697</t>
  </si>
  <si>
    <t>ITEM-0698</t>
  </si>
  <si>
    <t>ITEM-0699</t>
  </si>
  <si>
    <t>ITEM-0700</t>
  </si>
  <si>
    <t>ITEM-0701</t>
  </si>
  <si>
    <t>ITEM-0702</t>
  </si>
  <si>
    <t>ITEM-0703</t>
  </si>
  <si>
    <t>ITEM-0704</t>
  </si>
  <si>
    <t>ITEM-0705</t>
  </si>
  <si>
    <t>ITEM-0706</t>
  </si>
  <si>
    <t>ITEM-0707</t>
  </si>
  <si>
    <t>ITEM-0708</t>
  </si>
  <si>
    <t>ITEM-0709</t>
  </si>
  <si>
    <t>ITEM-0710</t>
  </si>
  <si>
    <t>ITEM-0711</t>
  </si>
  <si>
    <t>ITEM-0712</t>
  </si>
  <si>
    <t>ITEM-0713</t>
  </si>
  <si>
    <t>ITEM-0714</t>
  </si>
  <si>
    <t>ITEM-0715</t>
  </si>
  <si>
    <t>ITEM-0716</t>
  </si>
  <si>
    <t>ITEM-0717</t>
  </si>
  <si>
    <t>ITEM-0718</t>
  </si>
  <si>
    <t>ITEM-0719</t>
  </si>
  <si>
    <t>ITEM-0720</t>
  </si>
  <si>
    <t>ITEM-0721</t>
  </si>
  <si>
    <t>ITEM-0722</t>
  </si>
  <si>
    <t>ITEM-0723</t>
  </si>
  <si>
    <t>ITEM-0724</t>
  </si>
  <si>
    <t>ITEM-0725</t>
  </si>
  <si>
    <t>ITEM-0726</t>
  </si>
  <si>
    <t>ITEM-0727</t>
  </si>
  <si>
    <t>ITEM-0728</t>
  </si>
  <si>
    <t>ITEM-0729</t>
  </si>
  <si>
    <t>ITEM-0730</t>
  </si>
  <si>
    <t>ITEM-0731</t>
  </si>
  <si>
    <t>ITEM-0732</t>
  </si>
  <si>
    <t>ITEM-0733</t>
  </si>
  <si>
    <t>ITEM-0734</t>
  </si>
  <si>
    <t>ITEM-0735</t>
  </si>
  <si>
    <t>ITEM-0736</t>
  </si>
  <si>
    <t>ITEM-0737</t>
  </si>
  <si>
    <t>ITEM-0738</t>
  </si>
  <si>
    <t>ITEM-0739</t>
  </si>
  <si>
    <t>ITEM-0740</t>
  </si>
  <si>
    <t>ITEM-0741</t>
  </si>
  <si>
    <t>ITEM-0742</t>
  </si>
  <si>
    <t>ITEM-0743</t>
  </si>
  <si>
    <t>ITEM-0744</t>
  </si>
  <si>
    <t>ITEM-0745</t>
  </si>
  <si>
    <t>ITEM-0746</t>
  </si>
  <si>
    <t>ITEM-0747</t>
  </si>
  <si>
    <t>ITEM-0748</t>
  </si>
  <si>
    <t>ITEM-0749</t>
  </si>
  <si>
    <t>ITEM-0750</t>
  </si>
  <si>
    <t>ITEM-0751</t>
  </si>
  <si>
    <t>ITEM-0752</t>
  </si>
  <si>
    <t>ITEM-0753</t>
  </si>
  <si>
    <t>ITEM-0754</t>
  </si>
  <si>
    <t>ITEM-0755</t>
  </si>
  <si>
    <t>ITEM-0756</t>
  </si>
  <si>
    <t>ITEM-0757</t>
  </si>
  <si>
    <t>ITEM-0758</t>
  </si>
  <si>
    <t>ITEM-0759</t>
  </si>
  <si>
    <t>ITEM-0760</t>
  </si>
  <si>
    <t>ITEM-0761</t>
  </si>
  <si>
    <t>ITEM-0762</t>
  </si>
  <si>
    <t>ITEM-0763</t>
  </si>
  <si>
    <t>ITEM-0764</t>
  </si>
  <si>
    <t>ITEM-0765</t>
  </si>
  <si>
    <t>ITEM-0766</t>
  </si>
  <si>
    <t>ITEM-0767</t>
  </si>
  <si>
    <t>ITEM-0768</t>
  </si>
  <si>
    <t>ITEM-0769</t>
  </si>
  <si>
    <t>ITEM-0770</t>
  </si>
  <si>
    <t>ITEM-0771</t>
  </si>
  <si>
    <t>ITEM-0772</t>
  </si>
  <si>
    <t>ITEM-0773</t>
  </si>
  <si>
    <t>ITEM-0774</t>
  </si>
  <si>
    <t>ITEM-0775</t>
  </si>
  <si>
    <t>ITEM-0776</t>
  </si>
  <si>
    <t>ITEM-0777</t>
  </si>
  <si>
    <t>ITEM-0778</t>
  </si>
  <si>
    <t>ITEM-0779</t>
  </si>
  <si>
    <t>ITEM-0780</t>
  </si>
  <si>
    <t>ITEM-0781</t>
  </si>
  <si>
    <t>ITEM-0782</t>
  </si>
  <si>
    <t>ITEM-0783</t>
  </si>
  <si>
    <t>ITEM-0784</t>
  </si>
  <si>
    <t>ITEM-0785</t>
  </si>
  <si>
    <t>ITEM-0786</t>
  </si>
  <si>
    <t>ITEM-0787</t>
  </si>
  <si>
    <t>ITEM-0788</t>
  </si>
  <si>
    <t>ITEM-0789</t>
  </si>
  <si>
    <t>ITEM-0790</t>
  </si>
  <si>
    <t>ITEM-0791</t>
  </si>
  <si>
    <t>ITEM-0792</t>
  </si>
  <si>
    <t>ITEM-0793</t>
  </si>
  <si>
    <t>ITEM-0794</t>
  </si>
  <si>
    <t>ITEM-0795</t>
  </si>
  <si>
    <t>ITEM-0796</t>
  </si>
  <si>
    <t>ITEM-0797</t>
  </si>
  <si>
    <t>ITEM-0798</t>
  </si>
  <si>
    <t>ITEM-0799</t>
  </si>
  <si>
    <t>ITEM-0800</t>
  </si>
  <si>
    <t>ITEM-0801</t>
  </si>
  <si>
    <t>ITEM-0802</t>
  </si>
  <si>
    <t>ITEM-0803</t>
  </si>
  <si>
    <t>ITEM-0804</t>
  </si>
  <si>
    <t>ITEM-0805</t>
  </si>
  <si>
    <t>ITEM-0806</t>
  </si>
  <si>
    <t>ITEM-0807</t>
  </si>
  <si>
    <t>ITEM-0808</t>
  </si>
  <si>
    <t>ITEM-0809</t>
  </si>
  <si>
    <t>ITEM-0810</t>
  </si>
  <si>
    <t>ITEM-0811</t>
  </si>
  <si>
    <t>ITEM-0812</t>
  </si>
  <si>
    <t>ITEM-0813</t>
  </si>
  <si>
    <t>ITEM-0814</t>
  </si>
  <si>
    <t>ITEM-0815</t>
  </si>
  <si>
    <t>ITEM-0816</t>
  </si>
  <si>
    <t>ITEM-0817</t>
  </si>
  <si>
    <t>ITEM-0818</t>
  </si>
  <si>
    <t>ITEM-0819</t>
  </si>
  <si>
    <t>ITEM-0820</t>
  </si>
  <si>
    <t>ITEM-0821</t>
  </si>
  <si>
    <t>ITEM-0822</t>
  </si>
  <si>
    <t>ITEM-0823</t>
  </si>
  <si>
    <t>ITEM-0824</t>
  </si>
  <si>
    <t>ITEM-0825</t>
  </si>
  <si>
    <t>ITEM-0826</t>
  </si>
  <si>
    <t>ITEM-0827</t>
  </si>
  <si>
    <t>ITEM-0828</t>
  </si>
  <si>
    <t>ITEM-0829</t>
  </si>
  <si>
    <t>ITEM-0830</t>
  </si>
  <si>
    <t>ITEM-0831</t>
  </si>
  <si>
    <t>ITEM-0832</t>
  </si>
  <si>
    <t>ITEM-0833</t>
  </si>
  <si>
    <t>ITEM-0834</t>
  </si>
  <si>
    <t>ITEM-0835</t>
  </si>
  <si>
    <t>ITEM-0836</t>
  </si>
  <si>
    <t>ITEM-0837</t>
  </si>
  <si>
    <t>ITEM-0838</t>
  </si>
  <si>
    <t>ITEM-0839</t>
  </si>
  <si>
    <t>ITEM-0840</t>
  </si>
  <si>
    <t>ITEM-0841</t>
  </si>
  <si>
    <t>ITEM-0842</t>
  </si>
  <si>
    <t>ITEM-0843</t>
  </si>
  <si>
    <t>ITEM-0844</t>
  </si>
  <si>
    <t>ITEM-0845</t>
  </si>
  <si>
    <t>ITEM-0846</t>
  </si>
  <si>
    <t>ITEM-0847</t>
  </si>
  <si>
    <t>ITEM-0848</t>
  </si>
  <si>
    <t>ITEM-0849</t>
  </si>
  <si>
    <t>ITEM-0850</t>
  </si>
  <si>
    <t>ITEM-0851</t>
  </si>
  <si>
    <t>ITEM-0852</t>
  </si>
  <si>
    <t>ITEM-0853</t>
  </si>
  <si>
    <t>ITEM-0854</t>
  </si>
  <si>
    <t>ITEM-0855</t>
  </si>
  <si>
    <t>ITEM-0856</t>
  </si>
  <si>
    <t>ITEM-0857</t>
  </si>
  <si>
    <t>ITEM-0858</t>
  </si>
  <si>
    <t>ITEM-0859</t>
  </si>
  <si>
    <t>ITEM-0860</t>
  </si>
  <si>
    <t>ITEM-0861</t>
  </si>
  <si>
    <t>ITEM-0862</t>
  </si>
  <si>
    <t>ITEM-0863</t>
  </si>
  <si>
    <t>ITEM-0864</t>
  </si>
  <si>
    <t>ITEM-0865</t>
  </si>
  <si>
    <t>ITEM-0866</t>
  </si>
  <si>
    <t>ITEM-0867</t>
  </si>
  <si>
    <t>ITEM-0868</t>
  </si>
  <si>
    <t>ITEM-0869</t>
  </si>
  <si>
    <t>ITEM-0870</t>
  </si>
  <si>
    <t>ITEM-0871</t>
  </si>
  <si>
    <t>ITEM-0872</t>
  </si>
  <si>
    <t>ITEM-0873</t>
  </si>
  <si>
    <t>ITEM-0874</t>
  </si>
  <si>
    <t>ITEM-0875</t>
  </si>
  <si>
    <t>ITEM-0876</t>
  </si>
  <si>
    <t>ITEM-0877</t>
  </si>
  <si>
    <t>ITEM-0878</t>
  </si>
  <si>
    <t>ITEM-0879</t>
  </si>
  <si>
    <t>ITEM-0880</t>
  </si>
  <si>
    <t>ITEM-0881</t>
  </si>
  <si>
    <t>ITEM-0882</t>
  </si>
  <si>
    <t>ITEM-0883</t>
  </si>
  <si>
    <t>ITEM-0884</t>
  </si>
  <si>
    <t>ITEM-0885</t>
  </si>
  <si>
    <t>ITEM-0886</t>
  </si>
  <si>
    <t>ITEM-0887</t>
  </si>
  <si>
    <t>ITEM-0888</t>
  </si>
  <si>
    <t>ITEM-0889</t>
  </si>
  <si>
    <t>ITEM-0890</t>
  </si>
  <si>
    <t>ITEM-0891</t>
  </si>
  <si>
    <t>ITEM-0892</t>
  </si>
  <si>
    <t>ITEM-0893</t>
  </si>
  <si>
    <t>ITEM-0894</t>
  </si>
  <si>
    <t>ITEM-0895</t>
  </si>
  <si>
    <t>ITEM-0896</t>
  </si>
  <si>
    <t>ITEM-0897</t>
  </si>
  <si>
    <t>ITEM-0898</t>
  </si>
  <si>
    <t>ITEM-0899</t>
  </si>
  <si>
    <t>ITEM-0900</t>
  </si>
  <si>
    <t>ITEM-0901</t>
  </si>
  <si>
    <t>ITEM-0902</t>
  </si>
  <si>
    <t>ITEM-0903</t>
  </si>
  <si>
    <t>ITEM-0904</t>
  </si>
  <si>
    <t>ITEM-0905</t>
  </si>
  <si>
    <t>ITEM-0906</t>
  </si>
  <si>
    <t>ITEM-0907</t>
  </si>
  <si>
    <t>ITEM-0908</t>
  </si>
  <si>
    <t>ITEM-0909</t>
  </si>
  <si>
    <t>ITEM-0910</t>
  </si>
  <si>
    <t>ITEM-0911</t>
  </si>
  <si>
    <t>ITEM-0912</t>
  </si>
  <si>
    <t>ITEM-0913</t>
  </si>
  <si>
    <t>ITEM-0914</t>
  </si>
  <si>
    <t>ITEM-0915</t>
  </si>
  <si>
    <t>ITEM-0916</t>
  </si>
  <si>
    <t>ITEM-0917</t>
  </si>
  <si>
    <t>ITEM-0918</t>
  </si>
  <si>
    <t>ITEM-0919</t>
  </si>
  <si>
    <t>ITEM-0920</t>
  </si>
  <si>
    <t>ITEM-0921</t>
  </si>
  <si>
    <t>ITEM-0922</t>
  </si>
  <si>
    <t>ITEM-0923</t>
  </si>
  <si>
    <t>ITEM-0924</t>
  </si>
  <si>
    <t>ITEM-0925</t>
  </si>
  <si>
    <t>ITEM-0926</t>
  </si>
  <si>
    <t>ITEM-0927</t>
  </si>
  <si>
    <t>ITEM-0928</t>
  </si>
  <si>
    <t>ITEM-0929</t>
  </si>
  <si>
    <t>ITEM-0930</t>
  </si>
  <si>
    <t>ITEM-0931</t>
  </si>
  <si>
    <t>ITEM-0932</t>
  </si>
  <si>
    <t>ITEM-0933</t>
  </si>
  <si>
    <t>ITEM-0934</t>
  </si>
  <si>
    <t>ITEM-0935</t>
  </si>
  <si>
    <t>ITEM-0936</t>
  </si>
  <si>
    <t>ITEM-0937</t>
  </si>
  <si>
    <t>ITEM-0938</t>
  </si>
  <si>
    <t>ITEM-0939</t>
  </si>
  <si>
    <t>ITEM-0940</t>
  </si>
  <si>
    <t>ITEM-0941</t>
  </si>
  <si>
    <t>ITEM-0942</t>
  </si>
  <si>
    <t>ITEM-0943</t>
  </si>
  <si>
    <t>ITEM-0944</t>
  </si>
  <si>
    <t>ITEM-0945</t>
  </si>
  <si>
    <t>ITEM-0946</t>
  </si>
  <si>
    <t>ITEM-0947</t>
  </si>
  <si>
    <t>ITEM-0948</t>
  </si>
  <si>
    <t>ITEM-0949</t>
  </si>
  <si>
    <t>ITEM-0950</t>
  </si>
  <si>
    <t>ITEM-0951</t>
  </si>
  <si>
    <t>ITEM-0952</t>
  </si>
  <si>
    <t>ITEM-0953</t>
  </si>
  <si>
    <t>ITEM-0954</t>
  </si>
  <si>
    <t>ITEM-0955</t>
  </si>
  <si>
    <t>ITEM-0956</t>
  </si>
  <si>
    <t>ITEM-0957</t>
  </si>
  <si>
    <t>ITEM-0958</t>
  </si>
  <si>
    <t>ITEM-0959</t>
  </si>
  <si>
    <t>ITEM-0960</t>
  </si>
  <si>
    <t>ITEM-0961</t>
  </si>
  <si>
    <t>ITEM-0962</t>
  </si>
  <si>
    <t>ITEM-0963</t>
  </si>
  <si>
    <t>ITEM-0964</t>
  </si>
  <si>
    <t>ITEM-0965</t>
  </si>
  <si>
    <t>ITEM-0966</t>
  </si>
  <si>
    <t>ITEM-0967</t>
  </si>
  <si>
    <t>ITEM-0968</t>
  </si>
  <si>
    <t>ITEM-0969</t>
  </si>
  <si>
    <t>ITEM-0970</t>
  </si>
  <si>
    <t>ITEM-0971</t>
  </si>
  <si>
    <t>ITEM-0972</t>
  </si>
  <si>
    <t>ITEM-0973</t>
  </si>
  <si>
    <t>ITEM-0974</t>
  </si>
  <si>
    <t>ITEM-0975</t>
  </si>
  <si>
    <t>ITEM-0976</t>
  </si>
  <si>
    <t>ITEM-0977</t>
  </si>
  <si>
    <t>ITEM-0978</t>
  </si>
  <si>
    <t>ITEM-0979</t>
  </si>
  <si>
    <t>ITEM-0980</t>
  </si>
  <si>
    <t>ITEM-0981</t>
  </si>
  <si>
    <t>ITEM-0982</t>
  </si>
  <si>
    <t>ITEM-0983</t>
  </si>
  <si>
    <t>ITEM-0984</t>
  </si>
  <si>
    <t>ITEM-0985</t>
  </si>
  <si>
    <t>ITEM-0986</t>
  </si>
  <si>
    <t>ITEM-0987</t>
  </si>
  <si>
    <t>ITEM-0988</t>
  </si>
  <si>
    <t>ITEM-0989</t>
  </si>
  <si>
    <t>ITEM-0990</t>
  </si>
  <si>
    <t>ITEM-0991</t>
  </si>
  <si>
    <t>ITEM-0992</t>
  </si>
  <si>
    <t>ITEM-0993</t>
  </si>
  <si>
    <t>ITEM-0994</t>
  </si>
  <si>
    <t>ITEM-0995</t>
  </si>
  <si>
    <t>ITEM-0996</t>
  </si>
  <si>
    <t>ITEM-0997</t>
  </si>
  <si>
    <t>ITEM-0998</t>
  </si>
  <si>
    <t>ITEM-0999</t>
  </si>
  <si>
    <t>ITEM-1000</t>
  </si>
  <si>
    <t>ITEM-1001</t>
  </si>
  <si>
    <t>ITEM-1002</t>
  </si>
  <si>
    <t>ITEM-1003</t>
  </si>
  <si>
    <t>ITEM-1004</t>
  </si>
  <si>
    <t>ITEM-1005</t>
  </si>
  <si>
    <t>ITEM-1006</t>
  </si>
  <si>
    <t>ITEM-1007</t>
  </si>
  <si>
    <t>ITEM-1008</t>
  </si>
  <si>
    <t>ITEM-1009</t>
  </si>
  <si>
    <t>ITEM-1010</t>
  </si>
  <si>
    <t>ITEM-1011</t>
  </si>
  <si>
    <t>ITEM-1012</t>
  </si>
  <si>
    <t>ITEM-1013</t>
  </si>
  <si>
    <t>ITEM-1014</t>
  </si>
  <si>
    <t>ITEM-1015</t>
  </si>
  <si>
    <t>ITEM-1016</t>
  </si>
  <si>
    <t>ITEM-1017</t>
  </si>
  <si>
    <t>ITEM-1018</t>
  </si>
  <si>
    <t>ITEM-1019</t>
  </si>
  <si>
    <t>ITEM-1020</t>
  </si>
  <si>
    <t>ITEM-1021</t>
  </si>
  <si>
    <t>ITEM-1022</t>
  </si>
  <si>
    <t>ITEM-1023</t>
  </si>
  <si>
    <t>ITEM-1024</t>
  </si>
  <si>
    <t>ITEM-1025</t>
  </si>
  <si>
    <t>ITEM-1026</t>
  </si>
  <si>
    <t>ITEM-1027</t>
  </si>
  <si>
    <t>ITEM-1028</t>
  </si>
  <si>
    <t>ITEM-1029</t>
  </si>
  <si>
    <t>ITEM-1030</t>
  </si>
  <si>
    <t>ITEM-1031</t>
  </si>
  <si>
    <t>ITEM-1032</t>
  </si>
  <si>
    <t>ITEM-1033</t>
  </si>
  <si>
    <t>ITEM-1034</t>
  </si>
  <si>
    <t>ITEM-1035</t>
  </si>
  <si>
    <t>ITEM-1036</t>
  </si>
  <si>
    <t>ITEM-1037</t>
  </si>
  <si>
    <t>ITEM-1038</t>
  </si>
  <si>
    <t>ITEM-1039</t>
  </si>
  <si>
    <t>ITEM-1040</t>
  </si>
  <si>
    <t>ITEM-1041</t>
  </si>
  <si>
    <t>ITEM-1042</t>
  </si>
  <si>
    <t>ITEM-1043</t>
  </si>
  <si>
    <t>ITEM-1044</t>
  </si>
  <si>
    <t>ITEM-1045</t>
  </si>
  <si>
    <t>ITEM-1046</t>
  </si>
  <si>
    <t>ITEM-1047</t>
  </si>
  <si>
    <t>ITEM-1048</t>
  </si>
  <si>
    <t>ITEM-1049</t>
  </si>
  <si>
    <t>ITEM-1050</t>
  </si>
  <si>
    <t>ITEM-1051</t>
  </si>
  <si>
    <t>ITEM-1052</t>
  </si>
  <si>
    <t>ITEM-1053</t>
  </si>
  <si>
    <t>ITEM-1054</t>
  </si>
  <si>
    <t>ITEM-1055</t>
  </si>
  <si>
    <t>ITEM-1056</t>
  </si>
  <si>
    <t>ITEM-1057</t>
  </si>
  <si>
    <t>ITEM-1058</t>
  </si>
  <si>
    <t>ITEM-1059</t>
  </si>
  <si>
    <t>ITEM-1060</t>
  </si>
  <si>
    <t>ITEM-1061</t>
  </si>
  <si>
    <t>ITEM-1062</t>
  </si>
  <si>
    <t>ITEM-1063</t>
  </si>
  <si>
    <t>ITEM-1064</t>
  </si>
  <si>
    <t>ITEM-1065</t>
  </si>
  <si>
    <t>ITEM-1066</t>
  </si>
  <si>
    <t>ITEM-1067</t>
  </si>
  <si>
    <t>ITEM-1068</t>
  </si>
  <si>
    <t>ITEM-1069</t>
  </si>
  <si>
    <t>ITEM-1070</t>
  </si>
  <si>
    <t>ITEM-1071</t>
  </si>
  <si>
    <t>ITEM-1072</t>
  </si>
  <si>
    <t>ITEM-1073</t>
  </si>
  <si>
    <t>ITEM-1074</t>
  </si>
  <si>
    <t>ITEM-1075</t>
  </si>
  <si>
    <t>ITEM-1076</t>
  </si>
  <si>
    <t>ITEM-1077</t>
  </si>
  <si>
    <t>ITEM-1078</t>
  </si>
  <si>
    <t>ITEM-1079</t>
  </si>
  <si>
    <t>ITEM-1080</t>
  </si>
  <si>
    <t>ITEM-1081</t>
  </si>
  <si>
    <t>ITEM-1082</t>
  </si>
  <si>
    <t>ITEM-1083</t>
  </si>
  <si>
    <t>ITEM-1084</t>
  </si>
  <si>
    <t>ITEM-1085</t>
  </si>
  <si>
    <t>ITEM-1086</t>
  </si>
  <si>
    <t>ITEM-1087</t>
  </si>
  <si>
    <t>ITEM-1088</t>
  </si>
  <si>
    <t>ITEM-1089</t>
  </si>
  <si>
    <t>ITEM-1090</t>
  </si>
  <si>
    <t>ITEM-1091</t>
  </si>
  <si>
    <t>ITEM-1092</t>
  </si>
  <si>
    <t>ITEM-1093</t>
  </si>
  <si>
    <t>ITEM-1094</t>
  </si>
  <si>
    <t>ITEM-1095</t>
  </si>
  <si>
    <t>ITEM-1096</t>
  </si>
  <si>
    <t>ITEM-1097</t>
  </si>
  <si>
    <t>ITEM-1098</t>
  </si>
  <si>
    <t>ITEM-1099</t>
  </si>
  <si>
    <t>ITEM-1100</t>
  </si>
  <si>
    <t>ITEM-1101</t>
  </si>
  <si>
    <t>ITEM-1102</t>
  </si>
  <si>
    <t>ITEM-1103</t>
  </si>
  <si>
    <t>ITEM-1104</t>
  </si>
  <si>
    <t>ITEM-1105</t>
  </si>
  <si>
    <t>ITEM-1106</t>
  </si>
  <si>
    <t>ITEM-1107</t>
  </si>
  <si>
    <t>ITEM-1108</t>
  </si>
  <si>
    <t>ITEM-1109</t>
  </si>
  <si>
    <t>ITEM-1110</t>
  </si>
  <si>
    <t>ITEM-1111</t>
  </si>
  <si>
    <t>ITEM-1112</t>
  </si>
  <si>
    <t>ITEM-1113</t>
  </si>
  <si>
    <t>ITEM-1114</t>
  </si>
  <si>
    <t>ITEM-1115</t>
  </si>
  <si>
    <t>ITEM-1116</t>
  </si>
  <si>
    <t>ITEM-1117</t>
  </si>
  <si>
    <t>ITEM-1118</t>
  </si>
  <si>
    <t>ITEM-1119</t>
  </si>
  <si>
    <t>ITEM-1120</t>
  </si>
  <si>
    <t>ITEM-1121</t>
  </si>
  <si>
    <t>ITEM-1122</t>
  </si>
  <si>
    <t>ITEM-1123</t>
  </si>
  <si>
    <t>ITEM-1124</t>
  </si>
  <si>
    <t>ITEM-1125</t>
  </si>
  <si>
    <t>ITEM-1126</t>
  </si>
  <si>
    <t>ITEM-1127</t>
  </si>
  <si>
    <t>ITEM-1128</t>
  </si>
  <si>
    <t>ITEM-1129</t>
  </si>
  <si>
    <t>ITEM-1130</t>
  </si>
  <si>
    <t>ITEM-1131</t>
  </si>
  <si>
    <t>ITEM-1132</t>
  </si>
  <si>
    <t>ITEM-1133</t>
  </si>
  <si>
    <t>ITEM-1134</t>
  </si>
  <si>
    <t>ITEM-1135</t>
  </si>
  <si>
    <t>ITEM-1136</t>
  </si>
  <si>
    <t>ITEM-1137</t>
  </si>
  <si>
    <t>ITEM-1138</t>
  </si>
  <si>
    <t>ITEM-1139</t>
  </si>
  <si>
    <t>ITEM-1140</t>
  </si>
  <si>
    <t>ITEM-1141</t>
  </si>
  <si>
    <t>ITEM-1142</t>
  </si>
  <si>
    <t>ITEM-1143</t>
  </si>
  <si>
    <t>ITEM-1144</t>
  </si>
  <si>
    <t>ITEM-1145</t>
  </si>
  <si>
    <t>ITEM-1146</t>
  </si>
  <si>
    <t>ITEM-1147</t>
  </si>
  <si>
    <t>ITEM-1148</t>
  </si>
  <si>
    <t>ITEM-1149</t>
  </si>
  <si>
    <t>ITEM-1150</t>
  </si>
  <si>
    <t>ITEM-1151</t>
  </si>
  <si>
    <t>ITEM-1152</t>
  </si>
  <si>
    <t>ITEM-1153</t>
  </si>
  <si>
    <t>ITEM-1154</t>
  </si>
  <si>
    <t>ITEM-1155</t>
  </si>
  <si>
    <t>ITEM-1156</t>
  </si>
  <si>
    <t>ITEM-1157</t>
  </si>
  <si>
    <t>ITEM-1158</t>
  </si>
  <si>
    <t>ITEM-1159</t>
  </si>
  <si>
    <t>ITEM-1160</t>
  </si>
  <si>
    <t>ITEM-1161</t>
  </si>
  <si>
    <t>ITEM-1162</t>
  </si>
  <si>
    <t>ITEM-1163</t>
  </si>
  <si>
    <t>ITEM-1164</t>
  </si>
  <si>
    <t>ITEM-1165</t>
  </si>
  <si>
    <t>ITEM-1166</t>
  </si>
  <si>
    <t>ITEM-1167</t>
  </si>
  <si>
    <t>ITEM-1168</t>
  </si>
  <si>
    <t>ITEM-1169</t>
  </si>
  <si>
    <t>ITEM-1170</t>
  </si>
  <si>
    <t>ITEM-1171</t>
  </si>
  <si>
    <t>ITEM-1172</t>
  </si>
  <si>
    <t>ITEM-1173</t>
  </si>
  <si>
    <t>ITEM-1174</t>
  </si>
  <si>
    <t>ITEM-1175</t>
  </si>
  <si>
    <t>ITEM-1176</t>
  </si>
  <si>
    <t>ITEM-1177</t>
  </si>
  <si>
    <t>ITEM-1178</t>
  </si>
  <si>
    <t>ITEM-1179</t>
  </si>
  <si>
    <t>ITEM-1180</t>
  </si>
  <si>
    <t>ITEM-1181</t>
  </si>
  <si>
    <t>ITEM-1182</t>
  </si>
  <si>
    <t>ITEM-1183</t>
  </si>
  <si>
    <t>ITEM-1184</t>
  </si>
  <si>
    <t>ITEM-1185</t>
  </si>
  <si>
    <t>ITEM-1186</t>
  </si>
  <si>
    <t>ITEM-1187</t>
  </si>
  <si>
    <t>ITEM-1188</t>
  </si>
  <si>
    <t>ITEM-1189</t>
  </si>
  <si>
    <t>ITEM-1190</t>
  </si>
  <si>
    <t>ITEM-1191</t>
  </si>
  <si>
    <t>ITEM-1192</t>
  </si>
  <si>
    <t>ITEM-1193</t>
  </si>
  <si>
    <t>ITEM-1194</t>
  </si>
  <si>
    <t>ITEM-1195</t>
  </si>
  <si>
    <t>ITEM-1196</t>
  </si>
  <si>
    <t>ITEM-1197</t>
  </si>
  <si>
    <t>ITEM-1198</t>
  </si>
  <si>
    <t>ITEM-1199</t>
  </si>
  <si>
    <t>ITEM-1200</t>
  </si>
  <si>
    <t>ITEM-1201</t>
  </si>
  <si>
    <t>ITEM-1202</t>
  </si>
  <si>
    <t>ITEM-1203</t>
  </si>
  <si>
    <t>ITEM-1204</t>
  </si>
  <si>
    <t>ITEM-1205</t>
  </si>
  <si>
    <t>ITEM-1206</t>
  </si>
  <si>
    <t>ITEM-1207</t>
  </si>
  <si>
    <t>ITEM-1208</t>
  </si>
  <si>
    <t>ITEM-1209</t>
  </si>
  <si>
    <t>ITEM-1210</t>
  </si>
  <si>
    <t>ITEM-1211</t>
  </si>
  <si>
    <t>ITEM-1212</t>
  </si>
  <si>
    <t>ITEM-1213</t>
  </si>
  <si>
    <t>ITEM-1214</t>
  </si>
  <si>
    <t>ITEM-1215</t>
  </si>
  <si>
    <t>ITEM-1216</t>
  </si>
  <si>
    <t>ITEM-1217</t>
  </si>
  <si>
    <t>ITEM-1218</t>
  </si>
  <si>
    <t>ITEM-1219</t>
  </si>
  <si>
    <t>ITEM-1220</t>
  </si>
  <si>
    <t>ITEM-1221</t>
  </si>
  <si>
    <t>ITEM-1222</t>
  </si>
  <si>
    <t>ITEM-1223</t>
  </si>
  <si>
    <t>ITEM-1224</t>
  </si>
  <si>
    <t>ITEM-1225</t>
  </si>
  <si>
    <t>ITEM-1226</t>
  </si>
  <si>
    <t>ITEM-1227</t>
  </si>
  <si>
    <t>ITEM-1228</t>
  </si>
  <si>
    <t>ITEM-1229</t>
  </si>
  <si>
    <t>ITEM-1230</t>
  </si>
  <si>
    <t>ITEM-1231</t>
  </si>
  <si>
    <t>ITEM-1232</t>
  </si>
  <si>
    <t>ITEM-1233</t>
  </si>
  <si>
    <t>ITEM-1234</t>
  </si>
  <si>
    <t>ITEM-1235</t>
  </si>
  <si>
    <t>ITEM-1236</t>
  </si>
  <si>
    <t>ITEM-1237</t>
  </si>
  <si>
    <t>ITEM-1238</t>
  </si>
  <si>
    <t>ITEM-1239</t>
  </si>
  <si>
    <t>ITEM-1240</t>
  </si>
  <si>
    <t>ITEM-1241</t>
  </si>
  <si>
    <t>ITEM-1242</t>
  </si>
  <si>
    <t>ITEM-1243</t>
  </si>
  <si>
    <t>ITEM-1244</t>
  </si>
  <si>
    <t>ITEM-1245</t>
  </si>
  <si>
    <t>ITEM-1246</t>
  </si>
  <si>
    <t>ITEM-1247</t>
  </si>
  <si>
    <t>ITEM-1248</t>
  </si>
  <si>
    <t>ITEM-1249</t>
  </si>
  <si>
    <t>ITEM-1250</t>
  </si>
  <si>
    <t>ITEM-1251</t>
  </si>
  <si>
    <t>ITEM-1252</t>
  </si>
  <si>
    <t>ITEM-1253</t>
  </si>
  <si>
    <t>ITEM-1254</t>
  </si>
  <si>
    <t>ITEM-1255</t>
  </si>
  <si>
    <t>ITEM-1256</t>
  </si>
  <si>
    <t>ITEM-1257</t>
  </si>
  <si>
    <t>ITEM-1258</t>
  </si>
  <si>
    <t>ITEM-1259</t>
  </si>
  <si>
    <t>ITEM-1260</t>
  </si>
  <si>
    <t>ITEM-1261</t>
  </si>
  <si>
    <t>ITEM-1262</t>
  </si>
  <si>
    <t>ITEM-1263</t>
  </si>
  <si>
    <t>ITEM-1264</t>
  </si>
  <si>
    <t>ITEM-1265</t>
  </si>
  <si>
    <t>ITEM-1266</t>
  </si>
  <si>
    <t>ITEM-1267</t>
  </si>
  <si>
    <t>ITEM-1268</t>
  </si>
  <si>
    <t>ITEM-1269</t>
  </si>
  <si>
    <t>ITEM-1270</t>
  </si>
  <si>
    <t>ITEM-1271</t>
  </si>
  <si>
    <t>ITEM-1272</t>
  </si>
  <si>
    <t>ITEM-1273</t>
  </si>
  <si>
    <t>ITEM-1274</t>
  </si>
  <si>
    <t>ITEM-1275</t>
  </si>
  <si>
    <t>ITEM-1276</t>
  </si>
  <si>
    <t>ITEM-1277</t>
  </si>
  <si>
    <t>ITEM-1278</t>
  </si>
  <si>
    <t>ITEM-1279</t>
  </si>
  <si>
    <t>ITEM-1280</t>
  </si>
  <si>
    <t>ITEM-1281</t>
  </si>
  <si>
    <t>ITEM-1282</t>
  </si>
  <si>
    <t>ITEM-1283</t>
  </si>
  <si>
    <t>ITEM-1284</t>
  </si>
  <si>
    <t>ITEM-1285</t>
  </si>
  <si>
    <t>ITEM-1286</t>
  </si>
  <si>
    <t>ITEM-1287</t>
  </si>
  <si>
    <t>ITEM-1288</t>
  </si>
  <si>
    <t>ITEM-1289</t>
  </si>
  <si>
    <t>ITEM-1290</t>
  </si>
  <si>
    <t>ITEM-1291</t>
  </si>
  <si>
    <t>ITEM-1292</t>
  </si>
  <si>
    <t>ITEM-1293</t>
  </si>
  <si>
    <t>ITEM-1294</t>
  </si>
  <si>
    <t>ITEM-1295</t>
  </si>
  <si>
    <t>ITEM-1296</t>
  </si>
  <si>
    <t>ITEM-1297</t>
  </si>
  <si>
    <t>ITEM-1298</t>
  </si>
  <si>
    <t>ITEM-1299</t>
  </si>
  <si>
    <t>ITEM-1300</t>
  </si>
  <si>
    <t>ITEM-1301</t>
  </si>
  <si>
    <t>ITEM-1302</t>
  </si>
  <si>
    <t>ITEM-1303</t>
  </si>
  <si>
    <t>ITEM-1304</t>
  </si>
  <si>
    <t>ITEM-1305</t>
  </si>
  <si>
    <t>ITEM-1306</t>
  </si>
  <si>
    <t>ITEM-1307</t>
  </si>
  <si>
    <t>ITEM-1308</t>
  </si>
  <si>
    <t>ITEM-1309</t>
  </si>
  <si>
    <t>ITEM-1310</t>
  </si>
  <si>
    <t>ITEM-1311</t>
  </si>
  <si>
    <t>ITEM-1312</t>
  </si>
  <si>
    <t>ITEM-1313</t>
  </si>
  <si>
    <t>ITEM-1314</t>
  </si>
  <si>
    <t>ITEM-1315</t>
  </si>
  <si>
    <t>ITEM-1316</t>
  </si>
  <si>
    <t>ITEM-1317</t>
  </si>
  <si>
    <t>ITEM-1318</t>
  </si>
  <si>
    <t>ITEM-1319</t>
  </si>
  <si>
    <t>ITEM-1320</t>
  </si>
  <si>
    <t>ITEM-1321</t>
  </si>
  <si>
    <t>ITEM-1322</t>
  </si>
  <si>
    <t>ITEM-1323</t>
  </si>
  <si>
    <t>ITEM-1324</t>
  </si>
  <si>
    <t>ITEM-1325</t>
  </si>
  <si>
    <t>ITEM-1326</t>
  </si>
  <si>
    <t>ITEM-1327</t>
  </si>
  <si>
    <t>ITEM-1328</t>
  </si>
  <si>
    <t>ITEM-1329</t>
  </si>
  <si>
    <t>ITEM-1330</t>
  </si>
  <si>
    <t>ITEM-1331</t>
  </si>
  <si>
    <t>ITEM-1332</t>
  </si>
  <si>
    <t>ITEM-1333</t>
  </si>
  <si>
    <t>ITEM-1334</t>
  </si>
  <si>
    <t>ITEM-1335</t>
  </si>
  <si>
    <t>ITEM-1336</t>
  </si>
  <si>
    <t>ITEM-1337</t>
  </si>
  <si>
    <t>ITEM-1338</t>
  </si>
  <si>
    <t>ITEM-1339</t>
  </si>
  <si>
    <t>ITEM-1340</t>
  </si>
  <si>
    <t>ITEM-1341</t>
  </si>
  <si>
    <t>ITEM-1342</t>
  </si>
  <si>
    <t>ITEM-1343</t>
  </si>
  <si>
    <t>ITEM-1344</t>
  </si>
  <si>
    <t>ITEM-1345</t>
  </si>
  <si>
    <t>ITEM-1346</t>
  </si>
  <si>
    <t>ITEM-1347</t>
  </si>
  <si>
    <t>ITEM-1348</t>
  </si>
  <si>
    <t>ITEM-1349</t>
  </si>
  <si>
    <t>ITEM-1350</t>
  </si>
  <si>
    <t>ITEM-1351</t>
  </si>
  <si>
    <t>ITEM-1352</t>
  </si>
  <si>
    <t>ITEM-1353</t>
  </si>
  <si>
    <t>ITEM-1354</t>
  </si>
  <si>
    <t>ITEM-1355</t>
  </si>
  <si>
    <t>ITEM-1356</t>
  </si>
  <si>
    <t>ITEM-1357</t>
  </si>
  <si>
    <t>ITEM-1358</t>
  </si>
  <si>
    <t>ITEM-1359</t>
  </si>
  <si>
    <t>ITEM-1360</t>
  </si>
  <si>
    <t>ITEM-1361</t>
  </si>
  <si>
    <t>ITEM-1362</t>
  </si>
  <si>
    <t>ITEM-1363</t>
  </si>
  <si>
    <t>ITEM-1364</t>
  </si>
  <si>
    <t>ITEM-1365</t>
  </si>
  <si>
    <t>ITEM-1366</t>
  </si>
  <si>
    <t>ITEM-1367</t>
  </si>
  <si>
    <t>ITEM-1368</t>
  </si>
  <si>
    <t>ITEM-1369</t>
  </si>
  <si>
    <t>ITEM-1370</t>
  </si>
  <si>
    <t>ITEM-1371</t>
  </si>
  <si>
    <t>ITEM-1372</t>
  </si>
  <si>
    <t>ITEM-1373</t>
  </si>
  <si>
    <t>ITEM-1374</t>
  </si>
  <si>
    <t>ITEM-1375</t>
  </si>
  <si>
    <t>ITEM-1376</t>
  </si>
  <si>
    <t>ITEM-1377</t>
  </si>
  <si>
    <t>ITEM-1378</t>
  </si>
  <si>
    <t>ITEM-1379</t>
  </si>
  <si>
    <t>ITEM-1380</t>
  </si>
  <si>
    <t>ITEM-1381</t>
  </si>
  <si>
    <t>ITEM-1382</t>
  </si>
  <si>
    <t>ITEM-1383</t>
  </si>
  <si>
    <t>ITEM-1384</t>
  </si>
  <si>
    <t>ITEM-1385</t>
  </si>
  <si>
    <t>ITEM-1386</t>
  </si>
  <si>
    <t>ITEM-1387</t>
  </si>
  <si>
    <t>ITEM-1388</t>
  </si>
  <si>
    <t>ITEM-1389</t>
  </si>
  <si>
    <t>ITEM-1390</t>
  </si>
  <si>
    <t>ITEM-1391</t>
  </si>
  <si>
    <t>ITEM-1392</t>
  </si>
  <si>
    <t>ITEM-1393</t>
  </si>
  <si>
    <t>ITEM-1394</t>
  </si>
  <si>
    <t>ITEM-1395</t>
  </si>
  <si>
    <t>ITEM-1396</t>
  </si>
  <si>
    <t>ITEM-1397</t>
  </si>
  <si>
    <t>ITEM-1398</t>
  </si>
  <si>
    <t>ITEM-1399</t>
  </si>
  <si>
    <t>ITEM-1400</t>
  </si>
  <si>
    <t>ITEM-1401</t>
  </si>
  <si>
    <t>ITEM-1402</t>
  </si>
  <si>
    <t>ITEM-1403</t>
  </si>
  <si>
    <t>ITEM-1404</t>
  </si>
  <si>
    <t>ITEM-1405</t>
  </si>
  <si>
    <t>ITEM-1406</t>
  </si>
  <si>
    <t>ITEM-1407</t>
  </si>
  <si>
    <t>ITEM-1408</t>
  </si>
  <si>
    <t>ITEM-1409</t>
  </si>
  <si>
    <t>ITEM-1410</t>
  </si>
  <si>
    <t>ITEM-1411</t>
  </si>
  <si>
    <t>ITEM-1412</t>
  </si>
  <si>
    <t>ITEM-1413</t>
  </si>
  <si>
    <t>ITEM-1414</t>
  </si>
  <si>
    <t>ITEM-1415</t>
  </si>
  <si>
    <t>ITEM-1416</t>
  </si>
  <si>
    <t>ITEM-1417</t>
  </si>
  <si>
    <t>ITEM-1418</t>
  </si>
  <si>
    <t>ITEM-1419</t>
  </si>
  <si>
    <t>ITEM-1420</t>
  </si>
  <si>
    <t>ITEM-1421</t>
  </si>
  <si>
    <t>ITEM-1422</t>
  </si>
  <si>
    <t>ITEM-1423</t>
  </si>
  <si>
    <t>ITEM-1424</t>
  </si>
  <si>
    <t>ITEM-1425</t>
  </si>
  <si>
    <t>ITEM-1426</t>
  </si>
  <si>
    <t>ITEM-1427</t>
  </si>
  <si>
    <t>ITEM-1428</t>
  </si>
  <si>
    <t>ITEM-1429</t>
  </si>
  <si>
    <t>ITEM-1430</t>
  </si>
  <si>
    <t>ITEM-1431</t>
  </si>
  <si>
    <t>ITEM-1432</t>
  </si>
  <si>
    <t>ITEM-1433</t>
  </si>
  <si>
    <t>ITEM-1434</t>
  </si>
  <si>
    <t>ITEM-1435</t>
  </si>
  <si>
    <t>ITEM-1436</t>
  </si>
  <si>
    <t>ITEM-1437</t>
  </si>
  <si>
    <t>ITEM-1438</t>
  </si>
  <si>
    <t>ITEM-1439</t>
  </si>
  <si>
    <t>ITEM-1440</t>
  </si>
  <si>
    <t>ITEM-1441</t>
  </si>
  <si>
    <t>ITEM-1442</t>
  </si>
  <si>
    <t>ITEM-1443</t>
  </si>
  <si>
    <t>ITEM-1444</t>
  </si>
  <si>
    <t>ITEM-1445</t>
  </si>
  <si>
    <t>ITEM-1446</t>
  </si>
  <si>
    <t>ITEM-1447</t>
  </si>
  <si>
    <t>ITEM-1448</t>
  </si>
  <si>
    <t>ITEM-1449</t>
  </si>
  <si>
    <t>ITEM-1450</t>
  </si>
  <si>
    <t>ITEM-1451</t>
  </si>
  <si>
    <t>ITEM-1452</t>
  </si>
  <si>
    <t>ITEM-1453</t>
  </si>
  <si>
    <t>ITEM-1454</t>
  </si>
  <si>
    <t>ITEM-1455</t>
  </si>
  <si>
    <t>ITEM-1456</t>
  </si>
  <si>
    <t>ITEM-1457</t>
  </si>
  <si>
    <t>ITEM-1458</t>
  </si>
  <si>
    <t>ITEM-1459</t>
  </si>
  <si>
    <t>ITEM-1460</t>
  </si>
  <si>
    <t>ITEM-1461</t>
  </si>
  <si>
    <t>ITEM-1462</t>
  </si>
  <si>
    <t>ITEM-1463</t>
  </si>
  <si>
    <t>ITEM-1464</t>
  </si>
  <si>
    <t>ITEM-1465</t>
  </si>
  <si>
    <t>ITEM-1466</t>
  </si>
  <si>
    <t>ITEM-1467</t>
  </si>
  <si>
    <t>ITEM-1468</t>
  </si>
  <si>
    <t>ITEM-1469</t>
  </si>
  <si>
    <t>ITEM-1470</t>
  </si>
  <si>
    <t>ITEM-1471</t>
  </si>
  <si>
    <t>ITEM-1472</t>
  </si>
  <si>
    <t>ITEM-1473</t>
  </si>
  <si>
    <t>ITEM-1474</t>
  </si>
  <si>
    <t>ITEM-1475</t>
  </si>
  <si>
    <t>ITEM-1476</t>
  </si>
  <si>
    <t>ITEM-1477</t>
  </si>
  <si>
    <t>ITEM-1478</t>
  </si>
  <si>
    <t>ITEM-1479</t>
  </si>
  <si>
    <t>ITEM-1480</t>
  </si>
  <si>
    <t>ITEM-1481</t>
  </si>
  <si>
    <t>ITEM-1482</t>
  </si>
  <si>
    <t>ITEM-1483</t>
  </si>
  <si>
    <t>ITEM-1484</t>
  </si>
  <si>
    <t>ITEM-1485</t>
  </si>
  <si>
    <t>ITEM-1486</t>
  </si>
  <si>
    <t>ITEM-1487</t>
  </si>
  <si>
    <t>ITEM-1488</t>
  </si>
  <si>
    <t>ITEM-1489</t>
  </si>
  <si>
    <t>ITEM-1490</t>
  </si>
  <si>
    <t>ITEM-1491</t>
  </si>
  <si>
    <t>ITEM-1492</t>
  </si>
  <si>
    <t>ITEM-1493</t>
  </si>
  <si>
    <t>ITEM-1494</t>
  </si>
  <si>
    <t>ITEM-1495</t>
  </si>
  <si>
    <t>ITEM-1496</t>
  </si>
  <si>
    <t>ITEM-1497</t>
  </si>
  <si>
    <t>ITEM-1498</t>
  </si>
  <si>
    <t>ITEM-1499</t>
  </si>
  <si>
    <t>ITEM-1500</t>
  </si>
  <si>
    <t>ITEM-1501</t>
  </si>
  <si>
    <t>ITEM-1502</t>
  </si>
  <si>
    <t>ITEM-1503</t>
  </si>
  <si>
    <t>ITEM-1504</t>
  </si>
  <si>
    <t>ITEM-1505</t>
  </si>
  <si>
    <t>ITEM-1506</t>
  </si>
  <si>
    <t>ITEM-1507</t>
  </si>
  <si>
    <t>ITEM-1508</t>
  </si>
  <si>
    <t>ITEM-1509</t>
  </si>
  <si>
    <t>ITEM-1510</t>
  </si>
  <si>
    <t>ITEM-1511</t>
  </si>
  <si>
    <t>ITEM-1512</t>
  </si>
  <si>
    <t>ITEM-1513</t>
  </si>
  <si>
    <t>ITEM-1514</t>
  </si>
  <si>
    <t>ITEM-1515</t>
  </si>
  <si>
    <t>ITEM-1516</t>
  </si>
  <si>
    <t>ITEM-1517</t>
  </si>
  <si>
    <t>ITEM-1518</t>
  </si>
  <si>
    <t>ITEM-1519</t>
  </si>
  <si>
    <t>ITEM-1520</t>
  </si>
  <si>
    <t>ITEM-1521</t>
  </si>
  <si>
    <t>ITEM-1522</t>
  </si>
  <si>
    <t>ITEM-1523</t>
  </si>
  <si>
    <t>ITEM-1524</t>
  </si>
  <si>
    <t>ITEM-1525</t>
  </si>
  <si>
    <t>ITEM-1526</t>
  </si>
  <si>
    <t>ITEM-1527</t>
  </si>
  <si>
    <t>ITEM-1528</t>
  </si>
  <si>
    <t>ITEM-1529</t>
  </si>
  <si>
    <t>ITEM-1530</t>
  </si>
  <si>
    <t>ITEM-1531</t>
  </si>
  <si>
    <t>ITEM-1532</t>
  </si>
  <si>
    <t>ITEM-1533</t>
  </si>
  <si>
    <t>ITEM-1534</t>
  </si>
  <si>
    <t>ITEM-1535</t>
  </si>
  <si>
    <t>ITEM-1536</t>
  </si>
  <si>
    <t>ITEM-1537</t>
  </si>
  <si>
    <t>ITEM-1538</t>
  </si>
  <si>
    <t>ITEM-1539</t>
  </si>
  <si>
    <t>ITEM-1540</t>
  </si>
  <si>
    <t>ITEM-1541</t>
  </si>
  <si>
    <t>ITEM-1542</t>
  </si>
  <si>
    <t>ITEM-1543</t>
  </si>
  <si>
    <t>ITEM-1544</t>
  </si>
  <si>
    <t>ITEM-1545</t>
  </si>
  <si>
    <t>ITEM-1546</t>
  </si>
  <si>
    <t>ITEM-1547</t>
  </si>
  <si>
    <t>ITEM-1548</t>
  </si>
  <si>
    <t>ITEM-1549</t>
  </si>
  <si>
    <t>ITEM-1550</t>
  </si>
  <si>
    <t>ITEM-1551</t>
  </si>
  <si>
    <t>ITEM-1552</t>
  </si>
  <si>
    <t>ITEM-1553</t>
  </si>
  <si>
    <t>ITEM-1554</t>
  </si>
  <si>
    <t>ITEM-1555</t>
  </si>
  <si>
    <t>ITEM-1556</t>
  </si>
  <si>
    <t>ITEM-1557</t>
  </si>
  <si>
    <t>ITEM-1558</t>
  </si>
  <si>
    <t>ITEM-1559</t>
  </si>
  <si>
    <t>ITEM-1560</t>
  </si>
  <si>
    <t>ITEM-1561</t>
  </si>
  <si>
    <t>ITEM-1562</t>
  </si>
  <si>
    <t>ITEM-1563</t>
  </si>
  <si>
    <t>ITEM-1564</t>
  </si>
  <si>
    <t>ITEM-1565</t>
  </si>
  <si>
    <t>ITEM-1566</t>
  </si>
  <si>
    <t>ITEM-1567</t>
  </si>
  <si>
    <t>ITEM-1568</t>
  </si>
  <si>
    <t>ITEM-1569</t>
  </si>
  <si>
    <t>ITEM-1570</t>
  </si>
  <si>
    <t>ITEM-1571</t>
  </si>
  <si>
    <t>ITEM-1572</t>
  </si>
  <si>
    <t>ITEM-1573</t>
  </si>
  <si>
    <t>ITEM-1574</t>
  </si>
  <si>
    <t>ITEM-1575</t>
  </si>
  <si>
    <t>ITEM-1576</t>
  </si>
  <si>
    <t>ITEM-1577</t>
  </si>
  <si>
    <t>ITEM-1578</t>
  </si>
  <si>
    <t>ITEM-1579</t>
  </si>
  <si>
    <t>ITEM-1580</t>
  </si>
  <si>
    <t>ITEM-1581</t>
  </si>
  <si>
    <t>ITEM-1582</t>
  </si>
  <si>
    <t>ITEM-1583</t>
  </si>
  <si>
    <t>ITEM-1584</t>
  </si>
  <si>
    <t>ITEM-1585</t>
  </si>
  <si>
    <t>ITEM-1586</t>
  </si>
  <si>
    <t>ITEM-1587</t>
  </si>
  <si>
    <t>ITEM-1588</t>
  </si>
  <si>
    <t>ITEM-1589</t>
  </si>
  <si>
    <t>ITEM-1590</t>
  </si>
  <si>
    <t>ITEM-1591</t>
  </si>
  <si>
    <t>ITEM-1592</t>
  </si>
  <si>
    <t>ITEM-1593</t>
  </si>
  <si>
    <t>ITEM-1594</t>
  </si>
  <si>
    <t>ITEM-1595</t>
  </si>
  <si>
    <t>ITEM-1596</t>
  </si>
  <si>
    <t>ITEM-1597</t>
  </si>
  <si>
    <t>ITEM-1598</t>
  </si>
  <si>
    <t>ITEM-1599</t>
  </si>
  <si>
    <t>ITEM-1600</t>
  </si>
  <si>
    <t>ITEM-1601</t>
  </si>
  <si>
    <t>ITEM-1602</t>
  </si>
  <si>
    <t>ITEM-1603</t>
  </si>
  <si>
    <t>ITEM-1604</t>
  </si>
  <si>
    <t>ITEM-1605</t>
  </si>
  <si>
    <t>ITEM-1606</t>
  </si>
  <si>
    <t>ITEM-1607</t>
  </si>
  <si>
    <t>ITEM-1608</t>
  </si>
  <si>
    <t>ITEM-1609</t>
  </si>
  <si>
    <t>ITEM-1610</t>
  </si>
  <si>
    <t>ITEM-1611</t>
  </si>
  <si>
    <t>ITEM-1612</t>
  </si>
  <si>
    <t>ITEM-1613</t>
  </si>
  <si>
    <t>ITEM-1614</t>
  </si>
  <si>
    <t>ITEM-1615</t>
  </si>
  <si>
    <t>ITEM-1616</t>
  </si>
  <si>
    <t>ITEM-1617</t>
  </si>
  <si>
    <t>ITEM-1618</t>
  </si>
  <si>
    <t>ITEM-1619</t>
  </si>
  <si>
    <t>ITEM-1620</t>
  </si>
  <si>
    <t>ITEM-1621</t>
  </si>
  <si>
    <t>ITEM-1622</t>
  </si>
  <si>
    <t>ITEM-1623</t>
  </si>
  <si>
    <t>ITEM-1624</t>
  </si>
  <si>
    <t>ITEM-1625</t>
  </si>
  <si>
    <t>ITEM-1626</t>
  </si>
  <si>
    <t>ITEM-1627</t>
  </si>
  <si>
    <t>ITEM-1628</t>
  </si>
  <si>
    <t>ITEM-1629</t>
  </si>
  <si>
    <t>ITEM-1630</t>
  </si>
  <si>
    <t>ITEM-1631</t>
  </si>
  <si>
    <t>ITEM-1632</t>
  </si>
  <si>
    <t>ITEM-1633</t>
  </si>
  <si>
    <t>ITEM-1634</t>
  </si>
  <si>
    <t>ITEM-1635</t>
  </si>
  <si>
    <t>ITEM-1636</t>
  </si>
  <si>
    <t>ITEM-1637</t>
  </si>
  <si>
    <t>ITEM-1638</t>
  </si>
  <si>
    <t>ITEM-1639</t>
  </si>
  <si>
    <t>ITEM-1640</t>
  </si>
  <si>
    <t>ITEM-1641</t>
  </si>
  <si>
    <t>ITEM-1642</t>
  </si>
  <si>
    <t>ITEM-1643</t>
  </si>
  <si>
    <t>ITEM-1644</t>
  </si>
  <si>
    <t>ITEM-1645</t>
  </si>
  <si>
    <t>ITEM-1646</t>
  </si>
  <si>
    <t>ITEM-1647</t>
  </si>
  <si>
    <t>ITEM-1648</t>
  </si>
  <si>
    <t>ITEM-1649</t>
  </si>
  <si>
    <t>ITEM-1650</t>
  </si>
  <si>
    <t>ITEM-1651</t>
  </si>
  <si>
    <t>ITEM-1652</t>
  </si>
  <si>
    <t>ITEM-1653</t>
  </si>
  <si>
    <t>ITEM-1654</t>
  </si>
  <si>
    <t>ITEM-1655</t>
  </si>
  <si>
    <t>ITEM-1656</t>
  </si>
  <si>
    <t>ITEM-1657</t>
  </si>
  <si>
    <t>ITEM-1658</t>
  </si>
  <si>
    <t>ITEM-1659</t>
  </si>
  <si>
    <t>ITEM-1660</t>
  </si>
  <si>
    <t>ITEM-1661</t>
  </si>
  <si>
    <t>ITEM-1662</t>
  </si>
  <si>
    <t>ITEM-1663</t>
  </si>
  <si>
    <t>ITEM-1664</t>
  </si>
  <si>
    <t>ITEM-1665</t>
  </si>
  <si>
    <t>ITEM-1666</t>
  </si>
  <si>
    <t>ITEM-1667</t>
  </si>
  <si>
    <t>ITEM-1668</t>
  </si>
  <si>
    <t>ITEM-1669</t>
  </si>
  <si>
    <t>ITEM-1670</t>
  </si>
  <si>
    <t>ITEM-1671</t>
  </si>
  <si>
    <t>ITEM-1672</t>
  </si>
  <si>
    <t>ITEM-1673</t>
  </si>
  <si>
    <t>ITEM-1674</t>
  </si>
  <si>
    <t>ITEM-1675</t>
  </si>
  <si>
    <t>ITEM-1676</t>
  </si>
  <si>
    <t>ITEM-1677</t>
  </si>
  <si>
    <t>ITEM-1678</t>
  </si>
  <si>
    <t>ITEM-1679</t>
  </si>
  <si>
    <t>ITEM-1680</t>
  </si>
  <si>
    <t>ITEM-1681</t>
  </si>
  <si>
    <t>ITEM-1682</t>
  </si>
  <si>
    <t>ITEM-1683</t>
  </si>
  <si>
    <t>ITEM-1684</t>
  </si>
  <si>
    <t>ITEM-1685</t>
  </si>
  <si>
    <t>ITEM-1686</t>
  </si>
  <si>
    <t>ITEM-1687</t>
  </si>
  <si>
    <t>ITEM-1688</t>
  </si>
  <si>
    <t>ITEM-1689</t>
  </si>
  <si>
    <t>ITEM-1690</t>
  </si>
  <si>
    <t>ITEM-1691</t>
  </si>
  <si>
    <t>ITEM-1692</t>
  </si>
  <si>
    <t>ITEM-1693</t>
  </si>
  <si>
    <t>ITEM-1694</t>
  </si>
  <si>
    <t>ITEM-1695</t>
  </si>
  <si>
    <t>ITEM-1696</t>
  </si>
  <si>
    <t>ITEM-1697</t>
  </si>
  <si>
    <t>ITEM-1698</t>
  </si>
  <si>
    <t>ITEM-1699</t>
  </si>
  <si>
    <t>ITEM-1700</t>
  </si>
  <si>
    <t>ITEM-1701</t>
  </si>
  <si>
    <t>ITEM-1702</t>
  </si>
  <si>
    <t>ITEM-1703</t>
  </si>
  <si>
    <t>ITEM-1704</t>
  </si>
  <si>
    <t>ITEM-1705</t>
  </si>
  <si>
    <t>ITEM-1706</t>
  </si>
  <si>
    <t>ITEM-1707</t>
  </si>
  <si>
    <t>ITEM-1708</t>
  </si>
  <si>
    <t>ITEM-1709</t>
  </si>
  <si>
    <t>ITEM-1710</t>
  </si>
  <si>
    <t>ITEM-1711</t>
  </si>
  <si>
    <t>ITEM-1712</t>
  </si>
  <si>
    <t>ITEM-1713</t>
  </si>
  <si>
    <t>ITEM-1714</t>
  </si>
  <si>
    <t>ITEM-1715</t>
  </si>
  <si>
    <t>ITEM-1716</t>
  </si>
  <si>
    <t>ITEM-1717</t>
  </si>
  <si>
    <t>ITEM-1718</t>
  </si>
  <si>
    <t>ITEM-1719</t>
  </si>
  <si>
    <t>ITEM-1720</t>
  </si>
  <si>
    <t>ITEM-1721</t>
  </si>
  <si>
    <t>ITEM-1722</t>
  </si>
  <si>
    <t>ITEM-1723</t>
  </si>
  <si>
    <t>ITEM-1724</t>
  </si>
  <si>
    <t>ITEM-1725</t>
  </si>
  <si>
    <t>ITEM-1726</t>
  </si>
  <si>
    <t>ITEM-1727</t>
  </si>
  <si>
    <t>ITEM-1728</t>
  </si>
  <si>
    <t>ITEM-1729</t>
  </si>
  <si>
    <t>ITEM-1730</t>
  </si>
  <si>
    <t>ITEM-1731</t>
  </si>
  <si>
    <t>ITEM-1732</t>
  </si>
  <si>
    <t>ITEM-1733</t>
  </si>
  <si>
    <t>ITEM-1734</t>
  </si>
  <si>
    <t>ITEM-1735</t>
  </si>
  <si>
    <t>ITEM-1736</t>
  </si>
  <si>
    <t>ITEM-1737</t>
  </si>
  <si>
    <t>ITEM-1738</t>
  </si>
  <si>
    <t>ITEM-1739</t>
  </si>
  <si>
    <t>ITEM-1740</t>
  </si>
  <si>
    <t>ITEM-1741</t>
  </si>
  <si>
    <t>ITEM-1742</t>
  </si>
  <si>
    <t>ITEM-1743</t>
  </si>
  <si>
    <t>ITEM-1744</t>
  </si>
  <si>
    <t>ITEM-1745</t>
  </si>
  <si>
    <t>ITEM-1746</t>
  </si>
  <si>
    <t>ITEM-1747</t>
  </si>
  <si>
    <t>ITEM-1748</t>
  </si>
  <si>
    <t>ITEM-1749</t>
  </si>
  <si>
    <t>ITEM-1750</t>
  </si>
  <si>
    <t>ITEM-1751</t>
  </si>
  <si>
    <t>ITEM-1752</t>
  </si>
  <si>
    <t>ITEM-1753</t>
  </si>
  <si>
    <t>ITEM-1754</t>
  </si>
  <si>
    <t>ITEM-1755</t>
  </si>
  <si>
    <t>ITEM-1756</t>
  </si>
  <si>
    <t>ITEM-1757</t>
  </si>
  <si>
    <t>ITEM-1758</t>
  </si>
  <si>
    <t>ITEM-1759</t>
  </si>
  <si>
    <t>ITEM-1760</t>
  </si>
  <si>
    <t>ITEM-1761</t>
  </si>
  <si>
    <t>ITEM-1762</t>
  </si>
  <si>
    <t>ITEM-1763</t>
  </si>
  <si>
    <t>ITEM-1764</t>
  </si>
  <si>
    <t>ITEM-1765</t>
  </si>
  <si>
    <t>ITEM-1766</t>
  </si>
  <si>
    <t>ITEM-1767</t>
  </si>
  <si>
    <t>ITEM-1768</t>
  </si>
  <si>
    <t>ITEM-1769</t>
  </si>
  <si>
    <t>ITEM-1770</t>
  </si>
  <si>
    <t>ITEM-1771</t>
  </si>
  <si>
    <t>ITEM-1772</t>
  </si>
  <si>
    <t>ITEM-1773</t>
  </si>
  <si>
    <t>ITEM-1774</t>
  </si>
  <si>
    <t>ITEM-1775</t>
  </si>
  <si>
    <t>ITEM-1776</t>
  </si>
  <si>
    <t>ITEM-1777</t>
  </si>
  <si>
    <t>ITEM-1778</t>
  </si>
  <si>
    <t>ITEM-1779</t>
  </si>
  <si>
    <t>ITEM-1780</t>
  </si>
  <si>
    <t>ITEM-1781</t>
  </si>
  <si>
    <t>ITEM-1782</t>
  </si>
  <si>
    <t>ITEM-1783</t>
  </si>
  <si>
    <t>ITEM-1784</t>
  </si>
  <si>
    <t>ITEM-1785</t>
  </si>
  <si>
    <t>ITEM-1786</t>
  </si>
  <si>
    <t>ITEM-1787</t>
  </si>
  <si>
    <t>ITEM-1788</t>
  </si>
  <si>
    <t>ITEM-1789</t>
  </si>
  <si>
    <t>ITEM-1790</t>
  </si>
  <si>
    <t>ITEM-1791</t>
  </si>
  <si>
    <t>ITEM-1792</t>
  </si>
  <si>
    <t>ITEM-1793</t>
  </si>
  <si>
    <t>ITEM-1794</t>
  </si>
  <si>
    <t>ITEM-1795</t>
  </si>
  <si>
    <t>ITEM-1796</t>
  </si>
  <si>
    <t>ITEM-1797</t>
  </si>
  <si>
    <t>ITEM-1798</t>
  </si>
  <si>
    <t>ITEM-1799</t>
  </si>
  <si>
    <t>ITEM-1800</t>
  </si>
  <si>
    <t>ITEM-1801</t>
  </si>
  <si>
    <t>ITEM-1802</t>
  </si>
  <si>
    <t>ITEM-1803</t>
  </si>
  <si>
    <t>ITEM-1804</t>
  </si>
  <si>
    <t>ITEM-1805</t>
  </si>
  <si>
    <t>ITEM-1806</t>
  </si>
  <si>
    <t>ITEM-1807</t>
  </si>
  <si>
    <t>ITEM-1808</t>
  </si>
  <si>
    <t>ITEM-1809</t>
  </si>
  <si>
    <t>ITEM-1810</t>
  </si>
  <si>
    <t>ITEM-1811</t>
  </si>
  <si>
    <t>ITEM-1812</t>
  </si>
  <si>
    <t>ITEM-1813</t>
  </si>
  <si>
    <t>ITEM-1814</t>
  </si>
  <si>
    <t>ITEM-1815</t>
  </si>
  <si>
    <t>ITEM-1816</t>
  </si>
  <si>
    <t>ITEM-1817</t>
  </si>
  <si>
    <t>ITEM-1818</t>
  </si>
  <si>
    <t>ITEM-1819</t>
  </si>
  <si>
    <t>ITEM-1820</t>
  </si>
  <si>
    <t>ITEM-1821</t>
  </si>
  <si>
    <t>ITEM-1822</t>
  </si>
  <si>
    <t>ITEM-1823</t>
  </si>
  <si>
    <t>ITEM-1824</t>
  </si>
  <si>
    <t>ITEM-1825</t>
  </si>
  <si>
    <t>ITEM-1826</t>
  </si>
  <si>
    <t>ITEM-1827</t>
  </si>
  <si>
    <t>ITEM-1828</t>
  </si>
  <si>
    <t>ITEM-1829</t>
  </si>
  <si>
    <t>ITEM-1830</t>
  </si>
  <si>
    <t>ITEM-1831</t>
  </si>
  <si>
    <t>ITEM-1832</t>
  </si>
  <si>
    <t>ITEM-1833</t>
  </si>
  <si>
    <t>ITEM-1834</t>
  </si>
  <si>
    <t>ITEM-1835</t>
  </si>
  <si>
    <t>ITEM-1836</t>
  </si>
  <si>
    <t>ITEM-1837</t>
  </si>
  <si>
    <t>ITEM-1838</t>
  </si>
  <si>
    <t>ITEM-1839</t>
  </si>
  <si>
    <t>ITEM-1840</t>
  </si>
  <si>
    <t>ITEM-1841</t>
  </si>
  <si>
    <t>ITEM-1842</t>
  </si>
  <si>
    <t>ITEM-1843</t>
  </si>
  <si>
    <t>ITEM-1844</t>
  </si>
  <si>
    <t>ITEM-1845</t>
  </si>
  <si>
    <t>ITEM-1846</t>
  </si>
  <si>
    <t>ITEM-1847</t>
  </si>
  <si>
    <t>ITEM-1848</t>
  </si>
  <si>
    <t>ITEM-1849</t>
  </si>
  <si>
    <t>ITEM-1850</t>
  </si>
  <si>
    <t>ITEM-1851</t>
  </si>
  <si>
    <t>ITEM-1852</t>
  </si>
  <si>
    <t>ITEM-1853</t>
  </si>
  <si>
    <t>ITEM-1854</t>
  </si>
  <si>
    <t>ITEM-1855</t>
  </si>
  <si>
    <t>ITEM-1856</t>
  </si>
  <si>
    <t>ITEM-1857</t>
  </si>
  <si>
    <t>ITEM-1858</t>
  </si>
  <si>
    <t>ITEM-1859</t>
  </si>
  <si>
    <t>ITEM-1860</t>
  </si>
  <si>
    <t>ITEM-1861</t>
  </si>
  <si>
    <t>ITEM-1862</t>
  </si>
  <si>
    <t>ITEM-1863</t>
  </si>
  <si>
    <t>ITEM-1864</t>
  </si>
  <si>
    <t>ITEM-1865</t>
  </si>
  <si>
    <t>ITEM-1866</t>
  </si>
  <si>
    <t>ITEM-1867</t>
  </si>
  <si>
    <t>ITEM-1868</t>
  </si>
  <si>
    <t>ITEM-1869</t>
  </si>
  <si>
    <t>ITEM-1870</t>
  </si>
  <si>
    <t>ITEM-1871</t>
  </si>
  <si>
    <t>ITEM-1872</t>
  </si>
  <si>
    <t>ITEM-1873</t>
  </si>
  <si>
    <t>ITEM-1874</t>
  </si>
  <si>
    <t>ITEM-1875</t>
  </si>
  <si>
    <t>ITEM-1876</t>
  </si>
  <si>
    <t>ITEM-1877</t>
  </si>
  <si>
    <t>ITEM-1878</t>
  </si>
  <si>
    <t>ITEM-1879</t>
  </si>
  <si>
    <t>ITEM-1880</t>
  </si>
  <si>
    <t>ITEM-1881</t>
  </si>
  <si>
    <t>ITEM-1882</t>
  </si>
  <si>
    <t>ITEM-1883</t>
  </si>
  <si>
    <t>ITEM-1884</t>
  </si>
  <si>
    <t>ITEM-1885</t>
  </si>
  <si>
    <t>ITEM-1886</t>
  </si>
  <si>
    <t>ITEM-1887</t>
  </si>
  <si>
    <t>ITEM-1888</t>
  </si>
  <si>
    <t>ITEM-1889</t>
  </si>
  <si>
    <t>ITEM-1890</t>
  </si>
  <si>
    <t>ITEM-1891</t>
  </si>
  <si>
    <t>ITEM-1892</t>
  </si>
  <si>
    <t>ITEM-1893</t>
  </si>
  <si>
    <t>ITEM-1894</t>
  </si>
  <si>
    <t>ITEM-1895</t>
  </si>
  <si>
    <t>ITEM-1896</t>
  </si>
  <si>
    <t>ITEM-1897</t>
  </si>
  <si>
    <t>ITEM-1898</t>
  </si>
  <si>
    <t>ITEM-1899</t>
  </si>
  <si>
    <t>ITEM-1900</t>
  </si>
  <si>
    <t>ITEM-1901</t>
  </si>
  <si>
    <t>ITEM-1902</t>
  </si>
  <si>
    <t>ITEM-1903</t>
  </si>
  <si>
    <t>ITEM-1904</t>
  </si>
  <si>
    <t>ITEM-1905</t>
  </si>
  <si>
    <t>ITEM-1906</t>
  </si>
  <si>
    <t>ITEM-1907</t>
  </si>
  <si>
    <t>ITEM-1908</t>
  </si>
  <si>
    <t>ITEM-1909</t>
  </si>
  <si>
    <t>ITEM-1910</t>
  </si>
  <si>
    <t>ITEM-1911</t>
  </si>
  <si>
    <t>ITEM-1912</t>
  </si>
  <si>
    <t>ITEM-1913</t>
  </si>
  <si>
    <t>ITEM-1914</t>
  </si>
  <si>
    <t>ITEM-1915</t>
  </si>
  <si>
    <t>ITEM-1916</t>
  </si>
  <si>
    <t>ITEM-1917</t>
  </si>
  <si>
    <t>ITEM-1918</t>
  </si>
  <si>
    <t>ITEM-1919</t>
  </si>
  <si>
    <t>ITEM-1920</t>
  </si>
  <si>
    <t>ITEM-1921</t>
  </si>
  <si>
    <t>ITEM-1922</t>
  </si>
  <si>
    <t>ITEM-1923</t>
  </si>
  <si>
    <t>ITEM-1924</t>
  </si>
  <si>
    <t>ITEM-1925</t>
  </si>
  <si>
    <t>ITEM-1926</t>
  </si>
  <si>
    <t>ITEM-1927</t>
  </si>
  <si>
    <t>ITEM-1928</t>
  </si>
  <si>
    <t>ITEM-1929</t>
  </si>
  <si>
    <t>ITEM-1930</t>
  </si>
  <si>
    <t>ITEM-1931</t>
  </si>
  <si>
    <t>ITEM-1932</t>
  </si>
  <si>
    <t>ITEM-1933</t>
  </si>
  <si>
    <t>ITEM-1934</t>
  </si>
  <si>
    <t>ITEM-1935</t>
  </si>
  <si>
    <t>ITEM-1936</t>
  </si>
  <si>
    <t>ITEM-1937</t>
  </si>
  <si>
    <t>ITEM-1938</t>
  </si>
  <si>
    <t>ITEM-1939</t>
  </si>
  <si>
    <t>ITEM-1940</t>
  </si>
  <si>
    <t>ITEM-1941</t>
  </si>
  <si>
    <t>ITEM-1942</t>
  </si>
  <si>
    <t>ITEM-1943</t>
  </si>
  <si>
    <t>ITEM-1944</t>
  </si>
  <si>
    <t>ITEM-1945</t>
  </si>
  <si>
    <t>ITEM-1946</t>
  </si>
  <si>
    <t>ITEM-1947</t>
  </si>
  <si>
    <t>ITEM-1948</t>
  </si>
  <si>
    <t>ITEM-1949</t>
  </si>
  <si>
    <t>ITEM-1950</t>
  </si>
  <si>
    <t>ITEM-1951</t>
  </si>
  <si>
    <t>ITEM-1952</t>
  </si>
  <si>
    <t>ITEM-1953</t>
  </si>
  <si>
    <t>ITEM-1954</t>
  </si>
  <si>
    <t>ITEM-1955</t>
  </si>
  <si>
    <t>ITEM-1956</t>
  </si>
  <si>
    <t>ITEM-1957</t>
  </si>
  <si>
    <t>ITEM-1958</t>
  </si>
  <si>
    <t>ITEM-1959</t>
  </si>
  <si>
    <t>ITEM-1960</t>
  </si>
  <si>
    <t>ITEM-1961</t>
  </si>
  <si>
    <t>ITEM-1962</t>
  </si>
  <si>
    <t>ITEM-1963</t>
  </si>
  <si>
    <t>ITEM-1964</t>
  </si>
  <si>
    <t>ITEM-1965</t>
  </si>
  <si>
    <t>ITEM-1966</t>
  </si>
  <si>
    <t>ITEM-1967</t>
  </si>
  <si>
    <t>ITEM-1968</t>
  </si>
  <si>
    <t>ITEM-1969</t>
  </si>
  <si>
    <t>ITEM-1970</t>
  </si>
  <si>
    <t>ITEM-1971</t>
  </si>
  <si>
    <t>ITEM-1972</t>
  </si>
  <si>
    <t>ITEM-1973</t>
  </si>
  <si>
    <t>ITEM-1974</t>
  </si>
  <si>
    <t>ITEM-1975</t>
  </si>
  <si>
    <t>ITEM-1976</t>
  </si>
  <si>
    <t>ITEM-1977</t>
  </si>
  <si>
    <t>ITEM-1978</t>
  </si>
  <si>
    <t>ITEM-1979</t>
  </si>
  <si>
    <t>ITEM-1980</t>
  </si>
  <si>
    <t>ITEM-1981</t>
  </si>
  <si>
    <t>ITEM-1982</t>
  </si>
  <si>
    <t>ITEM-1983</t>
  </si>
  <si>
    <t>ITEM-1984</t>
  </si>
  <si>
    <t>ITEM-1985</t>
  </si>
  <si>
    <t>ITEM-1986</t>
  </si>
  <si>
    <t>ITEM-1987</t>
  </si>
  <si>
    <t>ITEM-1988</t>
  </si>
  <si>
    <t>ITEM-1989</t>
  </si>
  <si>
    <t>ITEM-1990</t>
  </si>
  <si>
    <t>ITEM-1991</t>
  </si>
  <si>
    <t>ITEM-1992</t>
  </si>
  <si>
    <t>ITEM-1993</t>
  </si>
  <si>
    <t>ITEM-1994</t>
  </si>
  <si>
    <t>ITEM-1995</t>
  </si>
  <si>
    <t>ITEM-1996</t>
  </si>
  <si>
    <t>ITEM-1997</t>
  </si>
  <si>
    <t>ITEM-1998</t>
  </si>
  <si>
    <t>ITEM-1999</t>
  </si>
  <si>
    <t>ITEM-2000</t>
  </si>
  <si>
    <t>Row Labels</t>
  </si>
  <si>
    <t>Grand Total</t>
  </si>
  <si>
    <t>Sum of Amount</t>
  </si>
  <si>
    <t>Budget Status</t>
  </si>
  <si>
    <t>Data Status</t>
  </si>
  <si>
    <t>COUNT OF OVERRUNS</t>
  </si>
  <si>
    <t>TOTAL PROJECT COST</t>
  </si>
  <si>
    <t>COUNT OF MISSING DATA</t>
  </si>
  <si>
    <t xml:space="preserve"> </t>
  </si>
  <si>
    <t>Rate</t>
  </si>
  <si>
    <t>VLOOKUP</t>
  </si>
  <si>
    <t>HLOOKUP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</si>
</sst>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theme="1"/>
      <name val="Arial"/>
      <family val="2"/>
    </font>
    <font>
      <b/>
      <sz val="14"/>
      <color theme="1"/>
      <name val="Arial"/>
      <family val="2"/>
    </font>
    <font>
      <b/>
      <sz val="14"/>
      <color theme="1"/>
      <name val="Calibri"/>
      <family val="2"/>
      <scheme val="minor"/>
    </font>
    <font>
      <b/>
      <sz val="16"/>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applyNumberFormat="1"/>
  </cellXfs>
  <cellStyles count="1">
    <cellStyle name="Normal" xfId="0" builtinId="0"/>
  </cellStyles>
  <dxfs count="6">
    <dxf>
      <numFmt numFmtId="0" formatCode="General"/>
    </dxf>
    <dxf>
      <numFmt numFmtId="0" formatCode="General"/>
    </dxf>
    <dxf>
      <font>
        <b/>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[BOQ_Analysis_Dataset.xlsx]DashBoard!PivotTable3</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Category-wise Cost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DashBoard!$D$9</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DashBoard!$C$10:$C$15</c:f>
              <c:strCache>
                <c:ptCount val="5"/>
                <c:pt idx="0">
                  <c:v>Civil</c:v>
                </c:pt>
                <c:pt idx="1">
                  <c:v>Electrical</c:v>
                </c:pt>
                <c:pt idx="2">
                  <c:v>Finishing</c:v>
                </c:pt>
                <c:pt idx="3">
                  <c:v>HVAC</c:v>
                </c:pt>
                <c:pt idx="4">
                  <c:v>Plumbing</c:v>
                </c:pt>
              </c:strCache>
            </c:strRef>
          </c:cat>
          <c:val>
            <c:numRef>
              <c:f>DashBoard!$D$10:$D$15</c:f>
              <c:numCache>
                <c:formatCode>General</c:formatCode>
                <c:ptCount val="5"/>
                <c:pt idx="0">
                  <c:v>244600334.86069989</c:v>
                </c:pt>
                <c:pt idx="1">
                  <c:v>286001720.8785001</c:v>
                </c:pt>
                <c:pt idx="2">
                  <c:v>236313085.3807998</c:v>
                </c:pt>
                <c:pt idx="3">
                  <c:v>244604068.93390009</c:v>
                </c:pt>
                <c:pt idx="4">
                  <c:v>249644856.5077</c:v>
                </c:pt>
              </c:numCache>
            </c:numRef>
          </c:val>
          <c:extLst>
            <c:ext xmlns:c16="http://schemas.microsoft.com/office/drawing/2014/chart" uri="{C3380CC4-5D6E-409C-BE32-E72D297353CC}">
              <c16:uniqueId val="{00000000-AB22-4248-A1A8-A7A063825EA0}"/>
            </c:ext>
          </c:extLst>
        </c:ser>
        <c:dLbls>
          <c:showLegendKey val="0"/>
          <c:showVal val="0"/>
          <c:showCatName val="0"/>
          <c:showSerName val="0"/>
          <c:showPercent val="0"/>
          <c:showBubbleSize val="0"/>
        </c:dLbls>
        <c:gapWidth val="150"/>
        <c:shape val="box"/>
        <c:axId val="607667663"/>
        <c:axId val="607668143"/>
        <c:axId val="0"/>
      </c:bar3DChart>
      <c:catAx>
        <c:axId val="607667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7668143"/>
        <c:crosses val="autoZero"/>
        <c:auto val="1"/>
        <c:lblAlgn val="ctr"/>
        <c:lblOffset val="100"/>
        <c:noMultiLvlLbl val="0"/>
      </c:catAx>
      <c:valAx>
        <c:axId val="60766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766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[BOQ_Analysis_Dataset.xlsx]DashBoard!PivotTable4</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Top 5 Costliest Items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DashBoard!$D$35</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DashBoard!$C$36:$C$41</c:f>
              <c:strCache>
                <c:ptCount val="5"/>
                <c:pt idx="0">
                  <c:v>Cable Laying</c:v>
                </c:pt>
                <c:pt idx="1">
                  <c:v>Duct Installation</c:v>
                </c:pt>
                <c:pt idx="2">
                  <c:v>Flooring</c:v>
                </c:pt>
                <c:pt idx="3">
                  <c:v>Piping</c:v>
                </c:pt>
                <c:pt idx="4">
                  <c:v>Wiring</c:v>
                </c:pt>
              </c:strCache>
            </c:strRef>
          </c:cat>
          <c:val>
            <c:numRef>
              <c:f>DashBoard!$D$36:$D$41</c:f>
              <c:numCache>
                <c:formatCode>General</c:formatCode>
                <c:ptCount val="5"/>
                <c:pt idx="0">
                  <c:v>143820464.05259994</c:v>
                </c:pt>
                <c:pt idx="1">
                  <c:v>128678288.22390002</c:v>
                </c:pt>
                <c:pt idx="2">
                  <c:v>130297753.52180003</c:v>
                </c:pt>
                <c:pt idx="3">
                  <c:v>127241340.83829999</c:v>
                </c:pt>
                <c:pt idx="4">
                  <c:v>139063666.12620008</c:v>
                </c:pt>
              </c:numCache>
            </c:numRef>
          </c:val>
          <c:extLst>
            <c:ext xmlns:c16="http://schemas.microsoft.com/office/drawing/2014/chart" uri="{C3380CC4-5D6E-409C-BE32-E72D297353CC}">
              <c16:uniqueId val="{00000000-1339-484E-976D-23566D8B76AC}"/>
            </c:ext>
          </c:extLst>
        </c:ser>
        <c:dLbls>
          <c:showLegendKey val="0"/>
          <c:showVal val="0"/>
          <c:showCatName val="0"/>
          <c:showSerName val="0"/>
          <c:showPercent val="0"/>
          <c:showBubbleSize val="0"/>
        </c:dLbls>
        <c:gapWidth val="150"/>
        <c:shape val="box"/>
        <c:axId val="607703663"/>
        <c:axId val="233527967"/>
        <c:axId val="0"/>
      </c:bar3DChart>
      <c:catAx>
        <c:axId val="607703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3527967"/>
        <c:crosses val="autoZero"/>
        <c:auto val="1"/>
        <c:lblAlgn val="ctr"/>
        <c:lblOffset val="100"/>
        <c:noMultiLvlLbl val="0"/>
      </c:catAx>
      <c:valAx>
        <c:axId val="23352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770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[BOQ_Analysis_Dataset.xlsx]DashBoard!PivotTable3</c:name>
    <c:fmtId val="18"/>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b="1">
                <a:latin typeface="Arial" panose="020B0604020202020204" pitchFamily="34" charset="0"/>
                <a:cs typeface="Arial" panose="020B0604020202020204" pitchFamily="34" charset="0"/>
              </a:rPr>
              <a:t>Category-wise Cost Distribution</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DashBoard!$D$9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E-44E1-9EEA-629AA78E2E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E-44E1-9EEA-629AA78E2E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E-44E1-9EEA-629AA78E2E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E-44E1-9EEA-629AA78E2E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E-44E1-9EEA-629AA78E2E2D}"/>
              </c:ext>
            </c:extLst>
          </c:dPt>
          <c:cat>
            <c:strRef>
              <c:f>DashBoard!$C$10:$C$15</c:f>
              <c:strCache>
                <c:ptCount val="5"/>
                <c:pt idx="0">
                  <c:v>Civil</c:v>
                </c:pt>
                <c:pt idx="1">
                  <c:v>Electrical</c:v>
                </c:pt>
                <c:pt idx="2">
                  <c:v>Finishing</c:v>
                </c:pt>
                <c:pt idx="3">
                  <c:v>HVAC</c:v>
                </c:pt>
                <c:pt idx="4">
                  <c:v>Plumbing</c:v>
                </c:pt>
              </c:strCache>
            </c:strRef>
          </c:cat>
          <c:val>
            <c:numRef>
              <c:f>DashBoard!$D$10:$D$15</c:f>
              <c:numCache>
                <c:formatCode>General</c:formatCode>
                <c:ptCount val="5"/>
                <c:pt idx="0">
                  <c:v>244600334.86069989</c:v>
                </c:pt>
                <c:pt idx="1">
                  <c:v>286001720.8785001</c:v>
                </c:pt>
                <c:pt idx="2">
                  <c:v>236313085.3807998</c:v>
                </c:pt>
                <c:pt idx="3">
                  <c:v>244604068.93390009</c:v>
                </c:pt>
                <c:pt idx="4">
                  <c:v>249644856.5077</c:v>
                </c:pt>
              </c:numCache>
            </c:numRef>
          </c:val>
          <c:extLst>
            <c:ext xmlns:c16="http://schemas.microsoft.com/office/drawing/2014/chart" uri="{C3380CC4-5D6E-409C-BE32-E72D297353CC}">
              <c16:uniqueId val="{00000000-7D18-4F7D-9208-C28385F9AA3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4</xdr:col>
      <xdr:colOff>250824</xdr:colOff>
      <xdr:row>7</xdr:row>
      <xdr:rowOff>177800</xdr:rowOff>
    </xdr:from>
    <xdr:to>
      <xdr:col>9</xdr:col>
      <xdr:colOff>508000</xdr:colOff>
      <xdr:row>28</xdr:row>
      <xdr:rowOff>11546</xdr:rowOff>
    </xdr:to>
    <xdr:graphicFrame macro="">
      <xdr:nvGraphicFramePr>
        <xdr:cNvPr id="3" name="Chart 2">
          <a:extLst>
            <a:ext uri="{FF2B5EF4-FFF2-40B4-BE49-F238E27FC236}">
              <a16:creationId xmlns:a16="http://schemas.microsoft.com/office/drawing/2014/main" id="{03D6937E-D3D4-2BD0-6DCF-31927070C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478269</xdr:colOff>
      <xdr:row>32</xdr:row>
      <xdr:rowOff>33481</xdr:rowOff>
    </xdr:from>
    <xdr:to>
      <xdr:col>10</xdr:col>
      <xdr:colOff>450272</xdr:colOff>
      <xdr:row>49</xdr:row>
      <xdr:rowOff>138544</xdr:rowOff>
    </xdr:to>
    <xdr:graphicFrame macro="">
      <xdr:nvGraphicFramePr>
        <xdr:cNvPr id="4" name="Chart 3">
          <a:extLst>
            <a:ext uri="{FF2B5EF4-FFF2-40B4-BE49-F238E27FC236}">
              <a16:creationId xmlns:a16="http://schemas.microsoft.com/office/drawing/2014/main" id="{F603161D-56F2-37EA-1131-2ED0E9199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488537</xdr:colOff>
      <xdr:row>7</xdr:row>
      <xdr:rowOff>179699</xdr:rowOff>
    </xdr:from>
    <xdr:to>
      <xdr:col>1</xdr:col>
      <xdr:colOff>2138383</xdr:colOff>
      <xdr:row>17</xdr:row>
      <xdr:rowOff>89889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ED27970-129B-0879-338D-7FC96F9C1B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8537" y="1739985"/>
              <a:ext cx="2257632" cy="172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122382</xdr:colOff>
      <xdr:row>19</xdr:row>
      <xdr:rowOff>3217</xdr:rowOff>
    </xdr:from>
    <xdr:to>
      <xdr:col>1</xdr:col>
      <xdr:colOff>1958110</xdr:colOff>
      <xdr:row>28</xdr:row>
      <xdr:rowOff>152895</xdr:rowOff>
    </xdr:to>
    <mc:AlternateContent xmlns:mc="http://schemas.openxmlformats.org/markup-compatibility/2006" xmlns:a14="http://schemas.microsoft.com/office/drawing/2010/main">
      <mc:Choice Requires="a14">
        <xdr:graphicFrame macro="">
          <xdr:nvGraphicFramePr>
            <xdr:cNvPr id="6" name="Unit">
              <a:extLst>
                <a:ext uri="{FF2B5EF4-FFF2-40B4-BE49-F238E27FC236}">
                  <a16:creationId xmlns:a16="http://schemas.microsoft.com/office/drawing/2014/main" id="{0ED2D14B-4305-B49E-0860-108F4A0BFBFC}"/>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730168" y="3740646"/>
              <a:ext cx="1835728"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157596</xdr:colOff>
      <xdr:row>31</xdr:row>
      <xdr:rowOff>153553</xdr:rowOff>
    </xdr:from>
    <xdr:to>
      <xdr:col>1</xdr:col>
      <xdr:colOff>1988705</xdr:colOff>
      <xdr:row>48</xdr:row>
      <xdr:rowOff>138545</xdr:rowOff>
    </xdr:to>
    <mc:AlternateContent xmlns:mc="http://schemas.openxmlformats.org/markup-compatibility/2006" xmlns:a14="http://schemas.microsoft.com/office/drawing/2010/main">
      <mc:Choice Requires="a14">
        <xdr:graphicFrame macro="">
          <xdr:nvGraphicFramePr>
            <xdr:cNvPr id="7" name="Description">
              <a:extLst>
                <a:ext uri="{FF2B5EF4-FFF2-40B4-BE49-F238E27FC236}">
                  <a16:creationId xmlns:a16="http://schemas.microsoft.com/office/drawing/2014/main" id="{44D69A2F-D949-C688-066A-04FADBC2A685}"/>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765382" y="6068124"/>
              <a:ext cx="1831109" cy="306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244928</xdr:colOff>
      <xdr:row>0</xdr:row>
      <xdr:rowOff>208643</xdr:rowOff>
    </xdr:from>
    <xdr:to>
      <xdr:col>2</xdr:col>
      <xdr:colOff>1723572</xdr:colOff>
      <xdr:row>2</xdr:row>
      <xdr:rowOff>99785</xdr:rowOff>
    </xdr:to>
    <xdr:sp macro="" textlink="">
      <xdr:nvSpPr>
        <xdr:cNvPr id="10" name="Rectangle: Rounded Corners 9">
          <a:extLst>
            <a:ext uri="{FF2B5EF4-FFF2-40B4-BE49-F238E27FC236}">
              <a16:creationId xmlns:a16="http://schemas.microsoft.com/office/drawing/2014/main" id="{A41E2F27-B71A-002E-E4BB-62FD575D06E0}"/>
            </a:ext>
          </a:extLst>
        </xdr:cNvPr>
        <xdr:cNvSpPr/>
      </xdr:nvSpPr>
      <xdr:spPr>
        <a:xfrm>
          <a:off x="852714" y="208643"/>
          <a:ext cx="3882572" cy="371928"/>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Arial" panose="020B0604020202020204" pitchFamily="34" charset="0"/>
              <a:ea typeface="+mn-ea"/>
              <a:cs typeface="Arial" panose="020B0604020202020204" pitchFamily="34" charset="0"/>
            </a:rPr>
            <a:t>BOQ COST ANALYSIS DASHBOARD</a:t>
          </a:r>
          <a:endParaRPr lang="en-IN" sz="1600" b="1">
            <a:solidFill>
              <a:schemeClr val="tx1"/>
            </a:solidFill>
            <a:effectLst/>
            <a:latin typeface="Arial" panose="020B0604020202020204" pitchFamily="34" charset="0"/>
            <a:cs typeface="Arial" panose="020B0604020202020204" pitchFamily="34" charset="0"/>
          </a:endParaRPr>
        </a:p>
      </xdr:txBody>
    </xdr:sp>
    <xdr:clientData/>
  </xdr:twoCellAnchor>
  <xdr:twoCellAnchor>
    <xdr:from>
      <xdr:col>2</xdr:col>
      <xdr:colOff>196273</xdr:colOff>
      <xdr:row>16</xdr:row>
      <xdr:rowOff>146626</xdr:rowOff>
    </xdr:from>
    <xdr:to>
      <xdr:col>3</xdr:col>
      <xdr:colOff>2482273</xdr:colOff>
      <xdr:row>31</xdr:row>
      <xdr:rowOff>118917</xdr:rowOff>
    </xdr:to>
    <xdr:graphicFrame macro="">
      <xdr:nvGraphicFramePr>
        <xdr:cNvPr id="12" name="Chart 11">
          <a:extLst>
            <a:ext uri="{FF2B5EF4-FFF2-40B4-BE49-F238E27FC236}">
              <a16:creationId xmlns:a16="http://schemas.microsoft.com/office/drawing/2014/main" id="{4ECFA263-FF9C-A8E4-96ED-2923A297F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433293</xdr:colOff>
      <xdr:row>0</xdr:row>
      <xdr:rowOff>104588</xdr:rowOff>
    </xdr:from>
    <xdr:to>
      <xdr:col>7</xdr:col>
      <xdr:colOff>605116</xdr:colOff>
      <xdr:row>7</xdr:row>
      <xdr:rowOff>11546</xdr:rowOff>
    </xdr:to>
    <xdr:sp macro="" textlink="">
      <xdr:nvSpPr>
        <xdr:cNvPr id="17" name="Rectangle 16">
          <a:extLst>
            <a:ext uri="{FF2B5EF4-FFF2-40B4-BE49-F238E27FC236}">
              <a16:creationId xmlns:a16="http://schemas.microsoft.com/office/drawing/2014/main" id="{7A189142-664B-31EC-E848-85AA437F6749}"/>
            </a:ext>
          </a:extLst>
        </xdr:cNvPr>
        <xdr:cNvSpPr/>
      </xdr:nvSpPr>
      <xdr:spPr>
        <a:xfrm>
          <a:off x="9468436" y="104588"/>
          <a:ext cx="2076823" cy="1467244"/>
        </a:xfrm>
        <a:prstGeom prst="rect">
          <a:avLst/>
        </a:prstGeom>
        <a:solidFill>
          <a:schemeClr val="accent5">
            <a:lumMod val="20000"/>
            <a:lumOff val="80000"/>
          </a:schemeClr>
        </a:solidFill>
        <a:ln>
          <a:solidFill>
            <a:schemeClr val="accent5">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58407</xdr:colOff>
      <xdr:row>1</xdr:row>
      <xdr:rowOff>117493</xdr:rowOff>
    </xdr:from>
    <xdr:to>
      <xdr:col>7</xdr:col>
      <xdr:colOff>186764</xdr:colOff>
      <xdr:row>3</xdr:row>
      <xdr:rowOff>7472</xdr:rowOff>
    </xdr:to>
    <xdr:sp macro="" textlink="">
      <xdr:nvSpPr>
        <xdr:cNvPr id="18" name="TextBox 17">
          <a:extLst>
            <a:ext uri="{FF2B5EF4-FFF2-40B4-BE49-F238E27FC236}">
              <a16:creationId xmlns:a16="http://schemas.microsoft.com/office/drawing/2014/main" id="{8C5B02C3-32FF-C529-DC40-D4D5239D5E71}"/>
            </a:ext>
          </a:extLst>
        </xdr:cNvPr>
        <xdr:cNvSpPr txBox="1"/>
      </xdr:nvSpPr>
      <xdr:spPr>
        <a:xfrm>
          <a:off x="9844878" y="371493"/>
          <a:ext cx="1286298" cy="353155"/>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rial" panose="020B0604020202020204" pitchFamily="34" charset="0"/>
              <a:cs typeface="Arial" panose="020B0604020202020204" pitchFamily="34" charset="0"/>
            </a:rPr>
            <a:t>Total Cost</a:t>
          </a:r>
        </a:p>
      </xdr:txBody>
    </xdr:sp>
    <xdr:clientData/>
  </xdr:twoCellAnchor>
  <xdr:twoCellAnchor>
    <xdr:from>
      <xdr:col>5</xdr:col>
      <xdr:colOff>644506</xdr:colOff>
      <xdr:row>4</xdr:row>
      <xdr:rowOff>57048</xdr:rowOff>
    </xdr:from>
    <xdr:to>
      <xdr:col>7</xdr:col>
      <xdr:colOff>402051</xdr:colOff>
      <xdr:row>5</xdr:row>
      <xdr:rowOff>186765</xdr:rowOff>
    </xdr:to>
    <xdr:sp macro="" textlink="$G$6">
      <xdr:nvSpPr>
        <xdr:cNvPr id="19" name="TextBox 18">
          <a:extLst>
            <a:ext uri="{FF2B5EF4-FFF2-40B4-BE49-F238E27FC236}">
              <a16:creationId xmlns:a16="http://schemas.microsoft.com/office/drawing/2014/main" id="{8A1035BC-BF57-3C3A-9106-48407CA86886}"/>
            </a:ext>
          </a:extLst>
        </xdr:cNvPr>
        <xdr:cNvSpPr txBox="1"/>
      </xdr:nvSpPr>
      <xdr:spPr>
        <a:xfrm>
          <a:off x="9683918" y="968460"/>
          <a:ext cx="1662545" cy="36130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C19F64-1E86-4603-BA43-AD95ED4109CC}" type="TxLink">
            <a:rPr lang="en-US" sz="1600" b="1" i="0" u="none" strike="noStrike">
              <a:solidFill>
                <a:srgbClr val="000000"/>
              </a:solidFill>
              <a:latin typeface="Arial" panose="020B0604020202020204" pitchFamily="34" charset="0"/>
              <a:ea typeface="Calibri"/>
              <a:cs typeface="Arial" panose="020B0604020202020204" pitchFamily="34" charset="0"/>
            </a:rPr>
            <a:pPr algn="ctr"/>
            <a:t>1261164067</a:t>
          </a:fld>
          <a:endParaRPr lang="en-IN" sz="1600" b="1">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OMKAR JAGDALE" refreshedDate="46132.878831712966" createdVersion="8" refreshedVersion="8" minRefreshableVersion="3" recordCount="2000" xr:uid="{71AF7953-A605-4E11-B267-3A3E677CD35C}">
  <cacheSource type="worksheet">
    <worksheetSource name="BOQ_Table"/>
  </cacheSource>
  <cacheFields count="9">
    <cacheField name="Item ID" numFmtId="0">
      <sharedItems/>
    </cacheField>
    <cacheField name="Description" numFmtId="0">
      <sharedItems count="10">
        <s v="Excavation"/>
        <s v="Plastering"/>
        <s v="Flooring"/>
        <s v="Brick Masonry"/>
        <s v="Wiring"/>
        <s v="Concrete Work"/>
        <s v="Piping"/>
        <s v="Painting"/>
        <s v="Duct Installation"/>
        <s v="Cable Laying"/>
      </sharedItems>
    </cacheField>
    <cacheField name="Category" numFmtId="0">
      <sharedItems count="5">
        <s v="Plumbing"/>
        <s v="Electrical"/>
        <s v="Civil"/>
        <s v="HVAC"/>
        <s v="Finishing"/>
      </sharedItems>
    </cacheField>
    <cacheField name="Quantity" numFmtId="0">
      <sharedItems containsSemiMixedTypes="0" containsString="0" containsNumber="1" minValue="1.1100000000000001" maxValue="499.64"/>
    </cacheField>
    <cacheField name="Unit" numFmtId="0">
      <sharedItems count="5">
        <s v="sqft"/>
        <s v="m"/>
        <s v="nos"/>
        <s v="m³"/>
        <s v="kg"/>
      </sharedItems>
    </cacheField>
    <cacheField name="Rate" numFmtId="0">
      <sharedItems containsSemiMixedTypes="0" containsString="0" containsNumber="1" minValue="53.97" maxValue="4996.88"/>
    </cacheField>
    <cacheField name="Amount" numFmtId="0">
      <sharedItems containsSemiMixedTypes="0" containsString="0" containsNumber="1" minValue="200.80119999999999" maxValue="2456550.4446"/>
    </cacheField>
    <cacheField name="Budget Status" numFmtId="0">
      <sharedItems/>
    </cacheField>
    <cacheField name="Data Status" numFmtId="0">
      <sharedItems/>
    </cacheField>
  </cacheFields>
  <extLst>
    <ext xmlns:x14="http://schemas.microsoft.com/office/spreadsheetml/2009/9/main" uri="{725AE2AE-9491-48be-B2B4-4EB974FC3084}">
      <x14:pivotCacheDefinition pivotCacheId="1193776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ITEM-0001"/>
    <x v="0"/>
    <x v="0"/>
    <n v="209.98"/>
    <x v="0"/>
    <n v="1658.4"/>
    <n v="348230.83199999999"/>
    <s v="Over Budget"/>
    <s v="OK"/>
  </r>
  <r>
    <s v="ITEM-0002"/>
    <x v="1"/>
    <x v="1"/>
    <n v="394.28"/>
    <x v="0"/>
    <n v="1481.36"/>
    <n v="584070.62079999992"/>
    <s v="Over Budget"/>
    <s v="OK"/>
  </r>
  <r>
    <s v="ITEM-0003"/>
    <x v="0"/>
    <x v="0"/>
    <n v="459.9"/>
    <x v="1"/>
    <n v="4409.72"/>
    <n v="2028030.2280000001"/>
    <s v="Over Budget"/>
    <s v="OK"/>
  </r>
  <r>
    <s v="ITEM-0004"/>
    <x v="2"/>
    <x v="2"/>
    <n v="149.6"/>
    <x v="2"/>
    <n v="981.67"/>
    <n v="146857.83199999999"/>
    <s v="Over Budget"/>
    <s v="OK"/>
  </r>
  <r>
    <s v="ITEM-0005"/>
    <x v="3"/>
    <x v="3"/>
    <n v="342.48"/>
    <x v="3"/>
    <n v="4704.45"/>
    <n v="1611180.0360000001"/>
    <s v="Over Budget"/>
    <s v="OK"/>
  </r>
  <r>
    <s v="ITEM-0006"/>
    <x v="3"/>
    <x v="1"/>
    <n v="164.89"/>
    <x v="0"/>
    <n v="1540.86"/>
    <n v="254072.40539999996"/>
    <s v="Over Budget"/>
    <s v="OK"/>
  </r>
  <r>
    <s v="ITEM-0007"/>
    <x v="1"/>
    <x v="1"/>
    <n v="211.24"/>
    <x v="0"/>
    <n v="4608.0200000000004"/>
    <n v="973398.14480000013"/>
    <s v="Over Budget"/>
    <s v="OK"/>
  </r>
  <r>
    <s v="ITEM-0008"/>
    <x v="2"/>
    <x v="3"/>
    <n v="295.5"/>
    <x v="1"/>
    <n v="4789.1000000000004"/>
    <n v="1415179.05"/>
    <s v="Over Budget"/>
    <s v="OK"/>
  </r>
  <r>
    <s v="ITEM-0009"/>
    <x v="1"/>
    <x v="0"/>
    <n v="453.38"/>
    <x v="4"/>
    <n v="587.14"/>
    <n v="266197.53320000001"/>
    <s v="Over Budget"/>
    <s v="OK"/>
  </r>
  <r>
    <s v="ITEM-0010"/>
    <x v="3"/>
    <x v="1"/>
    <n v="99.56"/>
    <x v="4"/>
    <n v="4682.3900000000003"/>
    <n v="466178.74840000004"/>
    <s v="Over Budget"/>
    <s v="OK"/>
  </r>
  <r>
    <s v="ITEM-0011"/>
    <x v="4"/>
    <x v="1"/>
    <n v="86.4"/>
    <x v="3"/>
    <n v="2052.09"/>
    <n v="177300.57600000003"/>
    <s v="Over Budget"/>
    <s v="OK"/>
  </r>
  <r>
    <s v="ITEM-0012"/>
    <x v="5"/>
    <x v="0"/>
    <n v="464.05"/>
    <x v="4"/>
    <n v="3650.83"/>
    <n v="1694167.6614999999"/>
    <s v="Over Budget"/>
    <s v="OK"/>
  </r>
  <r>
    <s v="ITEM-0013"/>
    <x v="1"/>
    <x v="0"/>
    <n v="366.28"/>
    <x v="1"/>
    <n v="3401.61"/>
    <n v="1245941.7108"/>
    <s v="Over Budget"/>
    <s v="OK"/>
  </r>
  <r>
    <s v="ITEM-0014"/>
    <x v="1"/>
    <x v="0"/>
    <n v="215.76"/>
    <x v="2"/>
    <n v="3610.78"/>
    <n v="779061.89280000003"/>
    <s v="Over Budget"/>
    <s v="OK"/>
  </r>
  <r>
    <s v="ITEM-0015"/>
    <x v="3"/>
    <x v="1"/>
    <n v="136.03"/>
    <x v="3"/>
    <n v="4797.09"/>
    <n v="652548.15269999998"/>
    <s v="Over Budget"/>
    <s v="OK"/>
  </r>
  <r>
    <s v="ITEM-0016"/>
    <x v="4"/>
    <x v="3"/>
    <n v="17.690000000000001"/>
    <x v="0"/>
    <n v="3827.43"/>
    <n v="67707.236700000009"/>
    <s v="OK"/>
    <s v="OK"/>
  </r>
  <r>
    <s v="ITEM-0017"/>
    <x v="2"/>
    <x v="4"/>
    <n v="398.06"/>
    <x v="0"/>
    <n v="402.45"/>
    <n v="160199.247"/>
    <s v="Over Budget"/>
    <s v="OK"/>
  </r>
  <r>
    <s v="ITEM-0018"/>
    <x v="6"/>
    <x v="3"/>
    <n v="69.7"/>
    <x v="2"/>
    <n v="4698.59"/>
    <n v="327491.723"/>
    <s v="Over Budget"/>
    <s v="OK"/>
  </r>
  <r>
    <s v="ITEM-0019"/>
    <x v="7"/>
    <x v="2"/>
    <n v="495.63"/>
    <x v="1"/>
    <n v="2286.08"/>
    <n v="1133049.8303999999"/>
    <s v="Over Budget"/>
    <s v="OK"/>
  </r>
  <r>
    <s v="ITEM-0020"/>
    <x v="2"/>
    <x v="4"/>
    <n v="161.47999999999999"/>
    <x v="2"/>
    <n v="3269.47"/>
    <n v="527954.01559999993"/>
    <s v="Over Budget"/>
    <s v="OK"/>
  </r>
  <r>
    <s v="ITEM-0021"/>
    <x v="5"/>
    <x v="0"/>
    <n v="256.95999999999998"/>
    <x v="3"/>
    <n v="444.38"/>
    <n v="114187.88479999999"/>
    <s v="Over Budget"/>
    <s v="OK"/>
  </r>
  <r>
    <s v="ITEM-0022"/>
    <x v="8"/>
    <x v="0"/>
    <n v="476.06"/>
    <x v="2"/>
    <n v="2360.87"/>
    <n v="1123915.7722"/>
    <s v="Over Budget"/>
    <s v="OK"/>
  </r>
  <r>
    <s v="ITEM-0023"/>
    <x v="4"/>
    <x v="4"/>
    <n v="14.08"/>
    <x v="2"/>
    <n v="2056.62"/>
    <n v="28957.209599999998"/>
    <s v="OK"/>
    <s v="OK"/>
  </r>
  <r>
    <s v="ITEM-0024"/>
    <x v="1"/>
    <x v="2"/>
    <n v="341.96"/>
    <x v="0"/>
    <n v="3833.78"/>
    <n v="1310999.4088000001"/>
    <s v="Over Budget"/>
    <s v="OK"/>
  </r>
  <r>
    <s v="ITEM-0025"/>
    <x v="6"/>
    <x v="3"/>
    <n v="357.11"/>
    <x v="1"/>
    <n v="1392.94"/>
    <n v="497432.80340000003"/>
    <s v="Over Budget"/>
    <s v="OK"/>
  </r>
  <r>
    <s v="ITEM-0026"/>
    <x v="1"/>
    <x v="0"/>
    <n v="204.17"/>
    <x v="4"/>
    <n v="1622.42"/>
    <n v="331249.4914"/>
    <s v="Over Budget"/>
    <s v="OK"/>
  </r>
  <r>
    <s v="ITEM-0027"/>
    <x v="7"/>
    <x v="1"/>
    <n v="109.98"/>
    <x v="3"/>
    <n v="609.53"/>
    <n v="67036.109400000001"/>
    <s v="OK"/>
    <s v="OK"/>
  </r>
  <r>
    <s v="ITEM-0028"/>
    <x v="8"/>
    <x v="3"/>
    <n v="117.85"/>
    <x v="0"/>
    <n v="2770.35"/>
    <n v="326485.7475"/>
    <s v="Over Budget"/>
    <s v="OK"/>
  </r>
  <r>
    <s v="ITEM-0029"/>
    <x v="3"/>
    <x v="1"/>
    <n v="110.05"/>
    <x v="1"/>
    <n v="3049.73"/>
    <n v="335622.78649999999"/>
    <s v="Over Budget"/>
    <s v="OK"/>
  </r>
  <r>
    <s v="ITEM-0030"/>
    <x v="8"/>
    <x v="4"/>
    <n v="196.24"/>
    <x v="3"/>
    <n v="1753.44"/>
    <n v="344095.06560000003"/>
    <s v="Over Budget"/>
    <s v="OK"/>
  </r>
  <r>
    <s v="ITEM-0031"/>
    <x v="9"/>
    <x v="1"/>
    <n v="313.10000000000002"/>
    <x v="0"/>
    <n v="4268.55"/>
    <n v="1336483.0050000001"/>
    <s v="Over Budget"/>
    <s v="OK"/>
  </r>
  <r>
    <s v="ITEM-0032"/>
    <x v="5"/>
    <x v="2"/>
    <n v="216.49"/>
    <x v="1"/>
    <n v="2202.11"/>
    <n v="476734.79390000005"/>
    <s v="Over Budget"/>
    <s v="OK"/>
  </r>
  <r>
    <s v="ITEM-0033"/>
    <x v="3"/>
    <x v="3"/>
    <n v="35.71"/>
    <x v="1"/>
    <n v="1112.05"/>
    <n v="39711.305500000002"/>
    <s v="OK"/>
    <s v="OK"/>
  </r>
  <r>
    <s v="ITEM-0034"/>
    <x v="1"/>
    <x v="1"/>
    <n v="494.45"/>
    <x v="1"/>
    <n v="3915.41"/>
    <n v="1935974.4744999998"/>
    <s v="Over Budget"/>
    <s v="OK"/>
  </r>
  <r>
    <s v="ITEM-0035"/>
    <x v="7"/>
    <x v="2"/>
    <n v="117.4"/>
    <x v="3"/>
    <n v="4641.96"/>
    <n v="544966.10400000005"/>
    <s v="Over Budget"/>
    <s v="OK"/>
  </r>
  <r>
    <s v="ITEM-0036"/>
    <x v="6"/>
    <x v="3"/>
    <n v="58.9"/>
    <x v="1"/>
    <n v="2588.94"/>
    <n v="152488.56599999999"/>
    <s v="Over Budget"/>
    <s v="OK"/>
  </r>
  <r>
    <s v="ITEM-0037"/>
    <x v="1"/>
    <x v="1"/>
    <n v="183.28"/>
    <x v="3"/>
    <n v="2217.94"/>
    <n v="406504.04320000001"/>
    <s v="Over Budget"/>
    <s v="OK"/>
  </r>
  <r>
    <s v="ITEM-0038"/>
    <x v="2"/>
    <x v="4"/>
    <n v="27.08"/>
    <x v="4"/>
    <n v="3514.08"/>
    <n v="95161.286399999997"/>
    <s v="OK"/>
    <s v="OK"/>
  </r>
  <r>
    <s v="ITEM-0039"/>
    <x v="4"/>
    <x v="3"/>
    <n v="445.51"/>
    <x v="1"/>
    <n v="675.55"/>
    <n v="300964.28049999999"/>
    <s v="Over Budget"/>
    <s v="OK"/>
  </r>
  <r>
    <s v="ITEM-0040"/>
    <x v="3"/>
    <x v="0"/>
    <n v="155.21"/>
    <x v="0"/>
    <n v="2403.2399999999998"/>
    <n v="373006.88039999997"/>
    <s v="Over Budget"/>
    <s v="OK"/>
  </r>
  <r>
    <s v="ITEM-0041"/>
    <x v="1"/>
    <x v="1"/>
    <n v="2.5499999999999998"/>
    <x v="0"/>
    <n v="1970.44"/>
    <n v="5024.6219999999994"/>
    <s v="OK"/>
    <s v="OK"/>
  </r>
  <r>
    <s v="ITEM-0042"/>
    <x v="0"/>
    <x v="4"/>
    <n v="126"/>
    <x v="3"/>
    <n v="3810.09"/>
    <n v="480071.34"/>
    <s v="Over Budget"/>
    <s v="OK"/>
  </r>
  <r>
    <s v="ITEM-0043"/>
    <x v="7"/>
    <x v="2"/>
    <n v="476.25"/>
    <x v="4"/>
    <n v="249.81"/>
    <n v="118972.0125"/>
    <s v="Over Budget"/>
    <s v="OK"/>
  </r>
  <r>
    <s v="ITEM-0044"/>
    <x v="3"/>
    <x v="2"/>
    <n v="346.38"/>
    <x v="2"/>
    <n v="778.21"/>
    <n v="269556.3798"/>
    <s v="Over Budget"/>
    <s v="OK"/>
  </r>
  <r>
    <s v="ITEM-0045"/>
    <x v="8"/>
    <x v="1"/>
    <n v="204.83"/>
    <x v="0"/>
    <n v="1350.27"/>
    <n v="276575.80410000001"/>
    <s v="Over Budget"/>
    <s v="OK"/>
  </r>
  <r>
    <s v="ITEM-0046"/>
    <x v="5"/>
    <x v="1"/>
    <n v="319.76"/>
    <x v="2"/>
    <n v="4994.5"/>
    <n v="1597041.32"/>
    <s v="Over Budget"/>
    <s v="OK"/>
  </r>
  <r>
    <s v="ITEM-0047"/>
    <x v="0"/>
    <x v="0"/>
    <n v="108.29"/>
    <x v="0"/>
    <n v="1183.18"/>
    <n v="128126.56220000001"/>
    <s v="Over Budget"/>
    <s v="OK"/>
  </r>
  <r>
    <s v="ITEM-0048"/>
    <x v="1"/>
    <x v="1"/>
    <n v="70.010000000000005"/>
    <x v="0"/>
    <n v="1869.71"/>
    <n v="130898.39710000002"/>
    <s v="Over Budget"/>
    <s v="OK"/>
  </r>
  <r>
    <s v="ITEM-0049"/>
    <x v="0"/>
    <x v="3"/>
    <n v="58.88"/>
    <x v="1"/>
    <n v="4837.84"/>
    <n v="284852.01920000004"/>
    <s v="Over Budget"/>
    <s v="OK"/>
  </r>
  <r>
    <s v="ITEM-0050"/>
    <x v="3"/>
    <x v="0"/>
    <n v="127.26"/>
    <x v="4"/>
    <n v="3916.28"/>
    <n v="498385.79280000005"/>
    <s v="Over Budget"/>
    <s v="OK"/>
  </r>
  <r>
    <s v="ITEM-0051"/>
    <x v="3"/>
    <x v="4"/>
    <n v="467.4"/>
    <x v="1"/>
    <n v="1329.24"/>
    <n v="621286.77599999995"/>
    <s v="Over Budget"/>
    <s v="OK"/>
  </r>
  <r>
    <s v="ITEM-0052"/>
    <x v="4"/>
    <x v="2"/>
    <n v="490.38"/>
    <x v="4"/>
    <n v="2896.91"/>
    <n v="1420586.7257999999"/>
    <s v="Over Budget"/>
    <s v="OK"/>
  </r>
  <r>
    <s v="ITEM-0053"/>
    <x v="6"/>
    <x v="1"/>
    <n v="344.88"/>
    <x v="2"/>
    <n v="1855.15"/>
    <n v="639804.13199999998"/>
    <s v="Over Budget"/>
    <s v="OK"/>
  </r>
  <r>
    <s v="ITEM-0054"/>
    <x v="3"/>
    <x v="2"/>
    <n v="233.68"/>
    <x v="2"/>
    <n v="4544.37"/>
    <n v="1061928.3816"/>
    <s v="Over Budget"/>
    <s v="OK"/>
  </r>
  <r>
    <s v="ITEM-0055"/>
    <x v="7"/>
    <x v="3"/>
    <n v="489.97"/>
    <x v="1"/>
    <n v="1507.47"/>
    <n v="738615.07590000005"/>
    <s v="Over Budget"/>
    <s v="OK"/>
  </r>
  <r>
    <s v="ITEM-0056"/>
    <x v="2"/>
    <x v="2"/>
    <n v="187.94"/>
    <x v="1"/>
    <n v="1813"/>
    <n v="340735.22"/>
    <s v="Over Budget"/>
    <s v="OK"/>
  </r>
  <r>
    <s v="ITEM-0057"/>
    <x v="8"/>
    <x v="3"/>
    <n v="333.57"/>
    <x v="1"/>
    <n v="1402.77"/>
    <n v="467921.9889"/>
    <s v="Over Budget"/>
    <s v="OK"/>
  </r>
  <r>
    <s v="ITEM-0058"/>
    <x v="7"/>
    <x v="2"/>
    <n v="141.62"/>
    <x v="0"/>
    <n v="3444.14"/>
    <n v="487759.10680000001"/>
    <s v="Over Budget"/>
    <s v="OK"/>
  </r>
  <r>
    <s v="ITEM-0059"/>
    <x v="6"/>
    <x v="1"/>
    <n v="216.04"/>
    <x v="3"/>
    <n v="4680.21"/>
    <n v="1011112.5684"/>
    <s v="Over Budget"/>
    <s v="OK"/>
  </r>
  <r>
    <s v="ITEM-0060"/>
    <x v="2"/>
    <x v="0"/>
    <n v="350.06"/>
    <x v="0"/>
    <n v="4710.41"/>
    <n v="1648926.1246"/>
    <s v="Over Budget"/>
    <s v="OK"/>
  </r>
  <r>
    <s v="ITEM-0061"/>
    <x v="3"/>
    <x v="3"/>
    <n v="90.25"/>
    <x v="3"/>
    <n v="2612.9699999999998"/>
    <n v="235820.54249999998"/>
    <s v="Over Budget"/>
    <s v="OK"/>
  </r>
  <r>
    <s v="ITEM-0062"/>
    <x v="9"/>
    <x v="2"/>
    <n v="165.01"/>
    <x v="4"/>
    <n v="564.02"/>
    <n v="93068.940199999997"/>
    <s v="OK"/>
    <s v="OK"/>
  </r>
  <r>
    <s v="ITEM-0063"/>
    <x v="0"/>
    <x v="4"/>
    <n v="77.8"/>
    <x v="4"/>
    <n v="4048.59"/>
    <n v="314980.30200000003"/>
    <s v="Over Budget"/>
    <s v="OK"/>
  </r>
  <r>
    <s v="ITEM-0064"/>
    <x v="0"/>
    <x v="4"/>
    <n v="153.53"/>
    <x v="3"/>
    <n v="4944.46"/>
    <n v="759122.94380000001"/>
    <s v="Over Budget"/>
    <s v="OK"/>
  </r>
  <r>
    <s v="ITEM-0065"/>
    <x v="2"/>
    <x v="2"/>
    <n v="290.33"/>
    <x v="3"/>
    <n v="3251"/>
    <n v="943862.83"/>
    <s v="Over Budget"/>
    <s v="OK"/>
  </r>
  <r>
    <s v="ITEM-0066"/>
    <x v="6"/>
    <x v="0"/>
    <n v="86.63"/>
    <x v="1"/>
    <n v="3386.11"/>
    <n v="293338.70929999999"/>
    <s v="Over Budget"/>
    <s v="OK"/>
  </r>
  <r>
    <s v="ITEM-0067"/>
    <x v="2"/>
    <x v="1"/>
    <n v="466.66"/>
    <x v="3"/>
    <n v="1459.64"/>
    <n v="681155.60240000009"/>
    <s v="Over Budget"/>
    <s v="OK"/>
  </r>
  <r>
    <s v="ITEM-0068"/>
    <x v="8"/>
    <x v="1"/>
    <n v="190.47"/>
    <x v="2"/>
    <n v="2488.6"/>
    <n v="474003.64199999999"/>
    <s v="Over Budget"/>
    <s v="OK"/>
  </r>
  <r>
    <s v="ITEM-0069"/>
    <x v="1"/>
    <x v="4"/>
    <n v="91.49"/>
    <x v="0"/>
    <n v="4292.4399999999996"/>
    <n v="392715.33559999993"/>
    <s v="Over Budget"/>
    <s v="OK"/>
  </r>
  <r>
    <s v="ITEM-0070"/>
    <x v="1"/>
    <x v="3"/>
    <n v="322.89"/>
    <x v="1"/>
    <n v="2165.4299999999998"/>
    <n v="699195.6926999999"/>
    <s v="Over Budget"/>
    <s v="OK"/>
  </r>
  <r>
    <s v="ITEM-0071"/>
    <x v="8"/>
    <x v="4"/>
    <n v="459.9"/>
    <x v="3"/>
    <n v="2046.69"/>
    <n v="941272.73100000003"/>
    <s v="Over Budget"/>
    <s v="OK"/>
  </r>
  <r>
    <s v="ITEM-0072"/>
    <x v="1"/>
    <x v="4"/>
    <n v="168.75"/>
    <x v="1"/>
    <n v="1835.73"/>
    <n v="309779.4375"/>
    <s v="Over Budget"/>
    <s v="OK"/>
  </r>
  <r>
    <s v="ITEM-0073"/>
    <x v="0"/>
    <x v="2"/>
    <n v="383.1"/>
    <x v="2"/>
    <n v="642.14"/>
    <n v="246003.834"/>
    <s v="Over Budget"/>
    <s v="OK"/>
  </r>
  <r>
    <s v="ITEM-0074"/>
    <x v="4"/>
    <x v="2"/>
    <n v="60.9"/>
    <x v="4"/>
    <n v="3076"/>
    <n v="187328.4"/>
    <s v="Over Budget"/>
    <s v="OK"/>
  </r>
  <r>
    <s v="ITEM-0075"/>
    <x v="6"/>
    <x v="3"/>
    <n v="462.35"/>
    <x v="4"/>
    <n v="1133.22"/>
    <n v="523944.26700000005"/>
    <s v="Over Budget"/>
    <s v="OK"/>
  </r>
  <r>
    <s v="ITEM-0076"/>
    <x v="7"/>
    <x v="2"/>
    <n v="71.61"/>
    <x v="3"/>
    <n v="3174"/>
    <n v="227290.13999999998"/>
    <s v="Over Budget"/>
    <s v="OK"/>
  </r>
  <r>
    <s v="ITEM-0077"/>
    <x v="4"/>
    <x v="2"/>
    <n v="466.95"/>
    <x v="4"/>
    <n v="2239.0300000000002"/>
    <n v="1045515.0585"/>
    <s v="Over Budget"/>
    <s v="OK"/>
  </r>
  <r>
    <s v="ITEM-0078"/>
    <x v="0"/>
    <x v="2"/>
    <n v="361.2"/>
    <x v="3"/>
    <n v="3225.24"/>
    <n v="1164956.6879999998"/>
    <s v="Over Budget"/>
    <s v="OK"/>
  </r>
  <r>
    <s v="ITEM-0079"/>
    <x v="6"/>
    <x v="2"/>
    <n v="330.05"/>
    <x v="1"/>
    <n v="4304.78"/>
    <n v="1420792.639"/>
    <s v="Over Budget"/>
    <s v="OK"/>
  </r>
  <r>
    <s v="ITEM-0080"/>
    <x v="2"/>
    <x v="2"/>
    <n v="185.35"/>
    <x v="2"/>
    <n v="1678.83"/>
    <n v="311171.14049999998"/>
    <s v="Over Budget"/>
    <s v="OK"/>
  </r>
  <r>
    <s v="ITEM-0081"/>
    <x v="8"/>
    <x v="4"/>
    <n v="234.9"/>
    <x v="0"/>
    <n v="3075.57"/>
    <n v="722451.39300000004"/>
    <s v="Over Budget"/>
    <s v="OK"/>
  </r>
  <r>
    <s v="ITEM-0082"/>
    <x v="7"/>
    <x v="3"/>
    <n v="165.98"/>
    <x v="0"/>
    <n v="2226.9"/>
    <n v="369620.86199999996"/>
    <s v="Over Budget"/>
    <s v="OK"/>
  </r>
  <r>
    <s v="ITEM-0083"/>
    <x v="0"/>
    <x v="3"/>
    <n v="380.89"/>
    <x v="4"/>
    <n v="3089.8"/>
    <n v="1176873.922"/>
    <s v="Over Budget"/>
    <s v="OK"/>
  </r>
  <r>
    <s v="ITEM-0084"/>
    <x v="7"/>
    <x v="4"/>
    <n v="432.99"/>
    <x v="1"/>
    <n v="364.22"/>
    <n v="157703.61780000001"/>
    <s v="Over Budget"/>
    <s v="OK"/>
  </r>
  <r>
    <s v="ITEM-0085"/>
    <x v="3"/>
    <x v="0"/>
    <n v="190.92"/>
    <x v="0"/>
    <n v="1656.13"/>
    <n v="316188.33960000001"/>
    <s v="Over Budget"/>
    <s v="OK"/>
  </r>
  <r>
    <s v="ITEM-0086"/>
    <x v="4"/>
    <x v="3"/>
    <n v="129.36000000000001"/>
    <x v="2"/>
    <n v="222.06"/>
    <n v="28725.681600000004"/>
    <s v="OK"/>
    <s v="OK"/>
  </r>
  <r>
    <s v="ITEM-0087"/>
    <x v="6"/>
    <x v="0"/>
    <n v="153.97999999999999"/>
    <x v="0"/>
    <n v="1335.87"/>
    <n v="205697.26259999996"/>
    <s v="Over Budget"/>
    <s v="OK"/>
  </r>
  <r>
    <s v="ITEM-0088"/>
    <x v="3"/>
    <x v="1"/>
    <n v="310.39999999999998"/>
    <x v="2"/>
    <n v="163.77000000000001"/>
    <n v="50834.207999999999"/>
    <s v="OK"/>
    <s v="OK"/>
  </r>
  <r>
    <s v="ITEM-0089"/>
    <x v="7"/>
    <x v="3"/>
    <n v="136.59"/>
    <x v="0"/>
    <n v="4602.6899999999996"/>
    <n v="628681.42709999997"/>
    <s v="Over Budget"/>
    <s v="OK"/>
  </r>
  <r>
    <s v="ITEM-0090"/>
    <x v="4"/>
    <x v="2"/>
    <n v="295.44"/>
    <x v="4"/>
    <n v="116.91"/>
    <n v="34539.890399999997"/>
    <s v="OK"/>
    <s v="OK"/>
  </r>
  <r>
    <s v="ITEM-0091"/>
    <x v="4"/>
    <x v="1"/>
    <n v="373.5"/>
    <x v="0"/>
    <n v="1637.25"/>
    <n v="611512.875"/>
    <s v="Over Budget"/>
    <s v="OK"/>
  </r>
  <r>
    <s v="ITEM-0092"/>
    <x v="3"/>
    <x v="1"/>
    <n v="307.82"/>
    <x v="1"/>
    <n v="3961.19"/>
    <n v="1219333.5057999999"/>
    <s v="Over Budget"/>
    <s v="OK"/>
  </r>
  <r>
    <s v="ITEM-0093"/>
    <x v="7"/>
    <x v="4"/>
    <n v="418.75"/>
    <x v="2"/>
    <n v="2130.5"/>
    <n v="892146.875"/>
    <s v="Over Budget"/>
    <s v="OK"/>
  </r>
  <r>
    <s v="ITEM-0094"/>
    <x v="1"/>
    <x v="2"/>
    <n v="282.95999999999998"/>
    <x v="3"/>
    <n v="2818.24"/>
    <n v="797449.19039999985"/>
    <s v="Over Budget"/>
    <s v="OK"/>
  </r>
  <r>
    <s v="ITEM-0095"/>
    <x v="2"/>
    <x v="3"/>
    <n v="115.75"/>
    <x v="2"/>
    <n v="4992"/>
    <n v="577824"/>
    <s v="Over Budget"/>
    <s v="OK"/>
  </r>
  <r>
    <s v="ITEM-0096"/>
    <x v="9"/>
    <x v="2"/>
    <n v="58.46"/>
    <x v="1"/>
    <n v="95.49"/>
    <n v="5582.3454000000002"/>
    <s v="OK"/>
    <s v="OK"/>
  </r>
  <r>
    <s v="ITEM-0097"/>
    <x v="1"/>
    <x v="0"/>
    <n v="347.32"/>
    <x v="3"/>
    <n v="592.71"/>
    <n v="205860.03720000002"/>
    <s v="Over Budget"/>
    <s v="OK"/>
  </r>
  <r>
    <s v="ITEM-0098"/>
    <x v="7"/>
    <x v="3"/>
    <n v="45.37"/>
    <x v="4"/>
    <n v="72.41"/>
    <n v="3285.2416999999996"/>
    <s v="OK"/>
    <s v="OK"/>
  </r>
  <r>
    <s v="ITEM-0099"/>
    <x v="8"/>
    <x v="1"/>
    <n v="296.5"/>
    <x v="1"/>
    <n v="2656.8"/>
    <n v="787741.20000000007"/>
    <s v="Over Budget"/>
    <s v="OK"/>
  </r>
  <r>
    <s v="ITEM-0100"/>
    <x v="7"/>
    <x v="3"/>
    <n v="7.83"/>
    <x v="2"/>
    <n v="2020.89"/>
    <n v="15823.568700000002"/>
    <s v="OK"/>
    <s v="OK"/>
  </r>
  <r>
    <s v="ITEM-0101"/>
    <x v="3"/>
    <x v="2"/>
    <n v="420.09"/>
    <x v="1"/>
    <n v="3870.05"/>
    <n v="1625769.3045000001"/>
    <s v="Over Budget"/>
    <s v="OK"/>
  </r>
  <r>
    <s v="ITEM-0102"/>
    <x v="3"/>
    <x v="0"/>
    <n v="91.26"/>
    <x v="2"/>
    <n v="2796.55"/>
    <n v="255213.15300000002"/>
    <s v="Over Budget"/>
    <s v="OK"/>
  </r>
  <r>
    <s v="ITEM-0103"/>
    <x v="7"/>
    <x v="2"/>
    <n v="44.42"/>
    <x v="3"/>
    <n v="1107.31"/>
    <n v="49186.710200000001"/>
    <s v="OK"/>
    <s v="OK"/>
  </r>
  <r>
    <s v="ITEM-0104"/>
    <x v="5"/>
    <x v="2"/>
    <n v="449.27"/>
    <x v="3"/>
    <n v="1496.03"/>
    <n v="672121.39809999999"/>
    <s v="Over Budget"/>
    <s v="OK"/>
  </r>
  <r>
    <s v="ITEM-0105"/>
    <x v="9"/>
    <x v="1"/>
    <n v="112.67"/>
    <x v="3"/>
    <n v="1313.05"/>
    <n v="147941.34349999999"/>
    <s v="Over Budget"/>
    <s v="OK"/>
  </r>
  <r>
    <s v="ITEM-0106"/>
    <x v="7"/>
    <x v="0"/>
    <n v="385.29"/>
    <x v="1"/>
    <n v="441.17"/>
    <n v="169978.38930000001"/>
    <s v="Over Budget"/>
    <s v="OK"/>
  </r>
  <r>
    <s v="ITEM-0107"/>
    <x v="4"/>
    <x v="0"/>
    <n v="96.49"/>
    <x v="4"/>
    <n v="2588.08"/>
    <n v="249723.83919999999"/>
    <s v="Over Budget"/>
    <s v="OK"/>
  </r>
  <r>
    <s v="ITEM-0108"/>
    <x v="4"/>
    <x v="2"/>
    <n v="184.02"/>
    <x v="4"/>
    <n v="4880.8100000000004"/>
    <n v="898166.65620000008"/>
    <s v="Over Budget"/>
    <s v="OK"/>
  </r>
  <r>
    <s v="ITEM-0109"/>
    <x v="3"/>
    <x v="2"/>
    <n v="264.07"/>
    <x v="2"/>
    <n v="1861.23"/>
    <n v="491495.0061"/>
    <s v="Over Budget"/>
    <s v="OK"/>
  </r>
  <r>
    <s v="ITEM-0110"/>
    <x v="4"/>
    <x v="4"/>
    <n v="364.9"/>
    <x v="2"/>
    <n v="2468.21"/>
    <n v="900649.82899999991"/>
    <s v="Over Budget"/>
    <s v="OK"/>
  </r>
  <r>
    <s v="ITEM-0111"/>
    <x v="6"/>
    <x v="1"/>
    <n v="426.6"/>
    <x v="2"/>
    <n v="372.26"/>
    <n v="158806.11600000001"/>
    <s v="Over Budget"/>
    <s v="OK"/>
  </r>
  <r>
    <s v="ITEM-0112"/>
    <x v="5"/>
    <x v="1"/>
    <n v="341.9"/>
    <x v="4"/>
    <n v="2809.35"/>
    <n v="960516.7649999999"/>
    <s v="Over Budget"/>
    <s v="OK"/>
  </r>
  <r>
    <s v="ITEM-0113"/>
    <x v="7"/>
    <x v="1"/>
    <n v="303.66000000000003"/>
    <x v="4"/>
    <n v="1153.07"/>
    <n v="350141.23619999998"/>
    <s v="Over Budget"/>
    <s v="OK"/>
  </r>
  <r>
    <s v="ITEM-0114"/>
    <x v="2"/>
    <x v="1"/>
    <n v="403.15"/>
    <x v="4"/>
    <n v="4517.22"/>
    <n v="1821117.243"/>
    <s v="Over Budget"/>
    <s v="OK"/>
  </r>
  <r>
    <s v="ITEM-0115"/>
    <x v="4"/>
    <x v="0"/>
    <n v="493.79"/>
    <x v="0"/>
    <n v="4794.66"/>
    <n v="2367555.1614000001"/>
    <s v="Over Budget"/>
    <s v="OK"/>
  </r>
  <r>
    <s v="ITEM-0116"/>
    <x v="7"/>
    <x v="4"/>
    <n v="297.45"/>
    <x v="2"/>
    <n v="947.44"/>
    <n v="281816.02799999999"/>
    <s v="Over Budget"/>
    <s v="OK"/>
  </r>
  <r>
    <s v="ITEM-0117"/>
    <x v="6"/>
    <x v="2"/>
    <n v="418.9"/>
    <x v="1"/>
    <n v="666.89"/>
    <n v="279360.22099999996"/>
    <s v="Over Budget"/>
    <s v="OK"/>
  </r>
  <r>
    <s v="ITEM-0118"/>
    <x v="0"/>
    <x v="3"/>
    <n v="50.63"/>
    <x v="0"/>
    <n v="2093.79"/>
    <n v="106008.5877"/>
    <s v="Over Budget"/>
    <s v="OK"/>
  </r>
  <r>
    <s v="ITEM-0119"/>
    <x v="8"/>
    <x v="2"/>
    <n v="426.42"/>
    <x v="3"/>
    <n v="2523.17"/>
    <n v="1075930.1514000001"/>
    <s v="Over Budget"/>
    <s v="OK"/>
  </r>
  <r>
    <s v="ITEM-0120"/>
    <x v="7"/>
    <x v="0"/>
    <n v="222.36"/>
    <x v="4"/>
    <n v="4385.46"/>
    <n v="975150.88560000004"/>
    <s v="Over Budget"/>
    <s v="OK"/>
  </r>
  <r>
    <s v="ITEM-0121"/>
    <x v="1"/>
    <x v="2"/>
    <n v="110.55"/>
    <x v="2"/>
    <n v="3205.84"/>
    <n v="354405.61200000002"/>
    <s v="Over Budget"/>
    <s v="OK"/>
  </r>
  <r>
    <s v="ITEM-0122"/>
    <x v="2"/>
    <x v="2"/>
    <n v="351.39"/>
    <x v="1"/>
    <n v="719.86"/>
    <n v="252951.6054"/>
    <s v="Over Budget"/>
    <s v="OK"/>
  </r>
  <r>
    <s v="ITEM-0123"/>
    <x v="7"/>
    <x v="0"/>
    <n v="489.96"/>
    <x v="2"/>
    <n v="1617.95"/>
    <n v="792730.78200000001"/>
    <s v="Over Budget"/>
    <s v="OK"/>
  </r>
  <r>
    <s v="ITEM-0124"/>
    <x v="8"/>
    <x v="3"/>
    <n v="371"/>
    <x v="1"/>
    <n v="371.56"/>
    <n v="137848.76"/>
    <s v="Over Budget"/>
    <s v="OK"/>
  </r>
  <r>
    <s v="ITEM-0125"/>
    <x v="1"/>
    <x v="2"/>
    <n v="384.38"/>
    <x v="4"/>
    <n v="1425.3"/>
    <n v="547856.81400000001"/>
    <s v="Over Budget"/>
    <s v="OK"/>
  </r>
  <r>
    <s v="ITEM-0126"/>
    <x v="2"/>
    <x v="1"/>
    <n v="165.5"/>
    <x v="4"/>
    <n v="2664.53"/>
    <n v="440979.71500000003"/>
    <s v="Over Budget"/>
    <s v="OK"/>
  </r>
  <r>
    <s v="ITEM-0127"/>
    <x v="1"/>
    <x v="1"/>
    <n v="185.56"/>
    <x v="3"/>
    <n v="3932.83"/>
    <n v="729775.93480000005"/>
    <s v="Over Budget"/>
    <s v="OK"/>
  </r>
  <r>
    <s v="ITEM-0128"/>
    <x v="4"/>
    <x v="3"/>
    <n v="221.79"/>
    <x v="0"/>
    <n v="1251.58"/>
    <n v="277587.92819999997"/>
    <s v="Over Budget"/>
    <s v="OK"/>
  </r>
  <r>
    <s v="ITEM-0129"/>
    <x v="5"/>
    <x v="3"/>
    <n v="491.53"/>
    <x v="2"/>
    <n v="874.37"/>
    <n v="429779.08609999996"/>
    <s v="Over Budget"/>
    <s v="OK"/>
  </r>
  <r>
    <s v="ITEM-0130"/>
    <x v="1"/>
    <x v="3"/>
    <n v="227.46"/>
    <x v="3"/>
    <n v="2712.87"/>
    <n v="617069.41020000004"/>
    <s v="Over Budget"/>
    <s v="OK"/>
  </r>
  <r>
    <s v="ITEM-0131"/>
    <x v="9"/>
    <x v="4"/>
    <n v="291.24"/>
    <x v="4"/>
    <n v="810.87"/>
    <n v="236157.7788"/>
    <s v="Over Budget"/>
    <s v="OK"/>
  </r>
  <r>
    <s v="ITEM-0132"/>
    <x v="7"/>
    <x v="4"/>
    <n v="93.58"/>
    <x v="4"/>
    <n v="799.84"/>
    <n v="74849.027199999997"/>
    <s v="OK"/>
    <s v="OK"/>
  </r>
  <r>
    <s v="ITEM-0133"/>
    <x v="9"/>
    <x v="1"/>
    <n v="92.77"/>
    <x v="3"/>
    <n v="253.95"/>
    <n v="23558.941499999997"/>
    <s v="OK"/>
    <s v="OK"/>
  </r>
  <r>
    <s v="ITEM-0134"/>
    <x v="4"/>
    <x v="2"/>
    <n v="236.48"/>
    <x v="3"/>
    <n v="3352.01"/>
    <n v="792683.32480000006"/>
    <s v="Over Budget"/>
    <s v="OK"/>
  </r>
  <r>
    <s v="ITEM-0135"/>
    <x v="1"/>
    <x v="4"/>
    <n v="36.53"/>
    <x v="0"/>
    <n v="4358.6400000000003"/>
    <n v="159221.11920000002"/>
    <s v="Over Budget"/>
    <s v="OK"/>
  </r>
  <r>
    <s v="ITEM-0136"/>
    <x v="9"/>
    <x v="2"/>
    <n v="74.88"/>
    <x v="4"/>
    <n v="3604.66"/>
    <n v="269916.94079999998"/>
    <s v="Over Budget"/>
    <s v="OK"/>
  </r>
  <r>
    <s v="ITEM-0137"/>
    <x v="4"/>
    <x v="4"/>
    <n v="321.33"/>
    <x v="4"/>
    <n v="3773.36"/>
    <n v="1212493.7688"/>
    <s v="Over Budget"/>
    <s v="OK"/>
  </r>
  <r>
    <s v="ITEM-0138"/>
    <x v="4"/>
    <x v="2"/>
    <n v="407.51"/>
    <x v="3"/>
    <n v="4078.04"/>
    <n v="1661842.0803999999"/>
    <s v="Over Budget"/>
    <s v="OK"/>
  </r>
  <r>
    <s v="ITEM-0139"/>
    <x v="2"/>
    <x v="0"/>
    <n v="19.62"/>
    <x v="2"/>
    <n v="3584.74"/>
    <n v="70332.598799999992"/>
    <s v="OK"/>
    <s v="OK"/>
  </r>
  <r>
    <s v="ITEM-0140"/>
    <x v="3"/>
    <x v="4"/>
    <n v="25.2"/>
    <x v="4"/>
    <n v="3723.9"/>
    <n v="93842.28"/>
    <s v="OK"/>
    <s v="OK"/>
  </r>
  <r>
    <s v="ITEM-0141"/>
    <x v="7"/>
    <x v="4"/>
    <n v="366.31"/>
    <x v="4"/>
    <n v="3893.69"/>
    <n v="1426297.5839"/>
    <s v="Over Budget"/>
    <s v="OK"/>
  </r>
  <r>
    <s v="ITEM-0142"/>
    <x v="6"/>
    <x v="4"/>
    <n v="88.1"/>
    <x v="0"/>
    <n v="75.73"/>
    <n v="6671.8130000000001"/>
    <s v="OK"/>
    <s v="OK"/>
  </r>
  <r>
    <s v="ITEM-0143"/>
    <x v="5"/>
    <x v="4"/>
    <n v="439.88"/>
    <x v="2"/>
    <n v="485.35"/>
    <n v="213495.758"/>
    <s v="Over Budget"/>
    <s v="OK"/>
  </r>
  <r>
    <s v="ITEM-0144"/>
    <x v="1"/>
    <x v="3"/>
    <n v="417.7"/>
    <x v="1"/>
    <n v="3845.8"/>
    <n v="1606390.66"/>
    <s v="Over Budget"/>
    <s v="OK"/>
  </r>
  <r>
    <s v="ITEM-0145"/>
    <x v="1"/>
    <x v="0"/>
    <n v="495"/>
    <x v="0"/>
    <n v="1995.33"/>
    <n v="987688.35"/>
    <s v="Over Budget"/>
    <s v="OK"/>
  </r>
  <r>
    <s v="ITEM-0146"/>
    <x v="6"/>
    <x v="4"/>
    <n v="293.83"/>
    <x v="1"/>
    <n v="443.47"/>
    <n v="130304.7901"/>
    <s v="Over Budget"/>
    <s v="OK"/>
  </r>
  <r>
    <s v="ITEM-0147"/>
    <x v="1"/>
    <x v="1"/>
    <n v="326.22000000000003"/>
    <x v="1"/>
    <n v="2222.3200000000002"/>
    <n v="724965.23040000012"/>
    <s v="Over Budget"/>
    <s v="OK"/>
  </r>
  <r>
    <s v="ITEM-0148"/>
    <x v="3"/>
    <x v="0"/>
    <n v="125.07"/>
    <x v="1"/>
    <n v="2525.0300000000002"/>
    <n v="315805.50209999998"/>
    <s v="Over Budget"/>
    <s v="OK"/>
  </r>
  <r>
    <s v="ITEM-0149"/>
    <x v="3"/>
    <x v="3"/>
    <n v="442.71"/>
    <x v="1"/>
    <n v="3497.66"/>
    <n v="1548449.0585999999"/>
    <s v="Over Budget"/>
    <s v="OK"/>
  </r>
  <r>
    <s v="ITEM-0150"/>
    <x v="3"/>
    <x v="0"/>
    <n v="147.13999999999999"/>
    <x v="3"/>
    <n v="866.29"/>
    <n v="127465.91059999999"/>
    <s v="Over Budget"/>
    <s v="OK"/>
  </r>
  <r>
    <s v="ITEM-0151"/>
    <x v="4"/>
    <x v="3"/>
    <n v="112.2"/>
    <x v="0"/>
    <n v="886.44"/>
    <n v="99458.568000000014"/>
    <s v="OK"/>
    <s v="OK"/>
  </r>
  <r>
    <s v="ITEM-0152"/>
    <x v="3"/>
    <x v="0"/>
    <n v="83.15"/>
    <x v="2"/>
    <n v="2635.29"/>
    <n v="219124.36350000001"/>
    <s v="Over Budget"/>
    <s v="OK"/>
  </r>
  <r>
    <s v="ITEM-0153"/>
    <x v="7"/>
    <x v="1"/>
    <n v="454.83"/>
    <x v="3"/>
    <n v="1426.99"/>
    <n v="649037.86170000001"/>
    <s v="Over Budget"/>
    <s v="OK"/>
  </r>
  <r>
    <s v="ITEM-0154"/>
    <x v="6"/>
    <x v="4"/>
    <n v="243.77"/>
    <x v="2"/>
    <n v="2212.66"/>
    <n v="539380.12820000004"/>
    <s v="Over Budget"/>
    <s v="OK"/>
  </r>
  <r>
    <s v="ITEM-0155"/>
    <x v="0"/>
    <x v="2"/>
    <n v="117.04"/>
    <x v="0"/>
    <n v="2822.22"/>
    <n v="330312.62880000001"/>
    <s v="Over Budget"/>
    <s v="OK"/>
  </r>
  <r>
    <s v="ITEM-0156"/>
    <x v="4"/>
    <x v="2"/>
    <n v="390.02"/>
    <x v="1"/>
    <n v="3774.42"/>
    <n v="1472099.2884"/>
    <s v="Over Budget"/>
    <s v="OK"/>
  </r>
  <r>
    <s v="ITEM-0157"/>
    <x v="9"/>
    <x v="0"/>
    <n v="280.89999999999998"/>
    <x v="4"/>
    <n v="1541.18"/>
    <n v="432917.462"/>
    <s v="Over Budget"/>
    <s v="OK"/>
  </r>
  <r>
    <s v="ITEM-0158"/>
    <x v="7"/>
    <x v="2"/>
    <n v="305.58999999999997"/>
    <x v="2"/>
    <n v="1878.84"/>
    <n v="574154.71559999988"/>
    <s v="Over Budget"/>
    <s v="OK"/>
  </r>
  <r>
    <s v="ITEM-0159"/>
    <x v="2"/>
    <x v="3"/>
    <n v="448.57"/>
    <x v="4"/>
    <n v="3911.91"/>
    <n v="1754765.4686999999"/>
    <s v="Over Budget"/>
    <s v="OK"/>
  </r>
  <r>
    <s v="ITEM-0160"/>
    <x v="3"/>
    <x v="4"/>
    <n v="166.24"/>
    <x v="0"/>
    <n v="2835.3"/>
    <n v="471340.27200000006"/>
    <s v="Over Budget"/>
    <s v="OK"/>
  </r>
  <r>
    <s v="ITEM-0161"/>
    <x v="1"/>
    <x v="3"/>
    <n v="108.65"/>
    <x v="0"/>
    <n v="87.81"/>
    <n v="9540.5565000000006"/>
    <s v="OK"/>
    <s v="OK"/>
  </r>
  <r>
    <s v="ITEM-0162"/>
    <x v="8"/>
    <x v="0"/>
    <n v="54.38"/>
    <x v="4"/>
    <n v="683.81"/>
    <n v="37185.587800000001"/>
    <s v="OK"/>
    <s v="OK"/>
  </r>
  <r>
    <s v="ITEM-0163"/>
    <x v="9"/>
    <x v="3"/>
    <n v="45.03"/>
    <x v="4"/>
    <n v="1574.21"/>
    <n v="70886.676300000006"/>
    <s v="OK"/>
    <s v="OK"/>
  </r>
  <r>
    <s v="ITEM-0164"/>
    <x v="1"/>
    <x v="2"/>
    <n v="469.93"/>
    <x v="2"/>
    <n v="4531.46"/>
    <n v="2129468.9978"/>
    <s v="Over Budget"/>
    <s v="OK"/>
  </r>
  <r>
    <s v="ITEM-0165"/>
    <x v="2"/>
    <x v="0"/>
    <n v="100.67"/>
    <x v="4"/>
    <n v="2990.79"/>
    <n v="301082.82929999998"/>
    <s v="Over Budget"/>
    <s v="OK"/>
  </r>
  <r>
    <s v="ITEM-0166"/>
    <x v="4"/>
    <x v="0"/>
    <n v="245.15"/>
    <x v="0"/>
    <n v="833.73"/>
    <n v="204388.90950000001"/>
    <s v="Over Budget"/>
    <s v="OK"/>
  </r>
  <r>
    <s v="ITEM-0167"/>
    <x v="5"/>
    <x v="2"/>
    <n v="460.15"/>
    <x v="1"/>
    <n v="1790.96"/>
    <n v="824110.24399999995"/>
    <s v="Over Budget"/>
    <s v="OK"/>
  </r>
  <r>
    <s v="ITEM-0168"/>
    <x v="4"/>
    <x v="3"/>
    <n v="140.93"/>
    <x v="4"/>
    <n v="2219.1999999999998"/>
    <n v="312751.85599999997"/>
    <s v="Over Budget"/>
    <s v="OK"/>
  </r>
  <r>
    <s v="ITEM-0169"/>
    <x v="0"/>
    <x v="1"/>
    <n v="349.73"/>
    <x v="0"/>
    <n v="3180.12"/>
    <n v="1112183.3676"/>
    <s v="Over Budget"/>
    <s v="OK"/>
  </r>
  <r>
    <s v="ITEM-0170"/>
    <x v="2"/>
    <x v="1"/>
    <n v="279.27999999999997"/>
    <x v="1"/>
    <n v="2206.06"/>
    <n v="616108.43679999991"/>
    <s v="Over Budget"/>
    <s v="OK"/>
  </r>
  <r>
    <s v="ITEM-0171"/>
    <x v="5"/>
    <x v="0"/>
    <n v="410.62"/>
    <x v="0"/>
    <n v="4326.79"/>
    <n v="1776666.5098000001"/>
    <s v="Over Budget"/>
    <s v="OK"/>
  </r>
  <r>
    <s v="ITEM-0172"/>
    <x v="9"/>
    <x v="2"/>
    <n v="4.45"/>
    <x v="3"/>
    <n v="909.46"/>
    <n v="4047.0970000000002"/>
    <s v="OK"/>
    <s v="OK"/>
  </r>
  <r>
    <s v="ITEM-0173"/>
    <x v="6"/>
    <x v="3"/>
    <n v="94.87"/>
    <x v="4"/>
    <n v="1682.82"/>
    <n v="159649.13339999999"/>
    <s v="Over Budget"/>
    <s v="OK"/>
  </r>
  <r>
    <s v="ITEM-0174"/>
    <x v="3"/>
    <x v="0"/>
    <n v="166.31"/>
    <x v="0"/>
    <n v="503.19"/>
    <n v="83685.528900000005"/>
    <s v="OK"/>
    <s v="OK"/>
  </r>
  <r>
    <s v="ITEM-0175"/>
    <x v="2"/>
    <x v="2"/>
    <n v="13.52"/>
    <x v="4"/>
    <n v="668.4"/>
    <n v="9036.768"/>
    <s v="OK"/>
    <s v="OK"/>
  </r>
  <r>
    <s v="ITEM-0176"/>
    <x v="0"/>
    <x v="2"/>
    <n v="376.9"/>
    <x v="4"/>
    <n v="3226.06"/>
    <n v="1215902.014"/>
    <s v="Over Budget"/>
    <s v="OK"/>
  </r>
  <r>
    <s v="ITEM-0177"/>
    <x v="1"/>
    <x v="3"/>
    <n v="96.94"/>
    <x v="2"/>
    <n v="202.35"/>
    <n v="19615.808999999997"/>
    <s v="OK"/>
    <s v="OK"/>
  </r>
  <r>
    <s v="ITEM-0178"/>
    <x v="3"/>
    <x v="3"/>
    <n v="57.05"/>
    <x v="4"/>
    <n v="227.44"/>
    <n v="12975.451999999999"/>
    <s v="OK"/>
    <s v="OK"/>
  </r>
  <r>
    <s v="ITEM-0179"/>
    <x v="6"/>
    <x v="0"/>
    <n v="370.45"/>
    <x v="0"/>
    <n v="3990.75"/>
    <n v="1478373.3374999999"/>
    <s v="Over Budget"/>
    <s v="OK"/>
  </r>
  <r>
    <s v="ITEM-0180"/>
    <x v="6"/>
    <x v="2"/>
    <n v="239.42"/>
    <x v="0"/>
    <n v="2040.84"/>
    <n v="488617.91279999993"/>
    <s v="Over Budget"/>
    <s v="OK"/>
  </r>
  <r>
    <s v="ITEM-0181"/>
    <x v="3"/>
    <x v="3"/>
    <n v="274.94"/>
    <x v="0"/>
    <n v="1409.69"/>
    <n v="387580.16860000003"/>
    <s v="Over Budget"/>
    <s v="OK"/>
  </r>
  <r>
    <s v="ITEM-0182"/>
    <x v="5"/>
    <x v="0"/>
    <n v="110.95"/>
    <x v="2"/>
    <n v="4192.95"/>
    <n v="465207.80249999999"/>
    <s v="Over Budget"/>
    <s v="OK"/>
  </r>
  <r>
    <s v="ITEM-0183"/>
    <x v="7"/>
    <x v="2"/>
    <n v="100.7"/>
    <x v="2"/>
    <n v="474.14"/>
    <n v="47745.898000000001"/>
    <s v="OK"/>
    <s v="OK"/>
  </r>
  <r>
    <s v="ITEM-0184"/>
    <x v="3"/>
    <x v="1"/>
    <n v="334.31"/>
    <x v="2"/>
    <n v="4458.93"/>
    <n v="1490664.8883"/>
    <s v="Over Budget"/>
    <s v="OK"/>
  </r>
  <r>
    <s v="ITEM-0185"/>
    <x v="4"/>
    <x v="4"/>
    <n v="281.38"/>
    <x v="2"/>
    <n v="878.11"/>
    <n v="247082.59179999999"/>
    <s v="Over Budget"/>
    <s v="OK"/>
  </r>
  <r>
    <s v="ITEM-0186"/>
    <x v="4"/>
    <x v="0"/>
    <n v="17.059999999999999"/>
    <x v="4"/>
    <n v="158.38"/>
    <n v="2701.9627999999998"/>
    <s v="OK"/>
    <s v="OK"/>
  </r>
  <r>
    <s v="ITEM-0187"/>
    <x v="0"/>
    <x v="0"/>
    <n v="53.44"/>
    <x v="2"/>
    <n v="506.5"/>
    <n v="27067.360000000001"/>
    <s v="OK"/>
    <s v="OK"/>
  </r>
  <r>
    <s v="ITEM-0188"/>
    <x v="5"/>
    <x v="1"/>
    <n v="415.61"/>
    <x v="4"/>
    <n v="703.72"/>
    <n v="292473.06920000003"/>
    <s v="Over Budget"/>
    <s v="OK"/>
  </r>
  <r>
    <s v="ITEM-0189"/>
    <x v="9"/>
    <x v="3"/>
    <n v="407.83"/>
    <x v="2"/>
    <n v="1249.83"/>
    <n v="509718.16889999993"/>
    <s v="Over Budget"/>
    <s v="OK"/>
  </r>
  <r>
    <s v="ITEM-0190"/>
    <x v="0"/>
    <x v="4"/>
    <n v="7.8"/>
    <x v="0"/>
    <n v="2339.89"/>
    <n v="18251.142"/>
    <s v="OK"/>
    <s v="OK"/>
  </r>
  <r>
    <s v="ITEM-0191"/>
    <x v="0"/>
    <x v="4"/>
    <n v="429.79"/>
    <x v="0"/>
    <n v="3111.32"/>
    <n v="1337214.2228000001"/>
    <s v="Over Budget"/>
    <s v="OK"/>
  </r>
  <r>
    <s v="ITEM-0192"/>
    <x v="9"/>
    <x v="3"/>
    <n v="313.48"/>
    <x v="3"/>
    <n v="1088.55"/>
    <n v="341238.65399999998"/>
    <s v="Over Budget"/>
    <s v="OK"/>
  </r>
  <r>
    <s v="ITEM-0193"/>
    <x v="8"/>
    <x v="0"/>
    <n v="177.2"/>
    <x v="2"/>
    <n v="3881.16"/>
    <n v="687741.55199999991"/>
    <s v="Over Budget"/>
    <s v="OK"/>
  </r>
  <r>
    <s v="ITEM-0194"/>
    <x v="7"/>
    <x v="1"/>
    <n v="103.02"/>
    <x v="4"/>
    <n v="1959.08"/>
    <n v="201824.42159999997"/>
    <s v="Over Budget"/>
    <s v="OK"/>
  </r>
  <r>
    <s v="ITEM-0195"/>
    <x v="2"/>
    <x v="3"/>
    <n v="45.53"/>
    <x v="3"/>
    <n v="330.13"/>
    <n v="15030.8189"/>
    <s v="OK"/>
    <s v="OK"/>
  </r>
  <r>
    <s v="ITEM-0196"/>
    <x v="8"/>
    <x v="3"/>
    <n v="114.53"/>
    <x v="3"/>
    <n v="3135.67"/>
    <n v="359128.28510000004"/>
    <s v="Over Budget"/>
    <s v="OK"/>
  </r>
  <r>
    <s v="ITEM-0197"/>
    <x v="8"/>
    <x v="3"/>
    <n v="318.35000000000002"/>
    <x v="1"/>
    <n v="140.62"/>
    <n v="44766.377000000008"/>
    <s v="OK"/>
    <s v="OK"/>
  </r>
  <r>
    <s v="ITEM-0198"/>
    <x v="9"/>
    <x v="4"/>
    <n v="275.26"/>
    <x v="2"/>
    <n v="107.56"/>
    <n v="29606.9656"/>
    <s v="OK"/>
    <s v="OK"/>
  </r>
  <r>
    <s v="ITEM-0199"/>
    <x v="0"/>
    <x v="3"/>
    <n v="2.11"/>
    <x v="2"/>
    <n v="3868.37"/>
    <n v="8162.2606999999989"/>
    <s v="OK"/>
    <s v="OK"/>
  </r>
  <r>
    <s v="ITEM-0200"/>
    <x v="2"/>
    <x v="0"/>
    <n v="333.92"/>
    <x v="2"/>
    <n v="1466.78"/>
    <n v="489787.1776"/>
    <s v="Over Budget"/>
    <s v="OK"/>
  </r>
  <r>
    <s v="ITEM-0201"/>
    <x v="2"/>
    <x v="4"/>
    <n v="55.41"/>
    <x v="0"/>
    <n v="4089.22"/>
    <n v="226583.68019999997"/>
    <s v="Over Budget"/>
    <s v="OK"/>
  </r>
  <r>
    <s v="ITEM-0202"/>
    <x v="2"/>
    <x v="0"/>
    <n v="346.65"/>
    <x v="4"/>
    <n v="3130.31"/>
    <n v="1085121.9615"/>
    <s v="Over Budget"/>
    <s v="OK"/>
  </r>
  <r>
    <s v="ITEM-0203"/>
    <x v="8"/>
    <x v="1"/>
    <n v="452.24"/>
    <x v="3"/>
    <n v="4320.8999999999996"/>
    <n v="1954083.8159999999"/>
    <s v="Over Budget"/>
    <s v="OK"/>
  </r>
  <r>
    <s v="ITEM-0204"/>
    <x v="2"/>
    <x v="4"/>
    <n v="175.75"/>
    <x v="2"/>
    <n v="4883.33"/>
    <n v="858245.24749999994"/>
    <s v="Over Budget"/>
    <s v="OK"/>
  </r>
  <r>
    <s v="ITEM-0205"/>
    <x v="9"/>
    <x v="3"/>
    <n v="87.16"/>
    <x v="0"/>
    <n v="829.73"/>
    <n v="72319.266799999998"/>
    <s v="OK"/>
    <s v="OK"/>
  </r>
  <r>
    <s v="ITEM-0206"/>
    <x v="0"/>
    <x v="2"/>
    <n v="30.79"/>
    <x v="3"/>
    <n v="2423.4299999999998"/>
    <n v="74617.409699999989"/>
    <s v="OK"/>
    <s v="OK"/>
  </r>
  <r>
    <s v="ITEM-0207"/>
    <x v="7"/>
    <x v="0"/>
    <n v="29.34"/>
    <x v="1"/>
    <n v="3550.74"/>
    <n v="104178.7116"/>
    <s v="Over Budget"/>
    <s v="OK"/>
  </r>
  <r>
    <s v="ITEM-0208"/>
    <x v="4"/>
    <x v="2"/>
    <n v="30.76"/>
    <x v="3"/>
    <n v="2577.7800000000002"/>
    <n v="79292.512800000011"/>
    <s v="OK"/>
    <s v="OK"/>
  </r>
  <r>
    <s v="ITEM-0209"/>
    <x v="5"/>
    <x v="2"/>
    <n v="388.03"/>
    <x v="4"/>
    <n v="3745.64"/>
    <n v="1453420.6891999999"/>
    <s v="Over Budget"/>
    <s v="OK"/>
  </r>
  <r>
    <s v="ITEM-0210"/>
    <x v="4"/>
    <x v="1"/>
    <n v="136.31"/>
    <x v="3"/>
    <n v="959.93"/>
    <n v="130848.05829999999"/>
    <s v="Over Budget"/>
    <s v="OK"/>
  </r>
  <r>
    <s v="ITEM-0211"/>
    <x v="6"/>
    <x v="1"/>
    <n v="91.6"/>
    <x v="1"/>
    <n v="4184.16"/>
    <n v="383269.05599999998"/>
    <s v="Over Budget"/>
    <s v="OK"/>
  </r>
  <r>
    <s v="ITEM-0212"/>
    <x v="1"/>
    <x v="3"/>
    <n v="366.44"/>
    <x v="0"/>
    <n v="1272.77"/>
    <n v="466393.83879999997"/>
    <s v="Over Budget"/>
    <s v="OK"/>
  </r>
  <r>
    <s v="ITEM-0213"/>
    <x v="7"/>
    <x v="1"/>
    <n v="109.87"/>
    <x v="0"/>
    <n v="1148.75"/>
    <n v="126213.16250000001"/>
    <s v="Over Budget"/>
    <s v="OK"/>
  </r>
  <r>
    <s v="ITEM-0214"/>
    <x v="0"/>
    <x v="4"/>
    <n v="334.59"/>
    <x v="1"/>
    <n v="2386.61"/>
    <n v="798535.83990000002"/>
    <s v="Over Budget"/>
    <s v="OK"/>
  </r>
  <r>
    <s v="ITEM-0215"/>
    <x v="8"/>
    <x v="3"/>
    <n v="209.73"/>
    <x v="1"/>
    <n v="431.88"/>
    <n v="90578.1924"/>
    <s v="OK"/>
    <s v="OK"/>
  </r>
  <r>
    <s v="ITEM-0216"/>
    <x v="0"/>
    <x v="0"/>
    <n v="263.45"/>
    <x v="0"/>
    <n v="4809"/>
    <n v="1266931.05"/>
    <s v="Over Budget"/>
    <s v="OK"/>
  </r>
  <r>
    <s v="ITEM-0217"/>
    <x v="4"/>
    <x v="3"/>
    <n v="101.22"/>
    <x v="4"/>
    <n v="3097.91"/>
    <n v="313570.45019999996"/>
    <s v="Over Budget"/>
    <s v="OK"/>
  </r>
  <r>
    <s v="ITEM-0218"/>
    <x v="0"/>
    <x v="4"/>
    <n v="160.66"/>
    <x v="3"/>
    <n v="2711.98"/>
    <n v="435706.70679999999"/>
    <s v="Over Budget"/>
    <s v="OK"/>
  </r>
  <r>
    <s v="ITEM-0219"/>
    <x v="2"/>
    <x v="2"/>
    <n v="258.07"/>
    <x v="0"/>
    <n v="4840.43"/>
    <n v="1249169.7701000001"/>
    <s v="Over Budget"/>
    <s v="OK"/>
  </r>
  <r>
    <s v="ITEM-0220"/>
    <x v="5"/>
    <x v="2"/>
    <n v="300.08"/>
    <x v="3"/>
    <n v="3730.87"/>
    <n v="1119559.4696"/>
    <s v="Over Budget"/>
    <s v="OK"/>
  </r>
  <r>
    <s v="ITEM-0221"/>
    <x v="4"/>
    <x v="1"/>
    <n v="153.13999999999999"/>
    <x v="2"/>
    <n v="2916.47"/>
    <n v="446628.21579999995"/>
    <s v="Over Budget"/>
    <s v="OK"/>
  </r>
  <r>
    <s v="ITEM-0222"/>
    <x v="7"/>
    <x v="0"/>
    <n v="120.79"/>
    <x v="3"/>
    <n v="4684.88"/>
    <n v="565886.65520000004"/>
    <s v="Over Budget"/>
    <s v="OK"/>
  </r>
  <r>
    <s v="ITEM-0223"/>
    <x v="5"/>
    <x v="2"/>
    <n v="370.3"/>
    <x v="2"/>
    <n v="4595.0200000000004"/>
    <n v="1701535.9060000002"/>
    <s v="Over Budget"/>
    <s v="OK"/>
  </r>
  <r>
    <s v="ITEM-0224"/>
    <x v="5"/>
    <x v="3"/>
    <n v="189.17"/>
    <x v="3"/>
    <n v="2334.15"/>
    <n v="441551.15549999999"/>
    <s v="Over Budget"/>
    <s v="OK"/>
  </r>
  <r>
    <s v="ITEM-0225"/>
    <x v="9"/>
    <x v="0"/>
    <n v="194.86"/>
    <x v="4"/>
    <n v="2089.02"/>
    <n v="407066.43720000004"/>
    <s v="Over Budget"/>
    <s v="OK"/>
  </r>
  <r>
    <s v="ITEM-0226"/>
    <x v="4"/>
    <x v="0"/>
    <n v="386.09"/>
    <x v="1"/>
    <n v="3587.92"/>
    <n v="1385260.0327999999"/>
    <s v="Over Budget"/>
    <s v="OK"/>
  </r>
  <r>
    <s v="ITEM-0227"/>
    <x v="1"/>
    <x v="2"/>
    <n v="31.67"/>
    <x v="0"/>
    <n v="721.31"/>
    <n v="22843.887699999999"/>
    <s v="OK"/>
    <s v="OK"/>
  </r>
  <r>
    <s v="ITEM-0228"/>
    <x v="2"/>
    <x v="2"/>
    <n v="404.4"/>
    <x v="4"/>
    <n v="2912.73"/>
    <n v="1177908.0119999999"/>
    <s v="Over Budget"/>
    <s v="OK"/>
  </r>
  <r>
    <s v="ITEM-0229"/>
    <x v="8"/>
    <x v="4"/>
    <n v="224.99"/>
    <x v="2"/>
    <n v="2797.53"/>
    <n v="629416.27470000007"/>
    <s v="Over Budget"/>
    <s v="OK"/>
  </r>
  <r>
    <s v="ITEM-0230"/>
    <x v="3"/>
    <x v="2"/>
    <n v="342.98"/>
    <x v="2"/>
    <n v="3568.43"/>
    <n v="1223900.1214000001"/>
    <s v="Over Budget"/>
    <s v="OK"/>
  </r>
  <r>
    <s v="ITEM-0231"/>
    <x v="6"/>
    <x v="2"/>
    <n v="444.9"/>
    <x v="2"/>
    <n v="4344.8100000000004"/>
    <n v="1933005.969"/>
    <s v="Over Budget"/>
    <s v="OK"/>
  </r>
  <r>
    <s v="ITEM-0232"/>
    <x v="9"/>
    <x v="3"/>
    <n v="50.73"/>
    <x v="2"/>
    <n v="924.2"/>
    <n v="46884.665999999997"/>
    <s v="OK"/>
    <s v="OK"/>
  </r>
  <r>
    <s v="ITEM-0233"/>
    <x v="9"/>
    <x v="0"/>
    <n v="416.91"/>
    <x v="2"/>
    <n v="2090.87"/>
    <n v="871704.61170000001"/>
    <s v="Over Budget"/>
    <s v="OK"/>
  </r>
  <r>
    <s v="ITEM-0234"/>
    <x v="5"/>
    <x v="1"/>
    <n v="495.63"/>
    <x v="3"/>
    <n v="4956.42"/>
    <n v="2456550.4446"/>
    <s v="Over Budget"/>
    <s v="OK"/>
  </r>
  <r>
    <s v="ITEM-0235"/>
    <x v="6"/>
    <x v="3"/>
    <n v="29.36"/>
    <x v="4"/>
    <n v="2667.56"/>
    <n v="78319.561600000001"/>
    <s v="OK"/>
    <s v="OK"/>
  </r>
  <r>
    <s v="ITEM-0236"/>
    <x v="8"/>
    <x v="4"/>
    <n v="291.83"/>
    <x v="4"/>
    <n v="2280.9499999999998"/>
    <n v="665649.63849999988"/>
    <s v="Over Budget"/>
    <s v="OK"/>
  </r>
  <r>
    <s v="ITEM-0237"/>
    <x v="1"/>
    <x v="1"/>
    <n v="230.53"/>
    <x v="3"/>
    <n v="426.76"/>
    <n v="98380.982799999998"/>
    <s v="OK"/>
    <s v="OK"/>
  </r>
  <r>
    <s v="ITEM-0238"/>
    <x v="9"/>
    <x v="0"/>
    <n v="235.66"/>
    <x v="0"/>
    <n v="116.26"/>
    <n v="27397.831600000001"/>
    <s v="OK"/>
    <s v="OK"/>
  </r>
  <r>
    <s v="ITEM-0239"/>
    <x v="0"/>
    <x v="3"/>
    <n v="60.9"/>
    <x v="2"/>
    <n v="4758.16"/>
    <n v="289771.94399999996"/>
    <s v="Over Budget"/>
    <s v="OK"/>
  </r>
  <r>
    <s v="ITEM-0240"/>
    <x v="9"/>
    <x v="2"/>
    <n v="26.08"/>
    <x v="4"/>
    <n v="203.58"/>
    <n v="5309.3663999999999"/>
    <s v="OK"/>
    <s v="OK"/>
  </r>
  <r>
    <s v="ITEM-0241"/>
    <x v="6"/>
    <x v="3"/>
    <n v="94.32"/>
    <x v="0"/>
    <n v="3718.98"/>
    <n v="350774.1936"/>
    <s v="Over Budget"/>
    <s v="OK"/>
  </r>
  <r>
    <s v="ITEM-0242"/>
    <x v="9"/>
    <x v="2"/>
    <n v="348.3"/>
    <x v="3"/>
    <n v="3908.35"/>
    <n v="1361278.3049999999"/>
    <s v="Over Budget"/>
    <s v="OK"/>
  </r>
  <r>
    <s v="ITEM-0243"/>
    <x v="8"/>
    <x v="2"/>
    <n v="350.5"/>
    <x v="0"/>
    <n v="4757.37"/>
    <n v="1667458.1850000001"/>
    <s v="Over Budget"/>
    <s v="OK"/>
  </r>
  <r>
    <s v="ITEM-0244"/>
    <x v="6"/>
    <x v="2"/>
    <n v="191.76"/>
    <x v="2"/>
    <n v="959.01"/>
    <n v="183899.75759999998"/>
    <s v="Over Budget"/>
    <s v="OK"/>
  </r>
  <r>
    <s v="ITEM-0245"/>
    <x v="9"/>
    <x v="1"/>
    <n v="416.25"/>
    <x v="2"/>
    <n v="4633.7700000000004"/>
    <n v="1928806.7625000002"/>
    <s v="Over Budget"/>
    <s v="OK"/>
  </r>
  <r>
    <s v="ITEM-0246"/>
    <x v="9"/>
    <x v="4"/>
    <n v="336.92"/>
    <x v="1"/>
    <n v="3190.51"/>
    <n v="1074946.6292000001"/>
    <s v="Over Budget"/>
    <s v="OK"/>
  </r>
  <r>
    <s v="ITEM-0247"/>
    <x v="4"/>
    <x v="3"/>
    <n v="99.67"/>
    <x v="0"/>
    <n v="4841.07"/>
    <n v="482509.44689999998"/>
    <s v="Over Budget"/>
    <s v="OK"/>
  </r>
  <r>
    <s v="ITEM-0248"/>
    <x v="4"/>
    <x v="0"/>
    <n v="453.79"/>
    <x v="1"/>
    <n v="444.94"/>
    <n v="201909.32260000001"/>
    <s v="Over Budget"/>
    <s v="OK"/>
  </r>
  <r>
    <s v="ITEM-0249"/>
    <x v="4"/>
    <x v="3"/>
    <n v="182.36"/>
    <x v="4"/>
    <n v="1875.36"/>
    <n v="341990.6496"/>
    <s v="Over Budget"/>
    <s v="OK"/>
  </r>
  <r>
    <s v="ITEM-0250"/>
    <x v="1"/>
    <x v="1"/>
    <n v="77.08"/>
    <x v="1"/>
    <n v="3459.4"/>
    <n v="266650.55200000003"/>
    <s v="Over Budget"/>
    <s v="OK"/>
  </r>
  <r>
    <s v="ITEM-0251"/>
    <x v="7"/>
    <x v="2"/>
    <n v="69.53"/>
    <x v="3"/>
    <n v="2180.87"/>
    <n v="151635.89110000001"/>
    <s v="Over Budget"/>
    <s v="OK"/>
  </r>
  <r>
    <s v="ITEM-0252"/>
    <x v="9"/>
    <x v="1"/>
    <n v="428.19"/>
    <x v="4"/>
    <n v="2835.67"/>
    <n v="1214205.5373"/>
    <s v="Over Budget"/>
    <s v="OK"/>
  </r>
  <r>
    <s v="ITEM-0253"/>
    <x v="6"/>
    <x v="0"/>
    <n v="341.44"/>
    <x v="1"/>
    <n v="868.58"/>
    <n v="296567.95520000003"/>
    <s v="Over Budget"/>
    <s v="OK"/>
  </r>
  <r>
    <s v="ITEM-0254"/>
    <x v="0"/>
    <x v="0"/>
    <n v="180.57"/>
    <x v="2"/>
    <n v="3744.7"/>
    <n v="676180.47899999993"/>
    <s v="Over Budget"/>
    <s v="OK"/>
  </r>
  <r>
    <s v="ITEM-0255"/>
    <x v="9"/>
    <x v="2"/>
    <n v="205.23"/>
    <x v="1"/>
    <n v="2143.94"/>
    <n v="440000.80619999999"/>
    <s v="Over Budget"/>
    <s v="OK"/>
  </r>
  <r>
    <s v="ITEM-0256"/>
    <x v="6"/>
    <x v="0"/>
    <n v="130.19"/>
    <x v="1"/>
    <n v="2242.23"/>
    <n v="291915.92369999998"/>
    <s v="Over Budget"/>
    <s v="OK"/>
  </r>
  <r>
    <s v="ITEM-0257"/>
    <x v="7"/>
    <x v="2"/>
    <n v="8.76"/>
    <x v="2"/>
    <n v="1163.96"/>
    <n v="10196.2896"/>
    <s v="OK"/>
    <s v="OK"/>
  </r>
  <r>
    <s v="ITEM-0258"/>
    <x v="7"/>
    <x v="1"/>
    <n v="74.5"/>
    <x v="1"/>
    <n v="863.62"/>
    <n v="64339.69"/>
    <s v="OK"/>
    <s v="OK"/>
  </r>
  <r>
    <s v="ITEM-0259"/>
    <x v="8"/>
    <x v="1"/>
    <n v="100.25"/>
    <x v="3"/>
    <n v="2807.22"/>
    <n v="281423.80499999999"/>
    <s v="Over Budget"/>
    <s v="OK"/>
  </r>
  <r>
    <s v="ITEM-0260"/>
    <x v="4"/>
    <x v="2"/>
    <n v="60.26"/>
    <x v="3"/>
    <n v="2558.87"/>
    <n v="154197.50619999997"/>
    <s v="Over Budget"/>
    <s v="OK"/>
  </r>
  <r>
    <s v="ITEM-0261"/>
    <x v="5"/>
    <x v="3"/>
    <n v="135.55000000000001"/>
    <x v="0"/>
    <n v="4676.67"/>
    <n v="633922.6185000001"/>
    <s v="Over Budget"/>
    <s v="OK"/>
  </r>
  <r>
    <s v="ITEM-0262"/>
    <x v="5"/>
    <x v="2"/>
    <n v="366.15"/>
    <x v="4"/>
    <n v="4138.67"/>
    <n v="1515374.0204999999"/>
    <s v="Over Budget"/>
    <s v="OK"/>
  </r>
  <r>
    <s v="ITEM-0263"/>
    <x v="2"/>
    <x v="3"/>
    <n v="89.61"/>
    <x v="1"/>
    <n v="2085.12"/>
    <n v="186847.60319999998"/>
    <s v="Over Budget"/>
    <s v="OK"/>
  </r>
  <r>
    <s v="ITEM-0264"/>
    <x v="2"/>
    <x v="4"/>
    <n v="80.900000000000006"/>
    <x v="1"/>
    <n v="64.67"/>
    <n v="5231.8030000000008"/>
    <s v="OK"/>
    <s v="OK"/>
  </r>
  <r>
    <s v="ITEM-0265"/>
    <x v="8"/>
    <x v="0"/>
    <n v="469.64"/>
    <x v="3"/>
    <n v="2289.77"/>
    <n v="1075367.5828"/>
    <s v="Over Budget"/>
    <s v="OK"/>
  </r>
  <r>
    <s v="ITEM-0266"/>
    <x v="9"/>
    <x v="4"/>
    <n v="454.46"/>
    <x v="3"/>
    <n v="3669.81"/>
    <n v="1667781.8525999999"/>
    <s v="Over Budget"/>
    <s v="OK"/>
  </r>
  <r>
    <s v="ITEM-0267"/>
    <x v="7"/>
    <x v="1"/>
    <n v="221.86"/>
    <x v="2"/>
    <n v="1444.72"/>
    <n v="320525.57920000004"/>
    <s v="Over Budget"/>
    <s v="OK"/>
  </r>
  <r>
    <s v="ITEM-0268"/>
    <x v="7"/>
    <x v="1"/>
    <n v="259.04000000000002"/>
    <x v="2"/>
    <n v="748.34"/>
    <n v="193849.99360000002"/>
    <s v="Over Budget"/>
    <s v="OK"/>
  </r>
  <r>
    <s v="ITEM-0269"/>
    <x v="6"/>
    <x v="3"/>
    <n v="333.2"/>
    <x v="3"/>
    <n v="1313.91"/>
    <n v="437794.81200000003"/>
    <s v="Over Budget"/>
    <s v="OK"/>
  </r>
  <r>
    <s v="ITEM-0270"/>
    <x v="4"/>
    <x v="3"/>
    <n v="203.23"/>
    <x v="2"/>
    <n v="3424.79"/>
    <n v="696020.07169999997"/>
    <s v="Over Budget"/>
    <s v="OK"/>
  </r>
  <r>
    <s v="ITEM-0271"/>
    <x v="0"/>
    <x v="0"/>
    <n v="455.78"/>
    <x v="0"/>
    <n v="4986.17"/>
    <n v="2272596.5625999998"/>
    <s v="Over Budget"/>
    <s v="OK"/>
  </r>
  <r>
    <s v="ITEM-0272"/>
    <x v="5"/>
    <x v="1"/>
    <n v="104.54"/>
    <x v="2"/>
    <n v="4381.3100000000004"/>
    <n v="458022.14740000007"/>
    <s v="Over Budget"/>
    <s v="OK"/>
  </r>
  <r>
    <s v="ITEM-0273"/>
    <x v="8"/>
    <x v="4"/>
    <n v="128.78"/>
    <x v="2"/>
    <n v="4533.8500000000004"/>
    <n v="583869.2030000001"/>
    <s v="Over Budget"/>
    <s v="OK"/>
  </r>
  <r>
    <s v="ITEM-0274"/>
    <x v="1"/>
    <x v="0"/>
    <n v="480.83"/>
    <x v="3"/>
    <n v="3889.14"/>
    <n v="1870015.1861999999"/>
    <s v="Over Budget"/>
    <s v="OK"/>
  </r>
  <r>
    <s v="ITEM-0275"/>
    <x v="0"/>
    <x v="2"/>
    <n v="43.03"/>
    <x v="3"/>
    <n v="809.6"/>
    <n v="34837.088000000003"/>
    <s v="OK"/>
    <s v="OK"/>
  </r>
  <r>
    <s v="ITEM-0276"/>
    <x v="2"/>
    <x v="1"/>
    <n v="189.74"/>
    <x v="0"/>
    <n v="1567.35"/>
    <n v="297388.989"/>
    <s v="Over Budget"/>
    <s v="OK"/>
  </r>
  <r>
    <s v="ITEM-0277"/>
    <x v="4"/>
    <x v="4"/>
    <n v="216.08"/>
    <x v="1"/>
    <n v="615.08000000000004"/>
    <n v="132906.48640000002"/>
    <s v="Over Budget"/>
    <s v="OK"/>
  </r>
  <r>
    <s v="ITEM-0278"/>
    <x v="6"/>
    <x v="2"/>
    <n v="367.04"/>
    <x v="4"/>
    <n v="64.41"/>
    <n v="23641.046399999999"/>
    <s v="OK"/>
    <s v="OK"/>
  </r>
  <r>
    <s v="ITEM-0279"/>
    <x v="1"/>
    <x v="3"/>
    <n v="385.86"/>
    <x v="1"/>
    <n v="1882.21"/>
    <n v="726269.55060000008"/>
    <s v="Over Budget"/>
    <s v="OK"/>
  </r>
  <r>
    <s v="ITEM-0280"/>
    <x v="3"/>
    <x v="0"/>
    <n v="383.68"/>
    <x v="0"/>
    <n v="2638.89"/>
    <n v="1012489.3152"/>
    <s v="Over Budget"/>
    <s v="OK"/>
  </r>
  <r>
    <s v="ITEM-0281"/>
    <x v="3"/>
    <x v="0"/>
    <n v="31.39"/>
    <x v="2"/>
    <n v="3319.81"/>
    <n v="104208.83590000001"/>
    <s v="Over Budget"/>
    <s v="OK"/>
  </r>
  <r>
    <s v="ITEM-0282"/>
    <x v="2"/>
    <x v="1"/>
    <n v="356.78"/>
    <x v="0"/>
    <n v="3272.4"/>
    <n v="1167526.872"/>
    <s v="Over Budget"/>
    <s v="OK"/>
  </r>
  <r>
    <s v="ITEM-0283"/>
    <x v="5"/>
    <x v="0"/>
    <n v="210.64"/>
    <x v="2"/>
    <n v="823.96"/>
    <n v="173558.9344"/>
    <s v="Over Budget"/>
    <s v="OK"/>
  </r>
  <r>
    <s v="ITEM-0284"/>
    <x v="4"/>
    <x v="3"/>
    <n v="247.58"/>
    <x v="1"/>
    <n v="1184.74"/>
    <n v="293317.92920000001"/>
    <s v="Over Budget"/>
    <s v="OK"/>
  </r>
  <r>
    <s v="ITEM-0285"/>
    <x v="3"/>
    <x v="1"/>
    <n v="265.58"/>
    <x v="3"/>
    <n v="486.8"/>
    <n v="129284.344"/>
    <s v="Over Budget"/>
    <s v="OK"/>
  </r>
  <r>
    <s v="ITEM-0286"/>
    <x v="8"/>
    <x v="1"/>
    <n v="216.81"/>
    <x v="1"/>
    <n v="276.12"/>
    <n v="59865.5772"/>
    <s v="OK"/>
    <s v="OK"/>
  </r>
  <r>
    <s v="ITEM-0287"/>
    <x v="0"/>
    <x v="3"/>
    <n v="248.76"/>
    <x v="4"/>
    <n v="4599.72"/>
    <n v="1144226.3472"/>
    <s v="Over Budget"/>
    <s v="OK"/>
  </r>
  <r>
    <s v="ITEM-0288"/>
    <x v="1"/>
    <x v="4"/>
    <n v="53.94"/>
    <x v="3"/>
    <n v="4938.09"/>
    <n v="266360.57459999999"/>
    <s v="Over Budget"/>
    <s v="OK"/>
  </r>
  <r>
    <s v="ITEM-0289"/>
    <x v="5"/>
    <x v="0"/>
    <n v="172.54"/>
    <x v="1"/>
    <n v="2273.4699999999998"/>
    <n v="392264.51379999996"/>
    <s v="Over Budget"/>
    <s v="OK"/>
  </r>
  <r>
    <s v="ITEM-0290"/>
    <x v="2"/>
    <x v="1"/>
    <n v="357.45"/>
    <x v="2"/>
    <n v="2893.46"/>
    <n v="1034267.277"/>
    <s v="Over Budget"/>
    <s v="OK"/>
  </r>
  <r>
    <s v="ITEM-0291"/>
    <x v="6"/>
    <x v="4"/>
    <n v="13.01"/>
    <x v="1"/>
    <n v="2158.52"/>
    <n v="28082.3452"/>
    <s v="OK"/>
    <s v="OK"/>
  </r>
  <r>
    <s v="ITEM-0292"/>
    <x v="0"/>
    <x v="0"/>
    <n v="181.64"/>
    <x v="4"/>
    <n v="4300.55"/>
    <n v="781151.902"/>
    <s v="Over Budget"/>
    <s v="OK"/>
  </r>
  <r>
    <s v="ITEM-0293"/>
    <x v="9"/>
    <x v="3"/>
    <n v="18.510000000000002"/>
    <x v="3"/>
    <n v="936.19"/>
    <n v="17328.876900000003"/>
    <s v="OK"/>
    <s v="OK"/>
  </r>
  <r>
    <s v="ITEM-0294"/>
    <x v="7"/>
    <x v="0"/>
    <n v="365.65"/>
    <x v="3"/>
    <n v="4332.51"/>
    <n v="1584182.2815"/>
    <s v="Over Budget"/>
    <s v="OK"/>
  </r>
  <r>
    <s v="ITEM-0295"/>
    <x v="2"/>
    <x v="4"/>
    <n v="65.569999999999993"/>
    <x v="3"/>
    <n v="4553.12"/>
    <n v="298548.07839999994"/>
    <s v="Over Budget"/>
    <s v="OK"/>
  </r>
  <r>
    <s v="ITEM-0296"/>
    <x v="7"/>
    <x v="2"/>
    <n v="247.04"/>
    <x v="2"/>
    <n v="1542.77"/>
    <n v="381125.9008"/>
    <s v="Over Budget"/>
    <s v="OK"/>
  </r>
  <r>
    <s v="ITEM-0297"/>
    <x v="9"/>
    <x v="0"/>
    <n v="203.58"/>
    <x v="2"/>
    <n v="3460.32"/>
    <n v="704451.94560000009"/>
    <s v="Over Budget"/>
    <s v="OK"/>
  </r>
  <r>
    <s v="ITEM-0298"/>
    <x v="8"/>
    <x v="4"/>
    <n v="259.12"/>
    <x v="3"/>
    <n v="4099.7700000000004"/>
    <n v="1062332.4024"/>
    <s v="Over Budget"/>
    <s v="OK"/>
  </r>
  <r>
    <s v="ITEM-0299"/>
    <x v="8"/>
    <x v="1"/>
    <n v="413.73"/>
    <x v="3"/>
    <n v="4602.45"/>
    <n v="1904171.6385000001"/>
    <s v="Over Budget"/>
    <s v="OK"/>
  </r>
  <r>
    <s v="ITEM-0300"/>
    <x v="8"/>
    <x v="2"/>
    <n v="355.28"/>
    <x v="0"/>
    <n v="1737.11"/>
    <n v="617160.44079999987"/>
    <s v="Over Budget"/>
    <s v="OK"/>
  </r>
  <r>
    <s v="ITEM-0301"/>
    <x v="6"/>
    <x v="2"/>
    <n v="117.41"/>
    <x v="0"/>
    <n v="4433.99"/>
    <n v="520594.76589999994"/>
    <s v="Over Budget"/>
    <s v="OK"/>
  </r>
  <r>
    <s v="ITEM-0302"/>
    <x v="6"/>
    <x v="2"/>
    <n v="231.17"/>
    <x v="3"/>
    <n v="2232.48"/>
    <n v="516082.40159999998"/>
    <s v="Over Budget"/>
    <s v="OK"/>
  </r>
  <r>
    <s v="ITEM-0303"/>
    <x v="7"/>
    <x v="1"/>
    <n v="270.43"/>
    <x v="3"/>
    <n v="3194.67"/>
    <n v="863934.60810000007"/>
    <s v="Over Budget"/>
    <s v="OK"/>
  </r>
  <r>
    <s v="ITEM-0304"/>
    <x v="2"/>
    <x v="0"/>
    <n v="444.2"/>
    <x v="1"/>
    <n v="975.71"/>
    <n v="433410.38199999998"/>
    <s v="Over Budget"/>
    <s v="OK"/>
  </r>
  <r>
    <s v="ITEM-0305"/>
    <x v="1"/>
    <x v="4"/>
    <n v="468.35"/>
    <x v="3"/>
    <n v="2423.1"/>
    <n v="1134858.885"/>
    <s v="Over Budget"/>
    <s v="OK"/>
  </r>
  <r>
    <s v="ITEM-0306"/>
    <x v="4"/>
    <x v="1"/>
    <n v="254.08"/>
    <x v="2"/>
    <n v="2219.25"/>
    <n v="563867.04"/>
    <s v="Over Budget"/>
    <s v="OK"/>
  </r>
  <r>
    <s v="ITEM-0307"/>
    <x v="5"/>
    <x v="3"/>
    <n v="493.4"/>
    <x v="2"/>
    <n v="1304.24"/>
    <n v="643512.01599999995"/>
    <s v="Over Budget"/>
    <s v="OK"/>
  </r>
  <r>
    <s v="ITEM-0308"/>
    <x v="6"/>
    <x v="3"/>
    <n v="210.13"/>
    <x v="0"/>
    <n v="2724.44"/>
    <n v="572486.57719999994"/>
    <s v="Over Budget"/>
    <s v="OK"/>
  </r>
  <r>
    <s v="ITEM-0309"/>
    <x v="5"/>
    <x v="0"/>
    <n v="220.59"/>
    <x v="4"/>
    <n v="2391.58"/>
    <n v="527558.63219999999"/>
    <s v="Over Budget"/>
    <s v="OK"/>
  </r>
  <r>
    <s v="ITEM-0310"/>
    <x v="8"/>
    <x v="0"/>
    <n v="477.5"/>
    <x v="2"/>
    <n v="2147.16"/>
    <n v="1025268.8999999999"/>
    <s v="Over Budget"/>
    <s v="OK"/>
  </r>
  <r>
    <s v="ITEM-0311"/>
    <x v="0"/>
    <x v="0"/>
    <n v="64.430000000000007"/>
    <x v="2"/>
    <n v="460.81"/>
    <n v="29689.988300000005"/>
    <s v="OK"/>
    <s v="OK"/>
  </r>
  <r>
    <s v="ITEM-0312"/>
    <x v="4"/>
    <x v="3"/>
    <n v="326.62"/>
    <x v="3"/>
    <n v="2816"/>
    <n v="919761.92000000004"/>
    <s v="Over Budget"/>
    <s v="OK"/>
  </r>
  <r>
    <s v="ITEM-0313"/>
    <x v="0"/>
    <x v="3"/>
    <n v="347.28"/>
    <x v="1"/>
    <n v="2457.66"/>
    <n v="853496.16479999991"/>
    <s v="Over Budget"/>
    <s v="OK"/>
  </r>
  <r>
    <s v="ITEM-0314"/>
    <x v="0"/>
    <x v="0"/>
    <n v="261.76"/>
    <x v="0"/>
    <n v="283.88"/>
    <n v="74308.428799999994"/>
    <s v="OK"/>
    <s v="OK"/>
  </r>
  <r>
    <s v="ITEM-0315"/>
    <x v="3"/>
    <x v="3"/>
    <n v="267.44"/>
    <x v="4"/>
    <n v="3132.75"/>
    <n v="837822.66"/>
    <s v="Over Budget"/>
    <s v="OK"/>
  </r>
  <r>
    <s v="ITEM-0316"/>
    <x v="8"/>
    <x v="0"/>
    <n v="22.38"/>
    <x v="0"/>
    <n v="4070.74"/>
    <n v="91103.161199999988"/>
    <s v="OK"/>
    <s v="OK"/>
  </r>
  <r>
    <s v="ITEM-0317"/>
    <x v="0"/>
    <x v="4"/>
    <n v="199.35"/>
    <x v="1"/>
    <n v="3892.24"/>
    <n v="775918.04399999988"/>
    <s v="Over Budget"/>
    <s v="OK"/>
  </r>
  <r>
    <s v="ITEM-0318"/>
    <x v="6"/>
    <x v="1"/>
    <n v="149.76"/>
    <x v="4"/>
    <n v="4469.58"/>
    <n v="669364.30079999997"/>
    <s v="Over Budget"/>
    <s v="OK"/>
  </r>
  <r>
    <s v="ITEM-0319"/>
    <x v="0"/>
    <x v="4"/>
    <n v="208.96"/>
    <x v="3"/>
    <n v="3634.07"/>
    <n v="759375.26720000012"/>
    <s v="Over Budget"/>
    <s v="OK"/>
  </r>
  <r>
    <s v="ITEM-0320"/>
    <x v="5"/>
    <x v="3"/>
    <n v="283.91000000000003"/>
    <x v="1"/>
    <n v="2257.9"/>
    <n v="641040.38900000008"/>
    <s v="Over Budget"/>
    <s v="OK"/>
  </r>
  <r>
    <s v="ITEM-0321"/>
    <x v="2"/>
    <x v="3"/>
    <n v="482.66"/>
    <x v="4"/>
    <n v="1751.61"/>
    <n v="845432.08259999997"/>
    <s v="Over Budget"/>
    <s v="OK"/>
  </r>
  <r>
    <s v="ITEM-0322"/>
    <x v="8"/>
    <x v="2"/>
    <n v="259.87"/>
    <x v="1"/>
    <n v="1831.83"/>
    <n v="476037.66210000002"/>
    <s v="Over Budget"/>
    <s v="OK"/>
  </r>
  <r>
    <s v="ITEM-0323"/>
    <x v="5"/>
    <x v="1"/>
    <n v="206.12"/>
    <x v="3"/>
    <n v="1044.25"/>
    <n v="215240.81"/>
    <s v="Over Budget"/>
    <s v="OK"/>
  </r>
  <r>
    <s v="ITEM-0324"/>
    <x v="8"/>
    <x v="2"/>
    <n v="386.57"/>
    <x v="2"/>
    <n v="4292.33"/>
    <n v="1659286.0081"/>
    <s v="Over Budget"/>
    <s v="OK"/>
  </r>
  <r>
    <s v="ITEM-0325"/>
    <x v="3"/>
    <x v="2"/>
    <n v="405.2"/>
    <x v="0"/>
    <n v="264.69"/>
    <n v="107252.38799999999"/>
    <s v="Over Budget"/>
    <s v="OK"/>
  </r>
  <r>
    <s v="ITEM-0326"/>
    <x v="8"/>
    <x v="0"/>
    <n v="79.459999999999994"/>
    <x v="4"/>
    <n v="3557.43"/>
    <n v="282673.38779999997"/>
    <s v="Over Budget"/>
    <s v="OK"/>
  </r>
  <r>
    <s v="ITEM-0327"/>
    <x v="8"/>
    <x v="1"/>
    <n v="86.15"/>
    <x v="2"/>
    <n v="2789.12"/>
    <n v="240282.68799999999"/>
    <s v="Over Budget"/>
    <s v="OK"/>
  </r>
  <r>
    <s v="ITEM-0328"/>
    <x v="3"/>
    <x v="4"/>
    <n v="12.64"/>
    <x v="3"/>
    <n v="157.94999999999999"/>
    <n v="1996.4880000000001"/>
    <s v="OK"/>
    <s v="OK"/>
  </r>
  <r>
    <s v="ITEM-0329"/>
    <x v="1"/>
    <x v="0"/>
    <n v="433.63"/>
    <x v="3"/>
    <n v="2504.8000000000002"/>
    <n v="1086156.4240000001"/>
    <s v="Over Budget"/>
    <s v="OK"/>
  </r>
  <r>
    <s v="ITEM-0330"/>
    <x v="0"/>
    <x v="4"/>
    <n v="23.96"/>
    <x v="3"/>
    <n v="2507.17"/>
    <n v="60071.793200000007"/>
    <s v="OK"/>
    <s v="OK"/>
  </r>
  <r>
    <s v="ITEM-0331"/>
    <x v="0"/>
    <x v="2"/>
    <n v="138.44999999999999"/>
    <x v="0"/>
    <n v="1427.42"/>
    <n v="197626.299"/>
    <s v="Over Budget"/>
    <s v="OK"/>
  </r>
  <r>
    <s v="ITEM-0332"/>
    <x v="8"/>
    <x v="2"/>
    <n v="10.38"/>
    <x v="0"/>
    <n v="4661.63"/>
    <n v="48387.719400000002"/>
    <s v="OK"/>
    <s v="OK"/>
  </r>
  <r>
    <s v="ITEM-0333"/>
    <x v="0"/>
    <x v="2"/>
    <n v="487.46"/>
    <x v="4"/>
    <n v="3209.8"/>
    <n v="1564649.108"/>
    <s v="Over Budget"/>
    <s v="OK"/>
  </r>
  <r>
    <s v="ITEM-0334"/>
    <x v="6"/>
    <x v="3"/>
    <n v="97.09"/>
    <x v="2"/>
    <n v="100.73"/>
    <n v="9779.8757000000005"/>
    <s v="OK"/>
    <s v="OK"/>
  </r>
  <r>
    <s v="ITEM-0335"/>
    <x v="2"/>
    <x v="2"/>
    <n v="467.41"/>
    <x v="4"/>
    <n v="2815.79"/>
    <n v="1316128.4039"/>
    <s v="Over Budget"/>
    <s v="OK"/>
  </r>
  <r>
    <s v="ITEM-0336"/>
    <x v="2"/>
    <x v="4"/>
    <n v="149.47"/>
    <x v="1"/>
    <n v="4726.32"/>
    <n v="706443.05039999995"/>
    <s v="Over Budget"/>
    <s v="OK"/>
  </r>
  <r>
    <s v="ITEM-0337"/>
    <x v="6"/>
    <x v="0"/>
    <n v="394.47"/>
    <x v="0"/>
    <n v="2777.05"/>
    <n v="1095462.9135000003"/>
    <s v="Over Budget"/>
    <s v="OK"/>
  </r>
  <r>
    <s v="ITEM-0338"/>
    <x v="6"/>
    <x v="4"/>
    <n v="212.87"/>
    <x v="2"/>
    <n v="1801.79"/>
    <n v="383547.03730000003"/>
    <s v="Over Budget"/>
    <s v="OK"/>
  </r>
  <r>
    <s v="ITEM-0339"/>
    <x v="0"/>
    <x v="0"/>
    <n v="229.01"/>
    <x v="1"/>
    <n v="4242.96"/>
    <n v="971680.2696"/>
    <s v="Over Budget"/>
    <s v="OK"/>
  </r>
  <r>
    <s v="ITEM-0340"/>
    <x v="4"/>
    <x v="0"/>
    <n v="230.31"/>
    <x v="0"/>
    <n v="3376.83"/>
    <n v="777717.71730000002"/>
    <s v="Over Budget"/>
    <s v="OK"/>
  </r>
  <r>
    <s v="ITEM-0341"/>
    <x v="0"/>
    <x v="2"/>
    <n v="430.99"/>
    <x v="4"/>
    <n v="2220.61"/>
    <n v="957060.70390000008"/>
    <s v="Over Budget"/>
    <s v="OK"/>
  </r>
  <r>
    <s v="ITEM-0342"/>
    <x v="9"/>
    <x v="2"/>
    <n v="90.2"/>
    <x v="3"/>
    <n v="2851.48"/>
    <n v="257203.49600000001"/>
    <s v="Over Budget"/>
    <s v="OK"/>
  </r>
  <r>
    <s v="ITEM-0343"/>
    <x v="7"/>
    <x v="2"/>
    <n v="128.69999999999999"/>
    <x v="4"/>
    <n v="2094.19"/>
    <n v="269522.25299999997"/>
    <s v="Over Budget"/>
    <s v="OK"/>
  </r>
  <r>
    <s v="ITEM-0344"/>
    <x v="0"/>
    <x v="4"/>
    <n v="247.62"/>
    <x v="2"/>
    <n v="1096.6199999999999"/>
    <n v="271545.04439999996"/>
    <s v="Over Budget"/>
    <s v="OK"/>
  </r>
  <r>
    <s v="ITEM-0345"/>
    <x v="9"/>
    <x v="4"/>
    <n v="61.8"/>
    <x v="2"/>
    <n v="2354.37"/>
    <n v="145500.06599999999"/>
    <s v="Over Budget"/>
    <s v="OK"/>
  </r>
  <r>
    <s v="ITEM-0346"/>
    <x v="2"/>
    <x v="3"/>
    <n v="423.56"/>
    <x v="3"/>
    <n v="2078.04"/>
    <n v="880174.62239999999"/>
    <s v="Over Budget"/>
    <s v="OK"/>
  </r>
  <r>
    <s v="ITEM-0347"/>
    <x v="8"/>
    <x v="4"/>
    <n v="63.63"/>
    <x v="1"/>
    <n v="4472.82"/>
    <n v="284605.53659999999"/>
    <s v="Over Budget"/>
    <s v="OK"/>
  </r>
  <r>
    <s v="ITEM-0348"/>
    <x v="2"/>
    <x v="4"/>
    <n v="359"/>
    <x v="1"/>
    <n v="2987.06"/>
    <n v="1072354.54"/>
    <s v="Over Budget"/>
    <s v="OK"/>
  </r>
  <r>
    <s v="ITEM-0349"/>
    <x v="7"/>
    <x v="1"/>
    <n v="410.83"/>
    <x v="3"/>
    <n v="4176.29"/>
    <n v="1715745.2206999999"/>
    <s v="Over Budget"/>
    <s v="OK"/>
  </r>
  <r>
    <s v="ITEM-0350"/>
    <x v="1"/>
    <x v="4"/>
    <n v="162.74"/>
    <x v="0"/>
    <n v="2950.93"/>
    <n v="480234.34820000001"/>
    <s v="Over Budget"/>
    <s v="OK"/>
  </r>
  <r>
    <s v="ITEM-0351"/>
    <x v="5"/>
    <x v="3"/>
    <n v="364.38"/>
    <x v="2"/>
    <n v="500.95"/>
    <n v="182536.16099999999"/>
    <s v="Over Budget"/>
    <s v="OK"/>
  </r>
  <r>
    <s v="ITEM-0352"/>
    <x v="3"/>
    <x v="0"/>
    <n v="48.27"/>
    <x v="3"/>
    <n v="375.96"/>
    <n v="18147.589199999999"/>
    <s v="OK"/>
    <s v="OK"/>
  </r>
  <r>
    <s v="ITEM-0353"/>
    <x v="4"/>
    <x v="3"/>
    <n v="163.02000000000001"/>
    <x v="0"/>
    <n v="4555.3999999999996"/>
    <n v="742621.30799999996"/>
    <s v="Over Budget"/>
    <s v="OK"/>
  </r>
  <r>
    <s v="ITEM-0354"/>
    <x v="0"/>
    <x v="4"/>
    <n v="130.25"/>
    <x v="1"/>
    <n v="1683.86"/>
    <n v="219322.76499999998"/>
    <s v="Over Budget"/>
    <s v="OK"/>
  </r>
  <r>
    <s v="ITEM-0355"/>
    <x v="7"/>
    <x v="2"/>
    <n v="56.7"/>
    <x v="2"/>
    <n v="4021.11"/>
    <n v="227996.93700000001"/>
    <s v="Over Budget"/>
    <s v="OK"/>
  </r>
  <r>
    <s v="ITEM-0356"/>
    <x v="1"/>
    <x v="0"/>
    <n v="206.7"/>
    <x v="3"/>
    <n v="775.24"/>
    <n v="160242.10800000001"/>
    <s v="Over Budget"/>
    <s v="OK"/>
  </r>
  <r>
    <s v="ITEM-0357"/>
    <x v="6"/>
    <x v="4"/>
    <n v="394.47"/>
    <x v="0"/>
    <n v="2467.84"/>
    <n v="973488.84480000008"/>
    <s v="Over Budget"/>
    <s v="OK"/>
  </r>
  <r>
    <s v="ITEM-0358"/>
    <x v="0"/>
    <x v="2"/>
    <n v="201.42"/>
    <x v="4"/>
    <n v="2621.42"/>
    <n v="528006.41639999999"/>
    <s v="Over Budget"/>
    <s v="OK"/>
  </r>
  <r>
    <s v="ITEM-0359"/>
    <x v="7"/>
    <x v="2"/>
    <n v="457.94"/>
    <x v="4"/>
    <n v="1390.94"/>
    <n v="636967.06359999999"/>
    <s v="Over Budget"/>
    <s v="OK"/>
  </r>
  <r>
    <s v="ITEM-0360"/>
    <x v="0"/>
    <x v="0"/>
    <n v="33.130000000000003"/>
    <x v="2"/>
    <n v="854.69"/>
    <n v="28315.879700000005"/>
    <s v="OK"/>
    <s v="OK"/>
  </r>
  <r>
    <s v="ITEM-0361"/>
    <x v="4"/>
    <x v="0"/>
    <n v="350.22"/>
    <x v="4"/>
    <n v="3886.29"/>
    <n v="1361056.4838"/>
    <s v="Over Budget"/>
    <s v="OK"/>
  </r>
  <r>
    <s v="ITEM-0362"/>
    <x v="8"/>
    <x v="1"/>
    <n v="425.9"/>
    <x v="3"/>
    <n v="918.39"/>
    <n v="391142.30099999998"/>
    <s v="Over Budget"/>
    <s v="OK"/>
  </r>
  <r>
    <s v="ITEM-0363"/>
    <x v="3"/>
    <x v="2"/>
    <n v="443.76"/>
    <x v="0"/>
    <n v="1791.56"/>
    <n v="795022.66559999995"/>
    <s v="Over Budget"/>
    <s v="OK"/>
  </r>
  <r>
    <s v="ITEM-0364"/>
    <x v="3"/>
    <x v="2"/>
    <n v="348.93"/>
    <x v="4"/>
    <n v="1804.75"/>
    <n v="629731.41749999998"/>
    <s v="Over Budget"/>
    <s v="OK"/>
  </r>
  <r>
    <s v="ITEM-0365"/>
    <x v="3"/>
    <x v="1"/>
    <n v="409.27"/>
    <x v="4"/>
    <n v="3602.03"/>
    <n v="1474202.8181"/>
    <s v="Over Budget"/>
    <s v="OK"/>
  </r>
  <r>
    <s v="ITEM-0366"/>
    <x v="5"/>
    <x v="1"/>
    <n v="37.76"/>
    <x v="1"/>
    <n v="1505.29"/>
    <n v="56839.750399999997"/>
    <s v="OK"/>
    <s v="OK"/>
  </r>
  <r>
    <s v="ITEM-0367"/>
    <x v="6"/>
    <x v="1"/>
    <n v="49.9"/>
    <x v="1"/>
    <n v="2935.61"/>
    <n v="146486.93900000001"/>
    <s v="Over Budget"/>
    <s v="OK"/>
  </r>
  <r>
    <s v="ITEM-0368"/>
    <x v="8"/>
    <x v="4"/>
    <n v="3.25"/>
    <x v="4"/>
    <n v="3462.25"/>
    <n v="11252.3125"/>
    <s v="OK"/>
    <s v="OK"/>
  </r>
  <r>
    <s v="ITEM-0369"/>
    <x v="7"/>
    <x v="0"/>
    <n v="301.02"/>
    <x v="1"/>
    <n v="3566.65"/>
    <n v="1073632.983"/>
    <s v="Over Budget"/>
    <s v="OK"/>
  </r>
  <r>
    <s v="ITEM-0370"/>
    <x v="3"/>
    <x v="4"/>
    <n v="179.73"/>
    <x v="1"/>
    <n v="758.06"/>
    <n v="136246.12379999997"/>
    <s v="Over Budget"/>
    <s v="OK"/>
  </r>
  <r>
    <s v="ITEM-0371"/>
    <x v="9"/>
    <x v="2"/>
    <n v="473.39"/>
    <x v="1"/>
    <n v="4000.26"/>
    <n v="1893683.0814"/>
    <s v="Over Budget"/>
    <s v="OK"/>
  </r>
  <r>
    <s v="ITEM-0372"/>
    <x v="1"/>
    <x v="1"/>
    <n v="328.16"/>
    <x v="2"/>
    <n v="2990.72"/>
    <n v="981434.67520000006"/>
    <s v="Over Budget"/>
    <s v="OK"/>
  </r>
  <r>
    <s v="ITEM-0373"/>
    <x v="7"/>
    <x v="2"/>
    <n v="237.47"/>
    <x v="2"/>
    <n v="2731.03"/>
    <n v="648537.69410000008"/>
    <s v="Over Budget"/>
    <s v="OK"/>
  </r>
  <r>
    <s v="ITEM-0374"/>
    <x v="8"/>
    <x v="2"/>
    <n v="426.29"/>
    <x v="1"/>
    <n v="2296.77"/>
    <n v="979090.08330000006"/>
    <s v="Over Budget"/>
    <s v="OK"/>
  </r>
  <r>
    <s v="ITEM-0375"/>
    <x v="0"/>
    <x v="4"/>
    <n v="140.91999999999999"/>
    <x v="0"/>
    <n v="2245.0100000000002"/>
    <n v="316366.80920000002"/>
    <s v="Over Budget"/>
    <s v="OK"/>
  </r>
  <r>
    <s v="ITEM-0376"/>
    <x v="4"/>
    <x v="1"/>
    <n v="43.62"/>
    <x v="0"/>
    <n v="4259.2700000000004"/>
    <n v="185789.35740000001"/>
    <s v="Over Budget"/>
    <s v="OK"/>
  </r>
  <r>
    <s v="ITEM-0377"/>
    <x v="8"/>
    <x v="1"/>
    <n v="139.59"/>
    <x v="4"/>
    <n v="4843.99"/>
    <n v="676172.56409999996"/>
    <s v="Over Budget"/>
    <s v="OK"/>
  </r>
  <r>
    <s v="ITEM-0378"/>
    <x v="5"/>
    <x v="4"/>
    <n v="259.77"/>
    <x v="3"/>
    <n v="2987.73"/>
    <n v="776122.62209999992"/>
    <s v="Over Budget"/>
    <s v="OK"/>
  </r>
  <r>
    <s v="ITEM-0379"/>
    <x v="0"/>
    <x v="2"/>
    <n v="468.18"/>
    <x v="3"/>
    <n v="2631.29"/>
    <n v="1231917.3522000001"/>
    <s v="Over Budget"/>
    <s v="OK"/>
  </r>
  <r>
    <s v="ITEM-0380"/>
    <x v="3"/>
    <x v="0"/>
    <n v="211.48"/>
    <x v="3"/>
    <n v="2957.96"/>
    <n v="625549.38079999993"/>
    <s v="Over Budget"/>
    <s v="OK"/>
  </r>
  <r>
    <s v="ITEM-0381"/>
    <x v="7"/>
    <x v="1"/>
    <n v="22.37"/>
    <x v="1"/>
    <n v="4843.07"/>
    <n v="108339.4759"/>
    <s v="Over Budget"/>
    <s v="OK"/>
  </r>
  <r>
    <s v="ITEM-0382"/>
    <x v="2"/>
    <x v="2"/>
    <n v="46.35"/>
    <x v="0"/>
    <n v="2288.89"/>
    <n v="106090.0515"/>
    <s v="Over Budget"/>
    <s v="OK"/>
  </r>
  <r>
    <s v="ITEM-0383"/>
    <x v="8"/>
    <x v="3"/>
    <n v="177.2"/>
    <x v="0"/>
    <n v="660.65"/>
    <n v="117067.18"/>
    <s v="Over Budget"/>
    <s v="OK"/>
  </r>
  <r>
    <s v="ITEM-0384"/>
    <x v="9"/>
    <x v="3"/>
    <n v="8.2899999999999991"/>
    <x v="2"/>
    <n v="4725.93"/>
    <n v="39177.959699999999"/>
    <s v="OK"/>
    <s v="OK"/>
  </r>
  <r>
    <s v="ITEM-0385"/>
    <x v="4"/>
    <x v="0"/>
    <n v="222.38"/>
    <x v="4"/>
    <n v="3340.22"/>
    <n v="742798.12359999993"/>
    <s v="Over Budget"/>
    <s v="OK"/>
  </r>
  <r>
    <s v="ITEM-0386"/>
    <x v="6"/>
    <x v="3"/>
    <n v="196.49"/>
    <x v="4"/>
    <n v="2803.19"/>
    <n v="550798.80310000002"/>
    <s v="Over Budget"/>
    <s v="OK"/>
  </r>
  <r>
    <s v="ITEM-0387"/>
    <x v="3"/>
    <x v="0"/>
    <n v="29.04"/>
    <x v="0"/>
    <n v="1555.02"/>
    <n v="45157.7808"/>
    <s v="OK"/>
    <s v="OK"/>
  </r>
  <r>
    <s v="ITEM-0388"/>
    <x v="7"/>
    <x v="2"/>
    <n v="153.38999999999999"/>
    <x v="0"/>
    <n v="1763.32"/>
    <n v="270475.65479999996"/>
    <s v="Over Budget"/>
    <s v="OK"/>
  </r>
  <r>
    <s v="ITEM-0389"/>
    <x v="7"/>
    <x v="2"/>
    <n v="125.18"/>
    <x v="1"/>
    <n v="3961.85"/>
    <n v="495944.38300000003"/>
    <s v="Over Budget"/>
    <s v="OK"/>
  </r>
  <r>
    <s v="ITEM-0390"/>
    <x v="4"/>
    <x v="0"/>
    <n v="64.45"/>
    <x v="4"/>
    <n v="2511.14"/>
    <n v="161842.973"/>
    <s v="Over Budget"/>
    <s v="OK"/>
  </r>
  <r>
    <s v="ITEM-0391"/>
    <x v="8"/>
    <x v="4"/>
    <n v="62.9"/>
    <x v="4"/>
    <n v="1404.41"/>
    <n v="88337.38900000001"/>
    <s v="OK"/>
    <s v="OK"/>
  </r>
  <r>
    <s v="ITEM-0392"/>
    <x v="3"/>
    <x v="3"/>
    <n v="287.67"/>
    <x v="2"/>
    <n v="1394.17"/>
    <n v="401060.88390000002"/>
    <s v="Over Budget"/>
    <s v="OK"/>
  </r>
  <r>
    <s v="ITEM-0393"/>
    <x v="8"/>
    <x v="1"/>
    <n v="214.28"/>
    <x v="4"/>
    <n v="3186.34"/>
    <n v="682768.93520000007"/>
    <s v="Over Budget"/>
    <s v="OK"/>
  </r>
  <r>
    <s v="ITEM-0394"/>
    <x v="6"/>
    <x v="3"/>
    <n v="314.52999999999997"/>
    <x v="1"/>
    <n v="535.65"/>
    <n v="168477.99449999997"/>
    <s v="Over Budget"/>
    <s v="OK"/>
  </r>
  <r>
    <s v="ITEM-0395"/>
    <x v="3"/>
    <x v="3"/>
    <n v="399.26"/>
    <x v="4"/>
    <n v="1262.55"/>
    <n v="504085.71299999999"/>
    <s v="Over Budget"/>
    <s v="OK"/>
  </r>
  <r>
    <s v="ITEM-0396"/>
    <x v="4"/>
    <x v="3"/>
    <n v="329.09"/>
    <x v="3"/>
    <n v="2043.04"/>
    <n v="672344.03359999997"/>
    <s v="Over Budget"/>
    <s v="OK"/>
  </r>
  <r>
    <s v="ITEM-0397"/>
    <x v="9"/>
    <x v="4"/>
    <n v="146.07"/>
    <x v="0"/>
    <n v="3034.88"/>
    <n v="443304.9216"/>
    <s v="Over Budget"/>
    <s v="OK"/>
  </r>
  <r>
    <s v="ITEM-0398"/>
    <x v="1"/>
    <x v="2"/>
    <n v="21.25"/>
    <x v="2"/>
    <n v="3510.12"/>
    <n v="74590.05"/>
    <s v="OK"/>
    <s v="OK"/>
  </r>
  <r>
    <s v="ITEM-0399"/>
    <x v="2"/>
    <x v="4"/>
    <n v="82.06"/>
    <x v="1"/>
    <n v="3027.11"/>
    <n v="248404.64660000001"/>
    <s v="Over Budget"/>
    <s v="OK"/>
  </r>
  <r>
    <s v="ITEM-0400"/>
    <x v="1"/>
    <x v="1"/>
    <n v="355.28"/>
    <x v="0"/>
    <n v="4381.6899999999996"/>
    <n v="1556726.8231999998"/>
    <s v="Over Budget"/>
    <s v="OK"/>
  </r>
  <r>
    <s v="ITEM-0401"/>
    <x v="4"/>
    <x v="0"/>
    <n v="217.36"/>
    <x v="4"/>
    <n v="3233.94"/>
    <n v="702929.19840000011"/>
    <s v="Over Budget"/>
    <s v="OK"/>
  </r>
  <r>
    <s v="ITEM-0402"/>
    <x v="5"/>
    <x v="3"/>
    <n v="368.82"/>
    <x v="0"/>
    <n v="3386.46"/>
    <n v="1248994.1772"/>
    <s v="Over Budget"/>
    <s v="OK"/>
  </r>
  <r>
    <s v="ITEM-0403"/>
    <x v="6"/>
    <x v="0"/>
    <n v="321.44"/>
    <x v="0"/>
    <n v="1462.33"/>
    <n v="470051.35519999999"/>
    <s v="Over Budget"/>
    <s v="OK"/>
  </r>
  <r>
    <s v="ITEM-0404"/>
    <x v="0"/>
    <x v="3"/>
    <n v="257.99"/>
    <x v="0"/>
    <n v="1429.31"/>
    <n v="368747.68689999997"/>
    <s v="Over Budget"/>
    <s v="OK"/>
  </r>
  <r>
    <s v="ITEM-0405"/>
    <x v="5"/>
    <x v="4"/>
    <n v="54.54"/>
    <x v="2"/>
    <n v="593.11"/>
    <n v="32348.219400000002"/>
    <s v="OK"/>
    <s v="OK"/>
  </r>
  <r>
    <s v="ITEM-0406"/>
    <x v="9"/>
    <x v="3"/>
    <n v="331.86"/>
    <x v="4"/>
    <n v="1590.56"/>
    <n v="527843.24159999995"/>
    <s v="Over Budget"/>
    <s v="OK"/>
  </r>
  <r>
    <s v="ITEM-0407"/>
    <x v="3"/>
    <x v="1"/>
    <n v="427.58"/>
    <x v="2"/>
    <n v="3770.82"/>
    <n v="1612327.2156"/>
    <s v="Over Budget"/>
    <s v="OK"/>
  </r>
  <r>
    <s v="ITEM-0408"/>
    <x v="7"/>
    <x v="2"/>
    <n v="414.77"/>
    <x v="0"/>
    <n v="297.60000000000002"/>
    <n v="123435.55200000001"/>
    <s v="Over Budget"/>
    <s v="OK"/>
  </r>
  <r>
    <s v="ITEM-0409"/>
    <x v="7"/>
    <x v="3"/>
    <n v="104.42"/>
    <x v="1"/>
    <n v="1112.92"/>
    <n v="116211.1064"/>
    <s v="Over Budget"/>
    <s v="OK"/>
  </r>
  <r>
    <s v="ITEM-0410"/>
    <x v="1"/>
    <x v="4"/>
    <n v="182.43"/>
    <x v="3"/>
    <n v="1558.07"/>
    <n v="284238.71010000003"/>
    <s v="Over Budget"/>
    <s v="OK"/>
  </r>
  <r>
    <s v="ITEM-0411"/>
    <x v="6"/>
    <x v="2"/>
    <n v="77.86"/>
    <x v="2"/>
    <n v="631.77"/>
    <n v="49189.612199999996"/>
    <s v="OK"/>
    <s v="OK"/>
  </r>
  <r>
    <s v="ITEM-0412"/>
    <x v="4"/>
    <x v="1"/>
    <n v="157.59"/>
    <x v="1"/>
    <n v="171.39"/>
    <n v="27009.3501"/>
    <s v="OK"/>
    <s v="OK"/>
  </r>
  <r>
    <s v="ITEM-0413"/>
    <x v="9"/>
    <x v="2"/>
    <n v="457.3"/>
    <x v="2"/>
    <n v="728.96"/>
    <n v="333353.40800000005"/>
    <s v="Over Budget"/>
    <s v="OK"/>
  </r>
  <r>
    <s v="ITEM-0414"/>
    <x v="1"/>
    <x v="4"/>
    <n v="12.15"/>
    <x v="0"/>
    <n v="2378.0100000000002"/>
    <n v="28892.821500000002"/>
    <s v="OK"/>
    <s v="OK"/>
  </r>
  <r>
    <s v="ITEM-0415"/>
    <x v="8"/>
    <x v="1"/>
    <n v="128.79"/>
    <x v="1"/>
    <n v="1066.03"/>
    <n v="137294.0037"/>
    <s v="Over Budget"/>
    <s v="OK"/>
  </r>
  <r>
    <s v="ITEM-0416"/>
    <x v="8"/>
    <x v="1"/>
    <n v="188.41"/>
    <x v="1"/>
    <n v="142.07"/>
    <n v="26767.4087"/>
    <s v="OK"/>
    <s v="OK"/>
  </r>
  <r>
    <s v="ITEM-0417"/>
    <x v="6"/>
    <x v="1"/>
    <n v="27.99"/>
    <x v="3"/>
    <n v="1154.58"/>
    <n v="32316.694199999994"/>
    <s v="OK"/>
    <s v="OK"/>
  </r>
  <r>
    <s v="ITEM-0418"/>
    <x v="2"/>
    <x v="3"/>
    <n v="428.84"/>
    <x v="2"/>
    <n v="2448.36"/>
    <n v="1049954.7024000001"/>
    <s v="Over Budget"/>
    <s v="OK"/>
  </r>
  <r>
    <s v="ITEM-0419"/>
    <x v="1"/>
    <x v="1"/>
    <n v="299.47000000000003"/>
    <x v="2"/>
    <n v="1448.12"/>
    <n v="433668.4964"/>
    <s v="Over Budget"/>
    <s v="OK"/>
  </r>
  <r>
    <s v="ITEM-0420"/>
    <x v="3"/>
    <x v="0"/>
    <n v="384.98"/>
    <x v="0"/>
    <n v="4623.6099999999997"/>
    <n v="1779997.3777999999"/>
    <s v="Over Budget"/>
    <s v="OK"/>
  </r>
  <r>
    <s v="ITEM-0421"/>
    <x v="9"/>
    <x v="2"/>
    <n v="200.52"/>
    <x v="4"/>
    <n v="4926.1099999999997"/>
    <n v="987783.57719999994"/>
    <s v="Over Budget"/>
    <s v="OK"/>
  </r>
  <r>
    <s v="ITEM-0422"/>
    <x v="6"/>
    <x v="1"/>
    <n v="336.07"/>
    <x v="3"/>
    <n v="4306.07"/>
    <n v="1447140.9448999998"/>
    <s v="Over Budget"/>
    <s v="OK"/>
  </r>
  <r>
    <s v="ITEM-0423"/>
    <x v="2"/>
    <x v="2"/>
    <n v="10.119999999999999"/>
    <x v="0"/>
    <n v="3659.05"/>
    <n v="37029.585999999996"/>
    <s v="OK"/>
    <s v="OK"/>
  </r>
  <r>
    <s v="ITEM-0424"/>
    <x v="8"/>
    <x v="0"/>
    <n v="258.37"/>
    <x v="4"/>
    <n v="4687.18"/>
    <n v="1211026.6966000001"/>
    <s v="Over Budget"/>
    <s v="OK"/>
  </r>
  <r>
    <s v="ITEM-0425"/>
    <x v="8"/>
    <x v="4"/>
    <n v="324.33"/>
    <x v="0"/>
    <n v="4911.79"/>
    <n v="1593040.8506999998"/>
    <s v="Over Budget"/>
    <s v="OK"/>
  </r>
  <r>
    <s v="ITEM-0426"/>
    <x v="4"/>
    <x v="2"/>
    <n v="115.45"/>
    <x v="0"/>
    <n v="712.48"/>
    <n v="82255.816000000006"/>
    <s v="OK"/>
    <s v="OK"/>
  </r>
  <r>
    <s v="ITEM-0427"/>
    <x v="9"/>
    <x v="0"/>
    <n v="426.63"/>
    <x v="4"/>
    <n v="3144.29"/>
    <n v="1341448.4427"/>
    <s v="Over Budget"/>
    <s v="OK"/>
  </r>
  <r>
    <s v="ITEM-0428"/>
    <x v="2"/>
    <x v="0"/>
    <n v="139.32"/>
    <x v="0"/>
    <n v="4994.37"/>
    <n v="695815.62839999993"/>
    <s v="Over Budget"/>
    <s v="OK"/>
  </r>
  <r>
    <s v="ITEM-0429"/>
    <x v="2"/>
    <x v="1"/>
    <n v="373.17"/>
    <x v="2"/>
    <n v="4094.39"/>
    <n v="1527903.5163"/>
    <s v="Over Budget"/>
    <s v="OK"/>
  </r>
  <r>
    <s v="ITEM-0430"/>
    <x v="7"/>
    <x v="4"/>
    <n v="25.04"/>
    <x v="1"/>
    <n v="3569.13"/>
    <n v="89371.015199999994"/>
    <s v="OK"/>
    <s v="OK"/>
  </r>
  <r>
    <s v="ITEM-0431"/>
    <x v="5"/>
    <x v="3"/>
    <n v="229.55"/>
    <x v="2"/>
    <n v="3921.5"/>
    <n v="900180.32500000007"/>
    <s v="Over Budget"/>
    <s v="OK"/>
  </r>
  <r>
    <s v="ITEM-0432"/>
    <x v="1"/>
    <x v="2"/>
    <n v="268.23"/>
    <x v="4"/>
    <n v="1935.39"/>
    <n v="519129.65970000008"/>
    <s v="Over Budget"/>
    <s v="OK"/>
  </r>
  <r>
    <s v="ITEM-0433"/>
    <x v="9"/>
    <x v="0"/>
    <n v="280.60000000000002"/>
    <x v="4"/>
    <n v="124.55"/>
    <n v="34948.730000000003"/>
    <s v="OK"/>
    <s v="OK"/>
  </r>
  <r>
    <s v="ITEM-0434"/>
    <x v="0"/>
    <x v="0"/>
    <n v="314.79000000000002"/>
    <x v="2"/>
    <n v="1748.33"/>
    <n v="550356.80070000002"/>
    <s v="Over Budget"/>
    <s v="OK"/>
  </r>
  <r>
    <s v="ITEM-0435"/>
    <x v="0"/>
    <x v="2"/>
    <n v="456.75"/>
    <x v="1"/>
    <n v="4391.83"/>
    <n v="2005968.3525"/>
    <s v="Over Budget"/>
    <s v="OK"/>
  </r>
  <r>
    <s v="ITEM-0436"/>
    <x v="7"/>
    <x v="1"/>
    <n v="340.51"/>
    <x v="2"/>
    <n v="1688.1"/>
    <n v="574814.93099999998"/>
    <s v="Over Budget"/>
    <s v="OK"/>
  </r>
  <r>
    <s v="ITEM-0437"/>
    <x v="5"/>
    <x v="1"/>
    <n v="489.62"/>
    <x v="3"/>
    <n v="2928.01"/>
    <n v="1433612.2562000002"/>
    <s v="Over Budget"/>
    <s v="OK"/>
  </r>
  <r>
    <s v="ITEM-0438"/>
    <x v="8"/>
    <x v="4"/>
    <n v="485.85"/>
    <x v="4"/>
    <n v="4962.12"/>
    <n v="2410846.0019999999"/>
    <s v="Over Budget"/>
    <s v="OK"/>
  </r>
  <r>
    <s v="ITEM-0439"/>
    <x v="4"/>
    <x v="3"/>
    <n v="85.56"/>
    <x v="0"/>
    <n v="1130.24"/>
    <n v="96703.334400000007"/>
    <s v="OK"/>
    <s v="OK"/>
  </r>
  <r>
    <s v="ITEM-0440"/>
    <x v="0"/>
    <x v="4"/>
    <n v="290.45"/>
    <x v="3"/>
    <n v="3986.92"/>
    <n v="1158000.9139999999"/>
    <s v="Over Budget"/>
    <s v="OK"/>
  </r>
  <r>
    <s v="ITEM-0441"/>
    <x v="4"/>
    <x v="4"/>
    <n v="387.77"/>
    <x v="3"/>
    <n v="4074.8"/>
    <n v="1580085.196"/>
    <s v="Over Budget"/>
    <s v="OK"/>
  </r>
  <r>
    <s v="ITEM-0442"/>
    <x v="2"/>
    <x v="3"/>
    <n v="366.4"/>
    <x v="4"/>
    <n v="2464.3200000000002"/>
    <n v="902926.848"/>
    <s v="Over Budget"/>
    <s v="OK"/>
  </r>
  <r>
    <s v="ITEM-0443"/>
    <x v="5"/>
    <x v="4"/>
    <n v="79.75"/>
    <x v="0"/>
    <n v="4631.7"/>
    <n v="369378.07500000001"/>
    <s v="Over Budget"/>
    <s v="OK"/>
  </r>
  <r>
    <s v="ITEM-0444"/>
    <x v="1"/>
    <x v="2"/>
    <n v="49.98"/>
    <x v="2"/>
    <n v="462.56"/>
    <n v="23118.748799999998"/>
    <s v="OK"/>
    <s v="OK"/>
  </r>
  <r>
    <s v="ITEM-0445"/>
    <x v="8"/>
    <x v="4"/>
    <n v="11.81"/>
    <x v="4"/>
    <n v="3246.67"/>
    <n v="38343.172700000003"/>
    <s v="OK"/>
    <s v="OK"/>
  </r>
  <r>
    <s v="ITEM-0446"/>
    <x v="1"/>
    <x v="1"/>
    <n v="44.56"/>
    <x v="3"/>
    <n v="4857.63"/>
    <n v="216455.99280000001"/>
    <s v="Over Budget"/>
    <s v="OK"/>
  </r>
  <r>
    <s v="ITEM-0447"/>
    <x v="7"/>
    <x v="3"/>
    <n v="207.23"/>
    <x v="4"/>
    <n v="2386.4299999999998"/>
    <n v="494539.88889999996"/>
    <s v="Over Budget"/>
    <s v="OK"/>
  </r>
  <r>
    <s v="ITEM-0448"/>
    <x v="9"/>
    <x v="2"/>
    <n v="56.7"/>
    <x v="1"/>
    <n v="3837.64"/>
    <n v="217594.18799999999"/>
    <s v="Over Budget"/>
    <s v="OK"/>
  </r>
  <r>
    <s v="ITEM-0449"/>
    <x v="9"/>
    <x v="0"/>
    <n v="269.94"/>
    <x v="2"/>
    <n v="1841.19"/>
    <n v="497010.82860000001"/>
    <s v="Over Budget"/>
    <s v="OK"/>
  </r>
  <r>
    <s v="ITEM-0450"/>
    <x v="8"/>
    <x v="1"/>
    <n v="299.48"/>
    <x v="1"/>
    <n v="1790.86"/>
    <n v="536326.75280000002"/>
    <s v="Over Budget"/>
    <s v="OK"/>
  </r>
  <r>
    <s v="ITEM-0451"/>
    <x v="1"/>
    <x v="4"/>
    <n v="286.62"/>
    <x v="4"/>
    <n v="3990.06"/>
    <n v="1143630.9972000001"/>
    <s v="Over Budget"/>
    <s v="OK"/>
  </r>
  <r>
    <s v="ITEM-0452"/>
    <x v="2"/>
    <x v="2"/>
    <n v="221.5"/>
    <x v="3"/>
    <n v="950.87"/>
    <n v="210617.70499999999"/>
    <s v="Over Budget"/>
    <s v="OK"/>
  </r>
  <r>
    <s v="ITEM-0453"/>
    <x v="5"/>
    <x v="2"/>
    <n v="385.56"/>
    <x v="4"/>
    <n v="2335.39"/>
    <n v="900432.96840000001"/>
    <s v="Over Budget"/>
    <s v="OK"/>
  </r>
  <r>
    <s v="ITEM-0454"/>
    <x v="6"/>
    <x v="0"/>
    <n v="456.73"/>
    <x v="4"/>
    <n v="1226.83"/>
    <n v="560330.06590000005"/>
    <s v="Over Budget"/>
    <s v="OK"/>
  </r>
  <r>
    <s v="ITEM-0455"/>
    <x v="6"/>
    <x v="4"/>
    <n v="369.07"/>
    <x v="3"/>
    <n v="4411.17"/>
    <n v="1628030.5119"/>
    <s v="Over Budget"/>
    <s v="OK"/>
  </r>
  <r>
    <s v="ITEM-0456"/>
    <x v="8"/>
    <x v="1"/>
    <n v="64.53"/>
    <x v="2"/>
    <n v="1652.36"/>
    <n v="106626.7908"/>
    <s v="Over Budget"/>
    <s v="OK"/>
  </r>
  <r>
    <s v="ITEM-0457"/>
    <x v="7"/>
    <x v="4"/>
    <n v="98.39"/>
    <x v="0"/>
    <n v="3126.19"/>
    <n v="307585.83409999998"/>
    <s v="Over Budget"/>
    <s v="OK"/>
  </r>
  <r>
    <s v="ITEM-0458"/>
    <x v="5"/>
    <x v="2"/>
    <n v="435.18"/>
    <x v="4"/>
    <n v="1247.44"/>
    <n v="542860.93920000002"/>
    <s v="Over Budget"/>
    <s v="OK"/>
  </r>
  <r>
    <s v="ITEM-0459"/>
    <x v="9"/>
    <x v="0"/>
    <n v="310.08999999999997"/>
    <x v="3"/>
    <n v="1142.06"/>
    <n v="354141.38539999997"/>
    <s v="Over Budget"/>
    <s v="OK"/>
  </r>
  <r>
    <s v="ITEM-0460"/>
    <x v="4"/>
    <x v="3"/>
    <n v="488.31"/>
    <x v="4"/>
    <n v="3728.92"/>
    <n v="1820868.9251999999"/>
    <s v="Over Budget"/>
    <s v="OK"/>
  </r>
  <r>
    <s v="ITEM-0461"/>
    <x v="9"/>
    <x v="3"/>
    <n v="62.98"/>
    <x v="3"/>
    <n v="3117.17"/>
    <n v="196319.36660000001"/>
    <s v="Over Budget"/>
    <s v="OK"/>
  </r>
  <r>
    <s v="ITEM-0462"/>
    <x v="5"/>
    <x v="0"/>
    <n v="488.02"/>
    <x v="1"/>
    <n v="235.09"/>
    <n v="114728.62179999999"/>
    <s v="Over Budget"/>
    <s v="OK"/>
  </r>
  <r>
    <s v="ITEM-0463"/>
    <x v="4"/>
    <x v="2"/>
    <n v="347.36"/>
    <x v="0"/>
    <n v="2821.79"/>
    <n v="980176.97440000006"/>
    <s v="Over Budget"/>
    <s v="OK"/>
  </r>
  <r>
    <s v="ITEM-0464"/>
    <x v="7"/>
    <x v="4"/>
    <n v="222"/>
    <x v="1"/>
    <n v="1538.08"/>
    <n v="341453.76"/>
    <s v="Over Budget"/>
    <s v="OK"/>
  </r>
  <r>
    <s v="ITEM-0465"/>
    <x v="7"/>
    <x v="4"/>
    <n v="314.74"/>
    <x v="4"/>
    <n v="1574.48"/>
    <n v="495551.83520000003"/>
    <s v="Over Budget"/>
    <s v="OK"/>
  </r>
  <r>
    <s v="ITEM-0466"/>
    <x v="4"/>
    <x v="3"/>
    <n v="48.64"/>
    <x v="3"/>
    <n v="311.14"/>
    <n v="15133.8496"/>
    <s v="OK"/>
    <s v="OK"/>
  </r>
  <r>
    <s v="ITEM-0467"/>
    <x v="0"/>
    <x v="3"/>
    <n v="370.01"/>
    <x v="1"/>
    <n v="620.84"/>
    <n v="229717.00840000002"/>
    <s v="Over Budget"/>
    <s v="OK"/>
  </r>
  <r>
    <s v="ITEM-0468"/>
    <x v="0"/>
    <x v="2"/>
    <n v="380"/>
    <x v="2"/>
    <n v="236.93"/>
    <n v="90033.400000000009"/>
    <s v="OK"/>
    <s v="OK"/>
  </r>
  <r>
    <s v="ITEM-0469"/>
    <x v="2"/>
    <x v="1"/>
    <n v="130.19999999999999"/>
    <x v="3"/>
    <n v="1864.36"/>
    <n v="242739.67199999996"/>
    <s v="Over Budget"/>
    <s v="OK"/>
  </r>
  <r>
    <s v="ITEM-0470"/>
    <x v="7"/>
    <x v="3"/>
    <n v="397.42"/>
    <x v="4"/>
    <n v="534.96"/>
    <n v="212603.80320000002"/>
    <s v="Over Budget"/>
    <s v="OK"/>
  </r>
  <r>
    <s v="ITEM-0471"/>
    <x v="2"/>
    <x v="2"/>
    <n v="418.91"/>
    <x v="3"/>
    <n v="1398.43"/>
    <n v="585816.31130000006"/>
    <s v="Over Budget"/>
    <s v="OK"/>
  </r>
  <r>
    <s v="ITEM-0472"/>
    <x v="7"/>
    <x v="3"/>
    <n v="118.56"/>
    <x v="1"/>
    <n v="2453.09"/>
    <n v="290838.3504"/>
    <s v="Over Budget"/>
    <s v="OK"/>
  </r>
  <r>
    <s v="ITEM-0473"/>
    <x v="0"/>
    <x v="1"/>
    <n v="454.18"/>
    <x v="0"/>
    <n v="3751.23"/>
    <n v="1703733.6414000001"/>
    <s v="Over Budget"/>
    <s v="OK"/>
  </r>
  <r>
    <s v="ITEM-0474"/>
    <x v="7"/>
    <x v="0"/>
    <n v="139.62"/>
    <x v="2"/>
    <n v="4272.8599999999997"/>
    <n v="596576.7132"/>
    <s v="Over Budget"/>
    <s v="OK"/>
  </r>
  <r>
    <s v="ITEM-0475"/>
    <x v="6"/>
    <x v="2"/>
    <n v="113"/>
    <x v="4"/>
    <n v="946.23"/>
    <n v="106923.99"/>
    <s v="Over Budget"/>
    <s v="OK"/>
  </r>
  <r>
    <s v="ITEM-0476"/>
    <x v="4"/>
    <x v="3"/>
    <n v="433.57"/>
    <x v="4"/>
    <n v="3006.94"/>
    <n v="1303718.9757999999"/>
    <s v="Over Budget"/>
    <s v="OK"/>
  </r>
  <r>
    <s v="ITEM-0477"/>
    <x v="3"/>
    <x v="2"/>
    <n v="76.06"/>
    <x v="3"/>
    <n v="1727.38"/>
    <n v="131384.52280000001"/>
    <s v="Over Budget"/>
    <s v="OK"/>
  </r>
  <r>
    <s v="ITEM-0478"/>
    <x v="1"/>
    <x v="1"/>
    <n v="183.1"/>
    <x v="2"/>
    <n v="258.60000000000002"/>
    <n v="47349.66"/>
    <s v="OK"/>
    <s v="OK"/>
  </r>
  <r>
    <s v="ITEM-0479"/>
    <x v="3"/>
    <x v="3"/>
    <n v="332.76"/>
    <x v="4"/>
    <n v="2445.46"/>
    <n v="813751.2696"/>
    <s v="Over Budget"/>
    <s v="OK"/>
  </r>
  <r>
    <s v="ITEM-0480"/>
    <x v="1"/>
    <x v="1"/>
    <n v="379.61"/>
    <x v="1"/>
    <n v="3739.39"/>
    <n v="1419509.8378999999"/>
    <s v="Over Budget"/>
    <s v="OK"/>
  </r>
  <r>
    <s v="ITEM-0481"/>
    <x v="1"/>
    <x v="3"/>
    <n v="187.99"/>
    <x v="0"/>
    <n v="4714.66"/>
    <n v="886308.93339999998"/>
    <s v="Over Budget"/>
    <s v="OK"/>
  </r>
  <r>
    <s v="ITEM-0482"/>
    <x v="3"/>
    <x v="1"/>
    <n v="186.27"/>
    <x v="0"/>
    <n v="3084.37"/>
    <n v="574525.59990000003"/>
    <s v="Over Budget"/>
    <s v="OK"/>
  </r>
  <r>
    <s v="ITEM-0483"/>
    <x v="2"/>
    <x v="2"/>
    <n v="112.73"/>
    <x v="2"/>
    <n v="3816.3"/>
    <n v="430211.49900000001"/>
    <s v="Over Budget"/>
    <s v="OK"/>
  </r>
  <r>
    <s v="ITEM-0484"/>
    <x v="5"/>
    <x v="4"/>
    <n v="244.37"/>
    <x v="4"/>
    <n v="1122.78"/>
    <n v="274373.74859999999"/>
    <s v="Over Budget"/>
    <s v="OK"/>
  </r>
  <r>
    <s v="ITEM-0485"/>
    <x v="2"/>
    <x v="1"/>
    <n v="260.49"/>
    <x v="3"/>
    <n v="1865.31"/>
    <n v="485894.60190000001"/>
    <s v="Over Budget"/>
    <s v="OK"/>
  </r>
  <r>
    <s v="ITEM-0486"/>
    <x v="4"/>
    <x v="3"/>
    <n v="409.48"/>
    <x v="4"/>
    <n v="773.81"/>
    <n v="316859.71879999997"/>
    <s v="Over Budget"/>
    <s v="OK"/>
  </r>
  <r>
    <s v="ITEM-0487"/>
    <x v="3"/>
    <x v="2"/>
    <n v="496.93"/>
    <x v="2"/>
    <n v="1033.8699999999999"/>
    <n v="513761.01909999998"/>
    <s v="Over Budget"/>
    <s v="OK"/>
  </r>
  <r>
    <s v="ITEM-0488"/>
    <x v="7"/>
    <x v="1"/>
    <n v="26.73"/>
    <x v="0"/>
    <n v="2546.79"/>
    <n v="68075.6967"/>
    <s v="OK"/>
    <s v="OK"/>
  </r>
  <r>
    <s v="ITEM-0489"/>
    <x v="6"/>
    <x v="1"/>
    <n v="149.02000000000001"/>
    <x v="4"/>
    <n v="1165.77"/>
    <n v="173723.0454"/>
    <s v="Over Budget"/>
    <s v="OK"/>
  </r>
  <r>
    <s v="ITEM-0490"/>
    <x v="9"/>
    <x v="0"/>
    <n v="287.76"/>
    <x v="0"/>
    <n v="4287.8"/>
    <n v="1233857.328"/>
    <s v="Over Budget"/>
    <s v="OK"/>
  </r>
  <r>
    <s v="ITEM-0491"/>
    <x v="9"/>
    <x v="0"/>
    <n v="53.26"/>
    <x v="4"/>
    <n v="957.28"/>
    <n v="50984.732799999998"/>
    <s v="OK"/>
    <s v="OK"/>
  </r>
  <r>
    <s v="ITEM-0492"/>
    <x v="8"/>
    <x v="4"/>
    <n v="47.73"/>
    <x v="4"/>
    <n v="947.91"/>
    <n v="45243.744299999998"/>
    <s v="OK"/>
    <s v="OK"/>
  </r>
  <r>
    <s v="ITEM-0493"/>
    <x v="2"/>
    <x v="2"/>
    <n v="154.46"/>
    <x v="4"/>
    <n v="3524.58"/>
    <n v="544406.62679999997"/>
    <s v="Over Budget"/>
    <s v="OK"/>
  </r>
  <r>
    <s v="ITEM-0494"/>
    <x v="6"/>
    <x v="3"/>
    <n v="108.84"/>
    <x v="0"/>
    <n v="4635.6400000000003"/>
    <n v="504543.05760000006"/>
    <s v="Over Budget"/>
    <s v="OK"/>
  </r>
  <r>
    <s v="ITEM-0495"/>
    <x v="0"/>
    <x v="2"/>
    <n v="260.42"/>
    <x v="1"/>
    <n v="3493.67"/>
    <n v="909821.5414000001"/>
    <s v="Over Budget"/>
    <s v="OK"/>
  </r>
  <r>
    <s v="ITEM-0496"/>
    <x v="6"/>
    <x v="0"/>
    <n v="110.62"/>
    <x v="1"/>
    <n v="3777.54"/>
    <n v="417871.47480000003"/>
    <s v="Over Budget"/>
    <s v="OK"/>
  </r>
  <r>
    <s v="ITEM-0497"/>
    <x v="4"/>
    <x v="3"/>
    <n v="380.96"/>
    <x v="1"/>
    <n v="1858.91"/>
    <n v="708170.35360000003"/>
    <s v="Over Budget"/>
    <s v="OK"/>
  </r>
  <r>
    <s v="ITEM-0498"/>
    <x v="9"/>
    <x v="2"/>
    <n v="450.23"/>
    <x v="1"/>
    <n v="2853.52"/>
    <n v="1284740.3096"/>
    <s v="Over Budget"/>
    <s v="OK"/>
  </r>
  <r>
    <s v="ITEM-0499"/>
    <x v="7"/>
    <x v="3"/>
    <n v="170.74"/>
    <x v="2"/>
    <n v="2577.58"/>
    <n v="440096.00920000003"/>
    <s v="Over Budget"/>
    <s v="OK"/>
  </r>
  <r>
    <s v="ITEM-0500"/>
    <x v="8"/>
    <x v="0"/>
    <n v="290.56"/>
    <x v="1"/>
    <n v="263.93"/>
    <n v="76687.500800000009"/>
    <s v="OK"/>
    <s v="OK"/>
  </r>
  <r>
    <s v="ITEM-0501"/>
    <x v="4"/>
    <x v="4"/>
    <n v="418.95"/>
    <x v="1"/>
    <n v="72.099999999999994"/>
    <n v="30206.294999999998"/>
    <s v="OK"/>
    <s v="OK"/>
  </r>
  <r>
    <s v="ITEM-0502"/>
    <x v="5"/>
    <x v="3"/>
    <n v="73.459999999999994"/>
    <x v="0"/>
    <n v="1651.82"/>
    <n v="121342.69719999998"/>
    <s v="Over Budget"/>
    <s v="OK"/>
  </r>
  <r>
    <s v="ITEM-0503"/>
    <x v="9"/>
    <x v="4"/>
    <n v="470.29"/>
    <x v="4"/>
    <n v="314.16000000000003"/>
    <n v="147746.30640000003"/>
    <s v="Over Budget"/>
    <s v="OK"/>
  </r>
  <r>
    <s v="ITEM-0504"/>
    <x v="0"/>
    <x v="3"/>
    <n v="151.82"/>
    <x v="2"/>
    <n v="497.23"/>
    <n v="75489.458599999998"/>
    <s v="OK"/>
    <s v="OK"/>
  </r>
  <r>
    <s v="ITEM-0505"/>
    <x v="9"/>
    <x v="4"/>
    <n v="362.66"/>
    <x v="2"/>
    <n v="1404.2"/>
    <n v="509247.17200000008"/>
    <s v="Over Budget"/>
    <s v="OK"/>
  </r>
  <r>
    <s v="ITEM-0506"/>
    <x v="0"/>
    <x v="3"/>
    <n v="101.22"/>
    <x v="0"/>
    <n v="1447.09"/>
    <n v="146474.4498"/>
    <s v="Over Budget"/>
    <s v="OK"/>
  </r>
  <r>
    <s v="ITEM-0507"/>
    <x v="7"/>
    <x v="1"/>
    <n v="112.73"/>
    <x v="0"/>
    <n v="4276.03"/>
    <n v="482036.86189999996"/>
    <s v="Over Budget"/>
    <s v="OK"/>
  </r>
  <r>
    <s v="ITEM-0508"/>
    <x v="9"/>
    <x v="4"/>
    <n v="369.89"/>
    <x v="3"/>
    <n v="4055.37"/>
    <n v="1500040.8092999998"/>
    <s v="Over Budget"/>
    <s v="OK"/>
  </r>
  <r>
    <s v="ITEM-0509"/>
    <x v="5"/>
    <x v="0"/>
    <n v="409.07"/>
    <x v="2"/>
    <n v="4073.19"/>
    <n v="1666219.8333000001"/>
    <s v="Over Budget"/>
    <s v="OK"/>
  </r>
  <r>
    <s v="ITEM-0510"/>
    <x v="1"/>
    <x v="3"/>
    <n v="207.07"/>
    <x v="1"/>
    <n v="4811.13"/>
    <n v="996240.68909999996"/>
    <s v="Over Budget"/>
    <s v="OK"/>
  </r>
  <r>
    <s v="ITEM-0511"/>
    <x v="1"/>
    <x v="0"/>
    <n v="259.33"/>
    <x v="1"/>
    <n v="271.69"/>
    <n v="70457.367699999988"/>
    <s v="OK"/>
    <s v="OK"/>
  </r>
  <r>
    <s v="ITEM-0512"/>
    <x v="1"/>
    <x v="2"/>
    <n v="55.56"/>
    <x v="3"/>
    <n v="3031.94"/>
    <n v="168454.5864"/>
    <s v="Over Budget"/>
    <s v="OK"/>
  </r>
  <r>
    <s v="ITEM-0513"/>
    <x v="8"/>
    <x v="2"/>
    <n v="345.19"/>
    <x v="4"/>
    <n v="192.4"/>
    <n v="66414.555999999997"/>
    <s v="OK"/>
    <s v="OK"/>
  </r>
  <r>
    <s v="ITEM-0514"/>
    <x v="8"/>
    <x v="3"/>
    <n v="324.93"/>
    <x v="4"/>
    <n v="4687.5600000000004"/>
    <n v="1523128.8708000001"/>
    <s v="Over Budget"/>
    <s v="OK"/>
  </r>
  <r>
    <s v="ITEM-0515"/>
    <x v="1"/>
    <x v="0"/>
    <n v="447.82"/>
    <x v="0"/>
    <n v="4483.25"/>
    <n v="2007689.0149999999"/>
    <s v="Over Budget"/>
    <s v="OK"/>
  </r>
  <r>
    <s v="ITEM-0516"/>
    <x v="1"/>
    <x v="1"/>
    <n v="314.12"/>
    <x v="2"/>
    <n v="4395.75"/>
    <n v="1380792.99"/>
    <s v="Over Budget"/>
    <s v="OK"/>
  </r>
  <r>
    <s v="ITEM-0517"/>
    <x v="0"/>
    <x v="4"/>
    <n v="118.13"/>
    <x v="2"/>
    <n v="2981.16"/>
    <n v="352164.43079999997"/>
    <s v="Over Budget"/>
    <s v="OK"/>
  </r>
  <r>
    <s v="ITEM-0518"/>
    <x v="9"/>
    <x v="4"/>
    <n v="266.62"/>
    <x v="3"/>
    <n v="4583.72"/>
    <n v="1222111.4264"/>
    <s v="Over Budget"/>
    <s v="OK"/>
  </r>
  <r>
    <s v="ITEM-0519"/>
    <x v="0"/>
    <x v="4"/>
    <n v="186.21"/>
    <x v="4"/>
    <n v="3910.97"/>
    <n v="728261.72369999997"/>
    <s v="Over Budget"/>
    <s v="OK"/>
  </r>
  <r>
    <s v="ITEM-0520"/>
    <x v="1"/>
    <x v="0"/>
    <n v="302.74"/>
    <x v="3"/>
    <n v="3186.11"/>
    <n v="964562.94140000001"/>
    <s v="Over Budget"/>
    <s v="OK"/>
  </r>
  <r>
    <s v="ITEM-0521"/>
    <x v="0"/>
    <x v="3"/>
    <n v="7.96"/>
    <x v="0"/>
    <n v="4111.3900000000003"/>
    <n v="32726.664400000001"/>
    <s v="OK"/>
    <s v="OK"/>
  </r>
  <r>
    <s v="ITEM-0522"/>
    <x v="5"/>
    <x v="2"/>
    <n v="488.1"/>
    <x v="3"/>
    <n v="4272.87"/>
    <n v="2085587.8470000001"/>
    <s v="Over Budget"/>
    <s v="OK"/>
  </r>
  <r>
    <s v="ITEM-0523"/>
    <x v="8"/>
    <x v="3"/>
    <n v="229.56"/>
    <x v="3"/>
    <n v="3383.82"/>
    <n v="776789.71920000005"/>
    <s v="Over Budget"/>
    <s v="OK"/>
  </r>
  <r>
    <s v="ITEM-0524"/>
    <x v="4"/>
    <x v="3"/>
    <n v="189.56"/>
    <x v="2"/>
    <n v="351.87"/>
    <n v="66700.477200000008"/>
    <s v="OK"/>
    <s v="OK"/>
  </r>
  <r>
    <s v="ITEM-0525"/>
    <x v="5"/>
    <x v="0"/>
    <n v="398.22"/>
    <x v="2"/>
    <n v="4810.46"/>
    <n v="1915621.3812000002"/>
    <s v="Over Budget"/>
    <s v="OK"/>
  </r>
  <r>
    <s v="ITEM-0526"/>
    <x v="3"/>
    <x v="1"/>
    <n v="247.76"/>
    <x v="1"/>
    <n v="1544.34"/>
    <n v="382625.67839999998"/>
    <s v="Over Budget"/>
    <s v="OK"/>
  </r>
  <r>
    <s v="ITEM-0527"/>
    <x v="6"/>
    <x v="2"/>
    <n v="138.77000000000001"/>
    <x v="1"/>
    <n v="4218.58"/>
    <n v="585412.34660000005"/>
    <s v="Over Budget"/>
    <s v="OK"/>
  </r>
  <r>
    <s v="ITEM-0528"/>
    <x v="3"/>
    <x v="3"/>
    <n v="473.56"/>
    <x v="3"/>
    <n v="3073.63"/>
    <n v="1455548.2228000001"/>
    <s v="Over Budget"/>
    <s v="OK"/>
  </r>
  <r>
    <s v="ITEM-0529"/>
    <x v="9"/>
    <x v="3"/>
    <n v="256.7"/>
    <x v="2"/>
    <n v="1827.85"/>
    <n v="469209.09499999997"/>
    <s v="Over Budget"/>
    <s v="OK"/>
  </r>
  <r>
    <s v="ITEM-0530"/>
    <x v="9"/>
    <x v="4"/>
    <n v="154.27000000000001"/>
    <x v="0"/>
    <n v="4014.8"/>
    <n v="619363.19600000011"/>
    <s v="Over Budget"/>
    <s v="OK"/>
  </r>
  <r>
    <s v="ITEM-0531"/>
    <x v="1"/>
    <x v="1"/>
    <n v="408.52"/>
    <x v="2"/>
    <n v="3449.51"/>
    <n v="1409193.8252000001"/>
    <s v="Over Budget"/>
    <s v="OK"/>
  </r>
  <r>
    <s v="ITEM-0532"/>
    <x v="0"/>
    <x v="1"/>
    <n v="185.58"/>
    <x v="2"/>
    <n v="375.02"/>
    <n v="69596.211599999995"/>
    <s v="OK"/>
    <s v="OK"/>
  </r>
  <r>
    <s v="ITEM-0533"/>
    <x v="2"/>
    <x v="1"/>
    <n v="202.2"/>
    <x v="2"/>
    <n v="2098.3200000000002"/>
    <n v="424280.304"/>
    <s v="Over Budget"/>
    <s v="OK"/>
  </r>
  <r>
    <s v="ITEM-0534"/>
    <x v="2"/>
    <x v="2"/>
    <n v="71.16"/>
    <x v="1"/>
    <n v="4993.32"/>
    <n v="355324.65119999996"/>
    <s v="Over Budget"/>
    <s v="OK"/>
  </r>
  <r>
    <s v="ITEM-0535"/>
    <x v="8"/>
    <x v="2"/>
    <n v="79.34"/>
    <x v="2"/>
    <n v="1036.83"/>
    <n v="82262.092199999999"/>
    <s v="OK"/>
    <s v="OK"/>
  </r>
  <r>
    <s v="ITEM-0536"/>
    <x v="2"/>
    <x v="3"/>
    <n v="138.46"/>
    <x v="4"/>
    <n v="4299.8"/>
    <n v="595350.30800000008"/>
    <s v="Over Budget"/>
    <s v="OK"/>
  </r>
  <r>
    <s v="ITEM-0537"/>
    <x v="4"/>
    <x v="3"/>
    <n v="499.32"/>
    <x v="2"/>
    <n v="2377.71"/>
    <n v="1187238.1572"/>
    <s v="Over Budget"/>
    <s v="OK"/>
  </r>
  <r>
    <s v="ITEM-0538"/>
    <x v="0"/>
    <x v="2"/>
    <n v="283.35000000000002"/>
    <x v="0"/>
    <n v="1810.06"/>
    <n v="512880.50100000005"/>
    <s v="Over Budget"/>
    <s v="OK"/>
  </r>
  <r>
    <s v="ITEM-0539"/>
    <x v="4"/>
    <x v="3"/>
    <n v="442.77"/>
    <x v="0"/>
    <n v="4915.67"/>
    <n v="2176511.2058999999"/>
    <s v="Over Budget"/>
    <s v="OK"/>
  </r>
  <r>
    <s v="ITEM-0540"/>
    <x v="1"/>
    <x v="2"/>
    <n v="359.41"/>
    <x v="3"/>
    <n v="2785.57"/>
    <n v="1001161.7137000001"/>
    <s v="Over Budget"/>
    <s v="OK"/>
  </r>
  <r>
    <s v="ITEM-0541"/>
    <x v="5"/>
    <x v="2"/>
    <n v="360.7"/>
    <x v="0"/>
    <n v="1680.88"/>
    <n v="606293.41599999997"/>
    <s v="Over Budget"/>
    <s v="OK"/>
  </r>
  <r>
    <s v="ITEM-0542"/>
    <x v="5"/>
    <x v="2"/>
    <n v="222"/>
    <x v="0"/>
    <n v="3933.66"/>
    <n v="873272.52"/>
    <s v="Over Budget"/>
    <s v="OK"/>
  </r>
  <r>
    <s v="ITEM-0543"/>
    <x v="1"/>
    <x v="3"/>
    <n v="134.66"/>
    <x v="2"/>
    <n v="4487.51"/>
    <n v="604288.09660000005"/>
    <s v="Over Budget"/>
    <s v="OK"/>
  </r>
  <r>
    <s v="ITEM-0544"/>
    <x v="6"/>
    <x v="0"/>
    <n v="435.94"/>
    <x v="4"/>
    <n v="4060.53"/>
    <n v="1770147.4482"/>
    <s v="Over Budget"/>
    <s v="OK"/>
  </r>
  <r>
    <s v="ITEM-0545"/>
    <x v="6"/>
    <x v="4"/>
    <n v="322.45"/>
    <x v="2"/>
    <n v="1958.91"/>
    <n v="631650.52949999995"/>
    <s v="Over Budget"/>
    <s v="OK"/>
  </r>
  <r>
    <s v="ITEM-0546"/>
    <x v="8"/>
    <x v="2"/>
    <n v="446.55"/>
    <x v="0"/>
    <n v="664.76"/>
    <n v="296848.57799999998"/>
    <s v="Over Budget"/>
    <s v="OK"/>
  </r>
  <r>
    <s v="ITEM-0547"/>
    <x v="4"/>
    <x v="1"/>
    <n v="448.98"/>
    <x v="0"/>
    <n v="3285.22"/>
    <n v="1474998.0755999999"/>
    <s v="Over Budget"/>
    <s v="OK"/>
  </r>
  <r>
    <s v="ITEM-0548"/>
    <x v="2"/>
    <x v="0"/>
    <n v="50.33"/>
    <x v="4"/>
    <n v="489.68"/>
    <n v="24645.594399999998"/>
    <s v="OK"/>
    <s v="OK"/>
  </r>
  <r>
    <s v="ITEM-0549"/>
    <x v="3"/>
    <x v="2"/>
    <n v="332.88"/>
    <x v="0"/>
    <n v="1958.48"/>
    <n v="651938.82239999995"/>
    <s v="Over Budget"/>
    <s v="OK"/>
  </r>
  <r>
    <s v="ITEM-0550"/>
    <x v="4"/>
    <x v="2"/>
    <n v="448.38"/>
    <x v="2"/>
    <n v="3844.89"/>
    <n v="1723971.7781999998"/>
    <s v="Over Budget"/>
    <s v="OK"/>
  </r>
  <r>
    <s v="ITEM-0551"/>
    <x v="4"/>
    <x v="2"/>
    <n v="49.18"/>
    <x v="1"/>
    <n v="733.85"/>
    <n v="36090.743000000002"/>
    <s v="OK"/>
    <s v="OK"/>
  </r>
  <r>
    <s v="ITEM-0552"/>
    <x v="3"/>
    <x v="3"/>
    <n v="38.4"/>
    <x v="2"/>
    <n v="1392.01"/>
    <n v="53453.184000000001"/>
    <s v="OK"/>
    <s v="OK"/>
  </r>
  <r>
    <s v="ITEM-0553"/>
    <x v="3"/>
    <x v="1"/>
    <n v="104.21"/>
    <x v="4"/>
    <n v="3384.93"/>
    <n v="352743.55529999995"/>
    <s v="Over Budget"/>
    <s v="OK"/>
  </r>
  <r>
    <s v="ITEM-0554"/>
    <x v="3"/>
    <x v="4"/>
    <n v="101.75"/>
    <x v="0"/>
    <n v="4591.8900000000003"/>
    <n v="467224.80750000005"/>
    <s v="Over Budget"/>
    <s v="OK"/>
  </r>
  <r>
    <s v="ITEM-0555"/>
    <x v="4"/>
    <x v="3"/>
    <n v="265.10000000000002"/>
    <x v="2"/>
    <n v="3708.08"/>
    <n v="983012.00800000003"/>
    <s v="Over Budget"/>
    <s v="OK"/>
  </r>
  <r>
    <s v="ITEM-0556"/>
    <x v="5"/>
    <x v="2"/>
    <n v="109.28"/>
    <x v="3"/>
    <n v="1209.46"/>
    <n v="132169.78880000001"/>
    <s v="Over Budget"/>
    <s v="OK"/>
  </r>
  <r>
    <s v="ITEM-0557"/>
    <x v="7"/>
    <x v="0"/>
    <n v="204.26"/>
    <x v="0"/>
    <n v="1216.01"/>
    <n v="248382.20259999999"/>
    <s v="Over Budget"/>
    <s v="OK"/>
  </r>
  <r>
    <s v="ITEM-0558"/>
    <x v="7"/>
    <x v="0"/>
    <n v="15"/>
    <x v="4"/>
    <n v="59.91"/>
    <n v="898.65"/>
    <s v="OK"/>
    <s v="OK"/>
  </r>
  <r>
    <s v="ITEM-0559"/>
    <x v="1"/>
    <x v="0"/>
    <n v="241.21"/>
    <x v="3"/>
    <n v="1137.47"/>
    <n v="274369.13870000001"/>
    <s v="Over Budget"/>
    <s v="OK"/>
  </r>
  <r>
    <s v="ITEM-0560"/>
    <x v="6"/>
    <x v="1"/>
    <n v="319.19"/>
    <x v="2"/>
    <n v="4048.46"/>
    <n v="1292227.9473999999"/>
    <s v="Over Budget"/>
    <s v="OK"/>
  </r>
  <r>
    <s v="ITEM-0561"/>
    <x v="3"/>
    <x v="2"/>
    <n v="61.28"/>
    <x v="4"/>
    <n v="2102.58"/>
    <n v="128846.1024"/>
    <s v="Over Budget"/>
    <s v="OK"/>
  </r>
  <r>
    <s v="ITEM-0562"/>
    <x v="3"/>
    <x v="4"/>
    <n v="430.5"/>
    <x v="0"/>
    <n v="2362.67"/>
    <n v="1017129.4350000001"/>
    <s v="Over Budget"/>
    <s v="OK"/>
  </r>
  <r>
    <s v="ITEM-0563"/>
    <x v="6"/>
    <x v="3"/>
    <n v="362.76"/>
    <x v="2"/>
    <n v="2577.1799999999998"/>
    <n v="934897.81679999991"/>
    <s v="Over Budget"/>
    <s v="OK"/>
  </r>
  <r>
    <s v="ITEM-0564"/>
    <x v="2"/>
    <x v="3"/>
    <n v="260.69"/>
    <x v="2"/>
    <n v="4057.38"/>
    <n v="1057718.3922000001"/>
    <s v="Over Budget"/>
    <s v="OK"/>
  </r>
  <r>
    <s v="ITEM-0565"/>
    <x v="5"/>
    <x v="0"/>
    <n v="279.72000000000003"/>
    <x v="1"/>
    <n v="3579.35"/>
    <n v="1001215.7820000001"/>
    <s v="Over Budget"/>
    <s v="OK"/>
  </r>
  <r>
    <s v="ITEM-0566"/>
    <x v="5"/>
    <x v="2"/>
    <n v="345.26"/>
    <x v="1"/>
    <n v="872.45"/>
    <n v="301222.087"/>
    <s v="Over Budget"/>
    <s v="OK"/>
  </r>
  <r>
    <s v="ITEM-0567"/>
    <x v="4"/>
    <x v="2"/>
    <n v="412.63"/>
    <x v="4"/>
    <n v="4590.95"/>
    <n v="1894363.6984999999"/>
    <s v="Over Budget"/>
    <s v="OK"/>
  </r>
  <r>
    <s v="ITEM-0568"/>
    <x v="7"/>
    <x v="3"/>
    <n v="180.39"/>
    <x v="1"/>
    <n v="545.45000000000005"/>
    <n v="98393.7255"/>
    <s v="OK"/>
    <s v="OK"/>
  </r>
  <r>
    <s v="ITEM-0569"/>
    <x v="5"/>
    <x v="3"/>
    <n v="312.02"/>
    <x v="4"/>
    <n v="2200.0100000000002"/>
    <n v="686447.1202"/>
    <s v="Over Budget"/>
    <s v="OK"/>
  </r>
  <r>
    <s v="ITEM-0570"/>
    <x v="4"/>
    <x v="2"/>
    <n v="162.24"/>
    <x v="2"/>
    <n v="4250.83"/>
    <n v="689654.65919999999"/>
    <s v="Over Budget"/>
    <s v="OK"/>
  </r>
  <r>
    <s v="ITEM-0571"/>
    <x v="2"/>
    <x v="1"/>
    <n v="473.52"/>
    <x v="2"/>
    <n v="3564.13"/>
    <n v="1687686.8376"/>
    <s v="Over Budget"/>
    <s v="OK"/>
  </r>
  <r>
    <s v="ITEM-0572"/>
    <x v="6"/>
    <x v="1"/>
    <n v="436.04"/>
    <x v="1"/>
    <n v="4079.04"/>
    <n v="1778624.6016000002"/>
    <s v="Over Budget"/>
    <s v="OK"/>
  </r>
  <r>
    <s v="ITEM-0573"/>
    <x v="9"/>
    <x v="0"/>
    <n v="205.02"/>
    <x v="0"/>
    <n v="2698.18"/>
    <n v="553180.86360000004"/>
    <s v="Over Budget"/>
    <s v="OK"/>
  </r>
  <r>
    <s v="ITEM-0574"/>
    <x v="9"/>
    <x v="2"/>
    <n v="396.34"/>
    <x v="3"/>
    <n v="1566.41"/>
    <n v="620830.93940000003"/>
    <s v="Over Budget"/>
    <s v="OK"/>
  </r>
  <r>
    <s v="ITEM-0575"/>
    <x v="2"/>
    <x v="3"/>
    <n v="15.02"/>
    <x v="2"/>
    <n v="3560.83"/>
    <n v="53483.666599999997"/>
    <s v="OK"/>
    <s v="OK"/>
  </r>
  <r>
    <s v="ITEM-0576"/>
    <x v="4"/>
    <x v="2"/>
    <n v="22.17"/>
    <x v="2"/>
    <n v="1990.15"/>
    <n v="44121.625500000002"/>
    <s v="OK"/>
    <s v="OK"/>
  </r>
  <r>
    <s v="ITEM-0577"/>
    <x v="5"/>
    <x v="2"/>
    <n v="215.44"/>
    <x v="1"/>
    <n v="2231.54"/>
    <n v="480762.97759999998"/>
    <s v="Over Budget"/>
    <s v="OK"/>
  </r>
  <r>
    <s v="ITEM-0578"/>
    <x v="7"/>
    <x v="4"/>
    <n v="292.41000000000003"/>
    <x v="4"/>
    <n v="4387.88"/>
    <n v="1283059.9908"/>
    <s v="Over Budget"/>
    <s v="OK"/>
  </r>
  <r>
    <s v="ITEM-0579"/>
    <x v="6"/>
    <x v="2"/>
    <n v="99.12"/>
    <x v="0"/>
    <n v="4397.07"/>
    <n v="435837.5784"/>
    <s v="Over Budget"/>
    <s v="OK"/>
  </r>
  <r>
    <s v="ITEM-0580"/>
    <x v="6"/>
    <x v="0"/>
    <n v="88.91"/>
    <x v="1"/>
    <n v="1658.99"/>
    <n v="147500.8009"/>
    <s v="Over Budget"/>
    <s v="OK"/>
  </r>
  <r>
    <s v="ITEM-0581"/>
    <x v="5"/>
    <x v="0"/>
    <n v="159.88999999999999"/>
    <x v="2"/>
    <n v="642.54999999999995"/>
    <n v="102737.31949999998"/>
    <s v="Over Budget"/>
    <s v="OK"/>
  </r>
  <r>
    <s v="ITEM-0582"/>
    <x v="7"/>
    <x v="2"/>
    <n v="121.25"/>
    <x v="4"/>
    <n v="3809"/>
    <n v="461841.25"/>
    <s v="Over Budget"/>
    <s v="OK"/>
  </r>
  <r>
    <s v="ITEM-0583"/>
    <x v="6"/>
    <x v="3"/>
    <n v="64.5"/>
    <x v="0"/>
    <n v="4606.3100000000004"/>
    <n v="297106.99500000005"/>
    <s v="Over Budget"/>
    <s v="OK"/>
  </r>
  <r>
    <s v="ITEM-0584"/>
    <x v="8"/>
    <x v="4"/>
    <n v="59.57"/>
    <x v="4"/>
    <n v="4526.8599999999997"/>
    <n v="269665.0502"/>
    <s v="Over Budget"/>
    <s v="OK"/>
  </r>
  <r>
    <s v="ITEM-0585"/>
    <x v="2"/>
    <x v="4"/>
    <n v="313.83999999999997"/>
    <x v="4"/>
    <n v="4338.6899999999996"/>
    <n v="1361654.4695999997"/>
    <s v="Over Budget"/>
    <s v="OK"/>
  </r>
  <r>
    <s v="ITEM-0586"/>
    <x v="0"/>
    <x v="1"/>
    <n v="395.61"/>
    <x v="4"/>
    <n v="4209.99"/>
    <n v="1665514.1439"/>
    <s v="Over Budget"/>
    <s v="OK"/>
  </r>
  <r>
    <s v="ITEM-0587"/>
    <x v="6"/>
    <x v="1"/>
    <n v="287.38"/>
    <x v="2"/>
    <n v="4051.06"/>
    <n v="1164193.6228"/>
    <s v="Over Budget"/>
    <s v="OK"/>
  </r>
  <r>
    <s v="ITEM-0588"/>
    <x v="5"/>
    <x v="1"/>
    <n v="312.38"/>
    <x v="4"/>
    <n v="115.76"/>
    <n v="36161.108800000002"/>
    <s v="OK"/>
    <s v="OK"/>
  </r>
  <r>
    <s v="ITEM-0589"/>
    <x v="5"/>
    <x v="3"/>
    <n v="104.51"/>
    <x v="3"/>
    <n v="4068.47"/>
    <n v="425195.79969999997"/>
    <s v="Over Budget"/>
    <s v="OK"/>
  </r>
  <r>
    <s v="ITEM-0590"/>
    <x v="6"/>
    <x v="0"/>
    <n v="361.25"/>
    <x v="2"/>
    <n v="2011.37"/>
    <n v="726607.41249999998"/>
    <s v="Over Budget"/>
    <s v="OK"/>
  </r>
  <r>
    <s v="ITEM-0591"/>
    <x v="0"/>
    <x v="4"/>
    <n v="200.68"/>
    <x v="2"/>
    <n v="2382.17"/>
    <n v="478053.87560000003"/>
    <s v="Over Budget"/>
    <s v="OK"/>
  </r>
  <r>
    <s v="ITEM-0592"/>
    <x v="2"/>
    <x v="0"/>
    <n v="440.34"/>
    <x v="2"/>
    <n v="892.49"/>
    <n v="392999.0466"/>
    <s v="Over Budget"/>
    <s v="OK"/>
  </r>
  <r>
    <s v="ITEM-0593"/>
    <x v="9"/>
    <x v="3"/>
    <n v="301.18"/>
    <x v="4"/>
    <n v="4377.13"/>
    <n v="1318304.0134000001"/>
    <s v="Over Budget"/>
    <s v="OK"/>
  </r>
  <r>
    <s v="ITEM-0594"/>
    <x v="2"/>
    <x v="4"/>
    <n v="281.14999999999998"/>
    <x v="2"/>
    <n v="4678.62"/>
    <n v="1315394.0129999998"/>
    <s v="Over Budget"/>
    <s v="OK"/>
  </r>
  <r>
    <s v="ITEM-0595"/>
    <x v="7"/>
    <x v="2"/>
    <n v="460.1"/>
    <x v="3"/>
    <n v="1847.97"/>
    <n v="850250.99700000009"/>
    <s v="Over Budget"/>
    <s v="OK"/>
  </r>
  <r>
    <s v="ITEM-0596"/>
    <x v="2"/>
    <x v="1"/>
    <n v="59.09"/>
    <x v="1"/>
    <n v="693.14"/>
    <n v="40957.642599999999"/>
    <s v="OK"/>
    <s v="OK"/>
  </r>
  <r>
    <s v="ITEM-0597"/>
    <x v="3"/>
    <x v="3"/>
    <n v="375.46"/>
    <x v="2"/>
    <n v="4094.03"/>
    <n v="1537144.5038000001"/>
    <s v="Over Budget"/>
    <s v="OK"/>
  </r>
  <r>
    <s v="ITEM-0598"/>
    <x v="9"/>
    <x v="4"/>
    <n v="346.01"/>
    <x v="0"/>
    <n v="2311.67"/>
    <n v="799860.93669999996"/>
    <s v="Over Budget"/>
    <s v="OK"/>
  </r>
  <r>
    <s v="ITEM-0599"/>
    <x v="4"/>
    <x v="3"/>
    <n v="181.26"/>
    <x v="4"/>
    <n v="2568.8000000000002"/>
    <n v="465620.68800000002"/>
    <s v="Over Budget"/>
    <s v="OK"/>
  </r>
  <r>
    <s v="ITEM-0600"/>
    <x v="3"/>
    <x v="1"/>
    <n v="155.5"/>
    <x v="1"/>
    <n v="1271.93"/>
    <n v="197785.11500000002"/>
    <s v="Over Budget"/>
    <s v="OK"/>
  </r>
  <r>
    <s v="ITEM-0601"/>
    <x v="9"/>
    <x v="3"/>
    <n v="331.64"/>
    <x v="2"/>
    <n v="824.91"/>
    <n v="273573.15239999996"/>
    <s v="Over Budget"/>
    <s v="OK"/>
  </r>
  <r>
    <s v="ITEM-0602"/>
    <x v="0"/>
    <x v="2"/>
    <n v="8.26"/>
    <x v="4"/>
    <n v="2974.25"/>
    <n v="24567.305"/>
    <s v="OK"/>
    <s v="OK"/>
  </r>
  <r>
    <s v="ITEM-0603"/>
    <x v="8"/>
    <x v="0"/>
    <n v="444.69"/>
    <x v="3"/>
    <n v="1497.09"/>
    <n v="665740.95209999999"/>
    <s v="Over Budget"/>
    <s v="OK"/>
  </r>
  <r>
    <s v="ITEM-0604"/>
    <x v="1"/>
    <x v="4"/>
    <n v="161.41"/>
    <x v="4"/>
    <n v="3518.39"/>
    <n v="567903.32990000001"/>
    <s v="Over Budget"/>
    <s v="OK"/>
  </r>
  <r>
    <s v="ITEM-0605"/>
    <x v="9"/>
    <x v="3"/>
    <n v="108.13"/>
    <x v="2"/>
    <n v="2165.5700000000002"/>
    <n v="234163.08410000001"/>
    <s v="Over Budget"/>
    <s v="OK"/>
  </r>
  <r>
    <s v="ITEM-0606"/>
    <x v="0"/>
    <x v="2"/>
    <n v="223.52"/>
    <x v="0"/>
    <n v="3815.69"/>
    <n v="852883.02880000009"/>
    <s v="Over Budget"/>
    <s v="OK"/>
  </r>
  <r>
    <s v="ITEM-0607"/>
    <x v="6"/>
    <x v="2"/>
    <n v="363.98"/>
    <x v="0"/>
    <n v="3458.23"/>
    <n v="1258726.5554"/>
    <s v="Over Budget"/>
    <s v="OK"/>
  </r>
  <r>
    <s v="ITEM-0608"/>
    <x v="7"/>
    <x v="2"/>
    <n v="45.97"/>
    <x v="3"/>
    <n v="4928.71"/>
    <n v="226572.79869999998"/>
    <s v="Over Budget"/>
    <s v="OK"/>
  </r>
  <r>
    <s v="ITEM-0609"/>
    <x v="7"/>
    <x v="2"/>
    <n v="22.87"/>
    <x v="4"/>
    <n v="513.6"/>
    <n v="11746.032000000001"/>
    <s v="OK"/>
    <s v="OK"/>
  </r>
  <r>
    <s v="ITEM-0610"/>
    <x v="0"/>
    <x v="3"/>
    <n v="339.91"/>
    <x v="4"/>
    <n v="1272.3699999999999"/>
    <n v="432491.2867"/>
    <s v="Over Budget"/>
    <s v="OK"/>
  </r>
  <r>
    <s v="ITEM-0611"/>
    <x v="8"/>
    <x v="2"/>
    <n v="42.07"/>
    <x v="1"/>
    <n v="2817.3"/>
    <n v="118523.811"/>
    <s v="Over Budget"/>
    <s v="OK"/>
  </r>
  <r>
    <s v="ITEM-0612"/>
    <x v="8"/>
    <x v="3"/>
    <n v="171.34"/>
    <x v="2"/>
    <n v="3787.22"/>
    <n v="648902.27480000001"/>
    <s v="Over Budget"/>
    <s v="OK"/>
  </r>
  <r>
    <s v="ITEM-0613"/>
    <x v="1"/>
    <x v="3"/>
    <n v="397.95"/>
    <x v="2"/>
    <n v="3746.93"/>
    <n v="1491090.7934999999"/>
    <s v="Over Budget"/>
    <s v="OK"/>
  </r>
  <r>
    <s v="ITEM-0614"/>
    <x v="2"/>
    <x v="3"/>
    <n v="15.45"/>
    <x v="2"/>
    <n v="157.72"/>
    <n v="2436.7739999999999"/>
    <s v="OK"/>
    <s v="OK"/>
  </r>
  <r>
    <s v="ITEM-0615"/>
    <x v="4"/>
    <x v="1"/>
    <n v="277.93"/>
    <x v="0"/>
    <n v="2266.21"/>
    <n v="629847.74530000007"/>
    <s v="Over Budget"/>
    <s v="OK"/>
  </r>
  <r>
    <s v="ITEM-0616"/>
    <x v="4"/>
    <x v="1"/>
    <n v="165.65"/>
    <x v="2"/>
    <n v="2353.91"/>
    <n v="389925.19150000002"/>
    <s v="Over Budget"/>
    <s v="OK"/>
  </r>
  <r>
    <s v="ITEM-0617"/>
    <x v="7"/>
    <x v="1"/>
    <n v="3.02"/>
    <x v="4"/>
    <n v="4352.79"/>
    <n v="13145.425799999999"/>
    <s v="OK"/>
    <s v="OK"/>
  </r>
  <r>
    <s v="ITEM-0618"/>
    <x v="1"/>
    <x v="0"/>
    <n v="493.76"/>
    <x v="1"/>
    <n v="2436.56"/>
    <n v="1203075.8655999999"/>
    <s v="Over Budget"/>
    <s v="OK"/>
  </r>
  <r>
    <s v="ITEM-0619"/>
    <x v="3"/>
    <x v="0"/>
    <n v="390.48"/>
    <x v="3"/>
    <n v="2753.93"/>
    <n v="1075354.5863999999"/>
    <s v="Over Budget"/>
    <s v="OK"/>
  </r>
  <r>
    <s v="ITEM-0620"/>
    <x v="2"/>
    <x v="4"/>
    <n v="392"/>
    <x v="3"/>
    <n v="4577.3500000000004"/>
    <n v="1794321.2000000002"/>
    <s v="Over Budget"/>
    <s v="OK"/>
  </r>
  <r>
    <s v="ITEM-0621"/>
    <x v="8"/>
    <x v="2"/>
    <n v="212.65"/>
    <x v="1"/>
    <n v="904"/>
    <n v="192235.6"/>
    <s v="Over Budget"/>
    <s v="OK"/>
  </r>
  <r>
    <s v="ITEM-0622"/>
    <x v="1"/>
    <x v="4"/>
    <n v="454.97"/>
    <x v="0"/>
    <n v="4475.5600000000004"/>
    <n v="2036245.5332000004"/>
    <s v="Over Budget"/>
    <s v="OK"/>
  </r>
  <r>
    <s v="ITEM-0623"/>
    <x v="6"/>
    <x v="3"/>
    <n v="359.51"/>
    <x v="1"/>
    <n v="3828.39"/>
    <n v="1376344.4889"/>
    <s v="Over Budget"/>
    <s v="OK"/>
  </r>
  <r>
    <s v="ITEM-0624"/>
    <x v="7"/>
    <x v="2"/>
    <n v="482.95"/>
    <x v="4"/>
    <n v="1133.7"/>
    <n v="547520.41500000004"/>
    <s v="Over Budget"/>
    <s v="OK"/>
  </r>
  <r>
    <s v="ITEM-0625"/>
    <x v="8"/>
    <x v="3"/>
    <n v="360.46"/>
    <x v="4"/>
    <n v="1567.36"/>
    <n v="564970.58559999987"/>
    <s v="Over Budget"/>
    <s v="OK"/>
  </r>
  <r>
    <s v="ITEM-0626"/>
    <x v="6"/>
    <x v="3"/>
    <n v="87"/>
    <x v="0"/>
    <n v="3574.72"/>
    <n v="311000.63999999996"/>
    <s v="Over Budget"/>
    <s v="OK"/>
  </r>
  <r>
    <s v="ITEM-0627"/>
    <x v="9"/>
    <x v="3"/>
    <n v="139.26"/>
    <x v="1"/>
    <n v="3622.47"/>
    <n v="504465.17219999991"/>
    <s v="Over Budget"/>
    <s v="OK"/>
  </r>
  <r>
    <s v="ITEM-0628"/>
    <x v="4"/>
    <x v="0"/>
    <n v="197.23"/>
    <x v="0"/>
    <n v="3200.58"/>
    <n v="631250.39339999994"/>
    <s v="Over Budget"/>
    <s v="OK"/>
  </r>
  <r>
    <s v="ITEM-0629"/>
    <x v="5"/>
    <x v="1"/>
    <n v="94.72"/>
    <x v="4"/>
    <n v="3841.79"/>
    <n v="363894.34879999998"/>
    <s v="Over Budget"/>
    <s v="OK"/>
  </r>
  <r>
    <s v="ITEM-0630"/>
    <x v="4"/>
    <x v="3"/>
    <n v="306.20999999999998"/>
    <x v="4"/>
    <n v="364.81"/>
    <n v="111708.47009999999"/>
    <s v="Over Budget"/>
    <s v="OK"/>
  </r>
  <r>
    <s v="ITEM-0631"/>
    <x v="0"/>
    <x v="1"/>
    <n v="293.94"/>
    <x v="4"/>
    <n v="1029.42"/>
    <n v="302587.71480000002"/>
    <s v="Over Budget"/>
    <s v="OK"/>
  </r>
  <r>
    <s v="ITEM-0632"/>
    <x v="1"/>
    <x v="0"/>
    <n v="226"/>
    <x v="2"/>
    <n v="1143.05"/>
    <n v="258329.3"/>
    <s v="Over Budget"/>
    <s v="OK"/>
  </r>
  <r>
    <s v="ITEM-0633"/>
    <x v="5"/>
    <x v="1"/>
    <n v="488.2"/>
    <x v="0"/>
    <n v="1971.2"/>
    <n v="962339.83999999997"/>
    <s v="Over Budget"/>
    <s v="OK"/>
  </r>
  <r>
    <s v="ITEM-0634"/>
    <x v="7"/>
    <x v="2"/>
    <n v="169.74"/>
    <x v="2"/>
    <n v="4262.62"/>
    <n v="723537.11880000005"/>
    <s v="Over Budget"/>
    <s v="OK"/>
  </r>
  <r>
    <s v="ITEM-0635"/>
    <x v="9"/>
    <x v="3"/>
    <n v="153.97"/>
    <x v="0"/>
    <n v="2341.5700000000002"/>
    <n v="360531.53290000005"/>
    <s v="Over Budget"/>
    <s v="OK"/>
  </r>
  <r>
    <s v="ITEM-0636"/>
    <x v="7"/>
    <x v="2"/>
    <n v="437.81"/>
    <x v="3"/>
    <n v="3398.19"/>
    <n v="1487761.5639"/>
    <s v="Over Budget"/>
    <s v="OK"/>
  </r>
  <r>
    <s v="ITEM-0637"/>
    <x v="8"/>
    <x v="3"/>
    <n v="395.6"/>
    <x v="3"/>
    <n v="4702.25"/>
    <n v="1860210.1"/>
    <s v="Over Budget"/>
    <s v="OK"/>
  </r>
  <r>
    <s v="ITEM-0638"/>
    <x v="4"/>
    <x v="4"/>
    <n v="269.3"/>
    <x v="2"/>
    <n v="4141.1000000000004"/>
    <n v="1115198.2300000002"/>
    <s v="Over Budget"/>
    <s v="OK"/>
  </r>
  <r>
    <s v="ITEM-0639"/>
    <x v="2"/>
    <x v="4"/>
    <n v="404.41"/>
    <x v="3"/>
    <n v="803.3"/>
    <n v="324862.55300000001"/>
    <s v="Over Budget"/>
    <s v="OK"/>
  </r>
  <r>
    <s v="ITEM-0640"/>
    <x v="7"/>
    <x v="0"/>
    <n v="439.3"/>
    <x v="3"/>
    <n v="1620.96"/>
    <n v="712087.728"/>
    <s v="Over Budget"/>
    <s v="OK"/>
  </r>
  <r>
    <s v="ITEM-0641"/>
    <x v="8"/>
    <x v="2"/>
    <n v="271.81"/>
    <x v="4"/>
    <n v="872.34"/>
    <n v="237110.73540000001"/>
    <s v="Over Budget"/>
    <s v="OK"/>
  </r>
  <r>
    <s v="ITEM-0642"/>
    <x v="0"/>
    <x v="3"/>
    <n v="355.31"/>
    <x v="0"/>
    <n v="4948.4399999999996"/>
    <n v="1758230.2163999998"/>
    <s v="Over Budget"/>
    <s v="OK"/>
  </r>
  <r>
    <s v="ITEM-0643"/>
    <x v="4"/>
    <x v="4"/>
    <n v="300.54000000000002"/>
    <x v="4"/>
    <n v="3372.08"/>
    <n v="1013444.9232000001"/>
    <s v="Over Budget"/>
    <s v="OK"/>
  </r>
  <r>
    <s v="ITEM-0644"/>
    <x v="2"/>
    <x v="3"/>
    <n v="21.74"/>
    <x v="3"/>
    <n v="1124.6600000000001"/>
    <n v="24450.108400000001"/>
    <s v="OK"/>
    <s v="OK"/>
  </r>
  <r>
    <s v="ITEM-0645"/>
    <x v="9"/>
    <x v="0"/>
    <n v="313.89999999999998"/>
    <x v="1"/>
    <n v="2701.29"/>
    <n v="847934.93099999998"/>
    <s v="Over Budget"/>
    <s v="OK"/>
  </r>
  <r>
    <s v="ITEM-0646"/>
    <x v="3"/>
    <x v="2"/>
    <n v="326.54000000000002"/>
    <x v="1"/>
    <n v="1449.48"/>
    <n v="473313.19920000003"/>
    <s v="Over Budget"/>
    <s v="OK"/>
  </r>
  <r>
    <s v="ITEM-0647"/>
    <x v="8"/>
    <x v="1"/>
    <n v="433.41"/>
    <x v="3"/>
    <n v="4604.1400000000003"/>
    <n v="1995480.3174000003"/>
    <s v="Over Budget"/>
    <s v="OK"/>
  </r>
  <r>
    <s v="ITEM-0648"/>
    <x v="9"/>
    <x v="0"/>
    <n v="31.08"/>
    <x v="0"/>
    <n v="142.32"/>
    <n v="4423.3055999999997"/>
    <s v="OK"/>
    <s v="OK"/>
  </r>
  <r>
    <s v="ITEM-0649"/>
    <x v="4"/>
    <x v="3"/>
    <n v="402.97"/>
    <x v="4"/>
    <n v="1104.0999999999999"/>
    <n v="444919.17699999997"/>
    <s v="Over Budget"/>
    <s v="OK"/>
  </r>
  <r>
    <s v="ITEM-0650"/>
    <x v="6"/>
    <x v="3"/>
    <n v="296.79000000000002"/>
    <x v="0"/>
    <n v="183.19"/>
    <n v="54368.960100000004"/>
    <s v="OK"/>
    <s v="OK"/>
  </r>
  <r>
    <s v="ITEM-0651"/>
    <x v="0"/>
    <x v="0"/>
    <n v="35.799999999999997"/>
    <x v="4"/>
    <n v="2070"/>
    <n v="74106"/>
    <s v="OK"/>
    <s v="OK"/>
  </r>
  <r>
    <s v="ITEM-0652"/>
    <x v="5"/>
    <x v="3"/>
    <n v="462.58"/>
    <x v="1"/>
    <n v="4117.41"/>
    <n v="1904631.5177999998"/>
    <s v="Over Budget"/>
    <s v="OK"/>
  </r>
  <r>
    <s v="ITEM-0653"/>
    <x v="3"/>
    <x v="3"/>
    <n v="292.37"/>
    <x v="0"/>
    <n v="2139.94"/>
    <n v="625654.25780000002"/>
    <s v="Over Budget"/>
    <s v="OK"/>
  </r>
  <r>
    <s v="ITEM-0654"/>
    <x v="7"/>
    <x v="1"/>
    <n v="7.68"/>
    <x v="3"/>
    <n v="3586.28"/>
    <n v="27542.630400000002"/>
    <s v="OK"/>
    <s v="OK"/>
  </r>
  <r>
    <s v="ITEM-0655"/>
    <x v="4"/>
    <x v="4"/>
    <n v="112.88"/>
    <x v="0"/>
    <n v="4711.09"/>
    <n v="531787.83920000005"/>
    <s v="Over Budget"/>
    <s v="OK"/>
  </r>
  <r>
    <s v="ITEM-0656"/>
    <x v="6"/>
    <x v="3"/>
    <n v="101.25"/>
    <x v="0"/>
    <n v="4699.1000000000004"/>
    <n v="475783.87500000006"/>
    <s v="Over Budget"/>
    <s v="OK"/>
  </r>
  <r>
    <s v="ITEM-0657"/>
    <x v="4"/>
    <x v="2"/>
    <n v="491.36"/>
    <x v="2"/>
    <n v="821.75"/>
    <n v="403775.08"/>
    <s v="Over Budget"/>
    <s v="OK"/>
  </r>
  <r>
    <s v="ITEM-0658"/>
    <x v="4"/>
    <x v="2"/>
    <n v="10.92"/>
    <x v="3"/>
    <n v="4495.95"/>
    <n v="49095.773999999998"/>
    <s v="OK"/>
    <s v="OK"/>
  </r>
  <r>
    <s v="ITEM-0659"/>
    <x v="2"/>
    <x v="0"/>
    <n v="114.68"/>
    <x v="2"/>
    <n v="2738.39"/>
    <n v="314038.56520000001"/>
    <s v="Over Budget"/>
    <s v="OK"/>
  </r>
  <r>
    <s v="ITEM-0660"/>
    <x v="1"/>
    <x v="4"/>
    <n v="138.03"/>
    <x v="1"/>
    <n v="1527.18"/>
    <n v="210796.65540000002"/>
    <s v="Over Budget"/>
    <s v="OK"/>
  </r>
  <r>
    <s v="ITEM-0661"/>
    <x v="6"/>
    <x v="4"/>
    <n v="155.6"/>
    <x v="4"/>
    <n v="3909.15"/>
    <n v="608263.74"/>
    <s v="Over Budget"/>
    <s v="OK"/>
  </r>
  <r>
    <s v="ITEM-0662"/>
    <x v="4"/>
    <x v="3"/>
    <n v="369.79"/>
    <x v="4"/>
    <n v="3005.62"/>
    <n v="1111448.2198000001"/>
    <s v="Over Budget"/>
    <s v="OK"/>
  </r>
  <r>
    <s v="ITEM-0663"/>
    <x v="2"/>
    <x v="2"/>
    <n v="452.77"/>
    <x v="3"/>
    <n v="4760"/>
    <n v="2155185.1999999997"/>
    <s v="Over Budget"/>
    <s v="OK"/>
  </r>
  <r>
    <s v="ITEM-0664"/>
    <x v="8"/>
    <x v="0"/>
    <n v="213.07"/>
    <x v="4"/>
    <n v="3413.79"/>
    <n v="727376.23529999994"/>
    <s v="Over Budget"/>
    <s v="OK"/>
  </r>
  <r>
    <s v="ITEM-0665"/>
    <x v="9"/>
    <x v="3"/>
    <n v="308.60000000000002"/>
    <x v="4"/>
    <n v="4772.4399999999996"/>
    <n v="1472774.9839999999"/>
    <s v="Over Budget"/>
    <s v="OK"/>
  </r>
  <r>
    <s v="ITEM-0666"/>
    <x v="5"/>
    <x v="1"/>
    <n v="262.08"/>
    <x v="4"/>
    <n v="1486.42"/>
    <n v="389560.95360000001"/>
    <s v="Over Budget"/>
    <s v="OK"/>
  </r>
  <r>
    <s v="ITEM-0667"/>
    <x v="0"/>
    <x v="3"/>
    <n v="440.64"/>
    <x v="0"/>
    <n v="1546.66"/>
    <n v="681520.26240000001"/>
    <s v="Over Budget"/>
    <s v="OK"/>
  </r>
  <r>
    <s v="ITEM-0668"/>
    <x v="9"/>
    <x v="4"/>
    <n v="111.17"/>
    <x v="3"/>
    <n v="4321.4799999999996"/>
    <n v="480418.93159999995"/>
    <s v="Over Budget"/>
    <s v="OK"/>
  </r>
  <r>
    <s v="ITEM-0669"/>
    <x v="7"/>
    <x v="3"/>
    <n v="285.44"/>
    <x v="0"/>
    <n v="1441.59"/>
    <n v="411487.44959999999"/>
    <s v="Over Budget"/>
    <s v="OK"/>
  </r>
  <r>
    <s v="ITEM-0670"/>
    <x v="4"/>
    <x v="2"/>
    <n v="246.52"/>
    <x v="1"/>
    <n v="3905.38"/>
    <n v="962754.27760000003"/>
    <s v="Over Budget"/>
    <s v="OK"/>
  </r>
  <r>
    <s v="ITEM-0671"/>
    <x v="7"/>
    <x v="3"/>
    <n v="271.74"/>
    <x v="3"/>
    <n v="4875.75"/>
    <n v="1324936.3049999999"/>
    <s v="Over Budget"/>
    <s v="OK"/>
  </r>
  <r>
    <s v="ITEM-0672"/>
    <x v="2"/>
    <x v="2"/>
    <n v="264.92"/>
    <x v="2"/>
    <n v="2797.7"/>
    <n v="741166.68400000001"/>
    <s v="Over Budget"/>
    <s v="OK"/>
  </r>
  <r>
    <s v="ITEM-0673"/>
    <x v="4"/>
    <x v="0"/>
    <n v="104.52"/>
    <x v="2"/>
    <n v="3379.64"/>
    <n v="353239.97279999999"/>
    <s v="Over Budget"/>
    <s v="OK"/>
  </r>
  <r>
    <s v="ITEM-0674"/>
    <x v="2"/>
    <x v="4"/>
    <n v="141.65"/>
    <x v="1"/>
    <n v="2492.77"/>
    <n v="353100.87050000002"/>
    <s v="Over Budget"/>
    <s v="OK"/>
  </r>
  <r>
    <s v="ITEM-0675"/>
    <x v="5"/>
    <x v="4"/>
    <n v="192.15"/>
    <x v="0"/>
    <n v="1793.35"/>
    <n v="344592.20250000001"/>
    <s v="Over Budget"/>
    <s v="OK"/>
  </r>
  <r>
    <s v="ITEM-0676"/>
    <x v="3"/>
    <x v="3"/>
    <n v="280.24"/>
    <x v="1"/>
    <n v="2742.62"/>
    <n v="768591.82880000002"/>
    <s v="Over Budget"/>
    <s v="OK"/>
  </r>
  <r>
    <s v="ITEM-0677"/>
    <x v="4"/>
    <x v="4"/>
    <n v="50.93"/>
    <x v="3"/>
    <n v="369.18"/>
    <n v="18802.3374"/>
    <s v="OK"/>
    <s v="OK"/>
  </r>
  <r>
    <s v="ITEM-0678"/>
    <x v="6"/>
    <x v="3"/>
    <n v="311.76"/>
    <x v="4"/>
    <n v="4260.8500000000004"/>
    <n v="1328362.5960000001"/>
    <s v="Over Budget"/>
    <s v="OK"/>
  </r>
  <r>
    <s v="ITEM-0679"/>
    <x v="5"/>
    <x v="1"/>
    <n v="300.89"/>
    <x v="1"/>
    <n v="4681.4799999999996"/>
    <n v="1408610.5171999999"/>
    <s v="Over Budget"/>
    <s v="OK"/>
  </r>
  <r>
    <s v="ITEM-0680"/>
    <x v="4"/>
    <x v="3"/>
    <n v="313.83999999999997"/>
    <x v="2"/>
    <n v="4474.8100000000004"/>
    <n v="1404374.3703999999"/>
    <s v="Over Budget"/>
    <s v="OK"/>
  </r>
  <r>
    <s v="ITEM-0681"/>
    <x v="9"/>
    <x v="4"/>
    <n v="133.69"/>
    <x v="2"/>
    <n v="3124.67"/>
    <n v="417737.1323"/>
    <s v="Over Budget"/>
    <s v="OK"/>
  </r>
  <r>
    <s v="ITEM-0682"/>
    <x v="3"/>
    <x v="4"/>
    <n v="293.82"/>
    <x v="4"/>
    <n v="3820.03"/>
    <n v="1122401.2146000001"/>
    <s v="Over Budget"/>
    <s v="OK"/>
  </r>
  <r>
    <s v="ITEM-0683"/>
    <x v="1"/>
    <x v="4"/>
    <n v="396.14"/>
    <x v="1"/>
    <n v="3666.02"/>
    <n v="1452257.1628"/>
    <s v="Over Budget"/>
    <s v="OK"/>
  </r>
  <r>
    <s v="ITEM-0684"/>
    <x v="9"/>
    <x v="0"/>
    <n v="384.25"/>
    <x v="1"/>
    <n v="745.93"/>
    <n v="286623.60249999998"/>
    <s v="Over Budget"/>
    <s v="OK"/>
  </r>
  <r>
    <s v="ITEM-0685"/>
    <x v="8"/>
    <x v="1"/>
    <n v="177.07"/>
    <x v="0"/>
    <n v="1124.5899999999999"/>
    <n v="199131.15129999997"/>
    <s v="Over Budget"/>
    <s v="OK"/>
  </r>
  <r>
    <s v="ITEM-0686"/>
    <x v="8"/>
    <x v="1"/>
    <n v="260.51"/>
    <x v="2"/>
    <n v="3497.94"/>
    <n v="911248.34939999995"/>
    <s v="Over Budget"/>
    <s v="OK"/>
  </r>
  <r>
    <s v="ITEM-0687"/>
    <x v="6"/>
    <x v="1"/>
    <n v="52.86"/>
    <x v="0"/>
    <n v="831.67"/>
    <n v="43962.076199999996"/>
    <s v="OK"/>
    <s v="OK"/>
  </r>
  <r>
    <s v="ITEM-0688"/>
    <x v="0"/>
    <x v="4"/>
    <n v="366.68"/>
    <x v="2"/>
    <n v="2479.9499999999998"/>
    <n v="909348.06599999999"/>
    <s v="Over Budget"/>
    <s v="OK"/>
  </r>
  <r>
    <s v="ITEM-0689"/>
    <x v="8"/>
    <x v="2"/>
    <n v="443.3"/>
    <x v="1"/>
    <n v="2233.19"/>
    <n v="989973.12700000009"/>
    <s v="Over Budget"/>
    <s v="OK"/>
  </r>
  <r>
    <s v="ITEM-0690"/>
    <x v="9"/>
    <x v="3"/>
    <n v="92.16"/>
    <x v="2"/>
    <n v="1416.98"/>
    <n v="130588.8768"/>
    <s v="Over Budget"/>
    <s v="OK"/>
  </r>
  <r>
    <s v="ITEM-0691"/>
    <x v="2"/>
    <x v="4"/>
    <n v="280.93"/>
    <x v="2"/>
    <n v="4609.21"/>
    <n v="1294865.3652999999"/>
    <s v="Over Budget"/>
    <s v="OK"/>
  </r>
  <r>
    <s v="ITEM-0692"/>
    <x v="8"/>
    <x v="2"/>
    <n v="452.5"/>
    <x v="1"/>
    <n v="1804.11"/>
    <n v="816359.77499999991"/>
    <s v="Over Budget"/>
    <s v="OK"/>
  </r>
  <r>
    <s v="ITEM-0693"/>
    <x v="6"/>
    <x v="0"/>
    <n v="336.88"/>
    <x v="1"/>
    <n v="2263.23"/>
    <n v="762436.92240000004"/>
    <s v="Over Budget"/>
    <s v="OK"/>
  </r>
  <r>
    <s v="ITEM-0694"/>
    <x v="4"/>
    <x v="0"/>
    <n v="165.11"/>
    <x v="1"/>
    <n v="184.51"/>
    <n v="30464.446100000001"/>
    <s v="OK"/>
    <s v="OK"/>
  </r>
  <r>
    <s v="ITEM-0695"/>
    <x v="6"/>
    <x v="1"/>
    <n v="352.53"/>
    <x v="1"/>
    <n v="1304.69"/>
    <n v="459942.36569999997"/>
    <s v="Over Budget"/>
    <s v="OK"/>
  </r>
  <r>
    <s v="ITEM-0696"/>
    <x v="8"/>
    <x v="0"/>
    <n v="138.53"/>
    <x v="4"/>
    <n v="928.69"/>
    <n v="128651.42570000001"/>
    <s v="Over Budget"/>
    <s v="OK"/>
  </r>
  <r>
    <s v="ITEM-0697"/>
    <x v="7"/>
    <x v="1"/>
    <n v="218.69"/>
    <x v="1"/>
    <n v="748.52"/>
    <n v="163693.8388"/>
    <s v="Over Budget"/>
    <s v="OK"/>
  </r>
  <r>
    <s v="ITEM-0698"/>
    <x v="5"/>
    <x v="0"/>
    <n v="92.8"/>
    <x v="4"/>
    <n v="4177.3"/>
    <n v="387653.44"/>
    <s v="Over Budget"/>
    <s v="OK"/>
  </r>
  <r>
    <s v="ITEM-0699"/>
    <x v="7"/>
    <x v="2"/>
    <n v="146.57"/>
    <x v="4"/>
    <n v="3592.74"/>
    <n v="526587.90179999999"/>
    <s v="Over Budget"/>
    <s v="OK"/>
  </r>
  <r>
    <s v="ITEM-0700"/>
    <x v="4"/>
    <x v="4"/>
    <n v="482.61"/>
    <x v="0"/>
    <n v="308.33999999999997"/>
    <n v="148807.96739999999"/>
    <s v="Over Budget"/>
    <s v="OK"/>
  </r>
  <r>
    <s v="ITEM-0701"/>
    <x v="8"/>
    <x v="2"/>
    <n v="231.38"/>
    <x v="2"/>
    <n v="729.85"/>
    <n v="168872.693"/>
    <s v="Over Budget"/>
    <s v="OK"/>
  </r>
  <r>
    <s v="ITEM-0702"/>
    <x v="3"/>
    <x v="2"/>
    <n v="24.34"/>
    <x v="1"/>
    <n v="2085.2600000000002"/>
    <n v="50755.228400000007"/>
    <s v="OK"/>
    <s v="OK"/>
  </r>
  <r>
    <s v="ITEM-0703"/>
    <x v="1"/>
    <x v="4"/>
    <n v="362.73"/>
    <x v="3"/>
    <n v="4142.84"/>
    <n v="1502732.3532"/>
    <s v="Over Budget"/>
    <s v="OK"/>
  </r>
  <r>
    <s v="ITEM-0704"/>
    <x v="6"/>
    <x v="1"/>
    <n v="337.96"/>
    <x v="2"/>
    <n v="1065.27"/>
    <n v="360018.64919999999"/>
    <s v="Over Budget"/>
    <s v="OK"/>
  </r>
  <r>
    <s v="ITEM-0705"/>
    <x v="3"/>
    <x v="2"/>
    <n v="76.53"/>
    <x v="1"/>
    <n v="3712.7"/>
    <n v="284132.93099999998"/>
    <s v="Over Budget"/>
    <s v="OK"/>
  </r>
  <r>
    <s v="ITEM-0706"/>
    <x v="0"/>
    <x v="3"/>
    <n v="91.71"/>
    <x v="4"/>
    <n v="1140.57"/>
    <n v="104601.67469999999"/>
    <s v="Over Budget"/>
    <s v="OK"/>
  </r>
  <r>
    <s v="ITEM-0707"/>
    <x v="2"/>
    <x v="3"/>
    <n v="281.66000000000003"/>
    <x v="4"/>
    <n v="1871.63"/>
    <n v="527163.30580000009"/>
    <s v="Over Budget"/>
    <s v="OK"/>
  </r>
  <r>
    <s v="ITEM-0708"/>
    <x v="7"/>
    <x v="2"/>
    <n v="388.73"/>
    <x v="0"/>
    <n v="4209.95"/>
    <n v="1636533.8635"/>
    <s v="Over Budget"/>
    <s v="OK"/>
  </r>
  <r>
    <s v="ITEM-0709"/>
    <x v="3"/>
    <x v="4"/>
    <n v="357.69"/>
    <x v="0"/>
    <n v="823.4"/>
    <n v="294521.946"/>
    <s v="Over Budget"/>
    <s v="OK"/>
  </r>
  <r>
    <s v="ITEM-0710"/>
    <x v="0"/>
    <x v="0"/>
    <n v="243.83"/>
    <x v="4"/>
    <n v="3891.32"/>
    <n v="948820.55560000008"/>
    <s v="Over Budget"/>
    <s v="OK"/>
  </r>
  <r>
    <s v="ITEM-0711"/>
    <x v="5"/>
    <x v="0"/>
    <n v="218.06"/>
    <x v="0"/>
    <n v="324.04000000000002"/>
    <n v="70660.162400000001"/>
    <s v="OK"/>
    <s v="OK"/>
  </r>
  <r>
    <s v="ITEM-0712"/>
    <x v="6"/>
    <x v="0"/>
    <n v="43.51"/>
    <x v="1"/>
    <n v="595.87"/>
    <n v="25926.3037"/>
    <s v="OK"/>
    <s v="OK"/>
  </r>
  <r>
    <s v="ITEM-0713"/>
    <x v="6"/>
    <x v="2"/>
    <n v="87.06"/>
    <x v="4"/>
    <n v="3555.83"/>
    <n v="309570.55979999999"/>
    <s v="Over Budget"/>
    <s v="OK"/>
  </r>
  <r>
    <s v="ITEM-0714"/>
    <x v="2"/>
    <x v="2"/>
    <n v="95.85"/>
    <x v="1"/>
    <n v="1968.39"/>
    <n v="188670.18150000001"/>
    <s v="Over Budget"/>
    <s v="OK"/>
  </r>
  <r>
    <s v="ITEM-0715"/>
    <x v="9"/>
    <x v="3"/>
    <n v="205.84"/>
    <x v="0"/>
    <n v="4103.82"/>
    <n v="844730.3088"/>
    <s v="Over Budget"/>
    <s v="OK"/>
  </r>
  <r>
    <s v="ITEM-0716"/>
    <x v="9"/>
    <x v="1"/>
    <n v="439.67"/>
    <x v="0"/>
    <n v="3294.58"/>
    <n v="1448527.9886"/>
    <s v="Over Budget"/>
    <s v="OK"/>
  </r>
  <r>
    <s v="ITEM-0717"/>
    <x v="1"/>
    <x v="1"/>
    <n v="277.99"/>
    <x v="1"/>
    <n v="2042.5"/>
    <n v="567794.57500000007"/>
    <s v="Over Budget"/>
    <s v="OK"/>
  </r>
  <r>
    <s v="ITEM-0718"/>
    <x v="9"/>
    <x v="2"/>
    <n v="463.88"/>
    <x v="4"/>
    <n v="3125.58"/>
    <n v="1449894.0504000001"/>
    <s v="Over Budget"/>
    <s v="OK"/>
  </r>
  <r>
    <s v="ITEM-0719"/>
    <x v="8"/>
    <x v="2"/>
    <n v="11.89"/>
    <x v="2"/>
    <n v="2396.13"/>
    <n v="28489.985700000001"/>
    <s v="OK"/>
    <s v="OK"/>
  </r>
  <r>
    <s v="ITEM-0720"/>
    <x v="8"/>
    <x v="4"/>
    <n v="78.72"/>
    <x v="2"/>
    <n v="872.51"/>
    <n v="68683.987200000003"/>
    <s v="OK"/>
    <s v="OK"/>
  </r>
  <r>
    <s v="ITEM-0721"/>
    <x v="4"/>
    <x v="1"/>
    <n v="64.28"/>
    <x v="1"/>
    <n v="4937.79"/>
    <n v="317401.14120000001"/>
    <s v="Over Budget"/>
    <s v="OK"/>
  </r>
  <r>
    <s v="ITEM-0722"/>
    <x v="2"/>
    <x v="3"/>
    <n v="234.53"/>
    <x v="0"/>
    <n v="1083.33"/>
    <n v="254073.38489999998"/>
    <s v="Over Budget"/>
    <s v="OK"/>
  </r>
  <r>
    <s v="ITEM-0723"/>
    <x v="4"/>
    <x v="1"/>
    <n v="52.61"/>
    <x v="2"/>
    <n v="3115.68"/>
    <n v="163915.92479999998"/>
    <s v="Over Budget"/>
    <s v="OK"/>
  </r>
  <r>
    <s v="ITEM-0724"/>
    <x v="3"/>
    <x v="4"/>
    <n v="454.31"/>
    <x v="2"/>
    <n v="1353.21"/>
    <n v="614776.83510000003"/>
    <s v="Over Budget"/>
    <s v="OK"/>
  </r>
  <r>
    <s v="ITEM-0725"/>
    <x v="4"/>
    <x v="1"/>
    <n v="124.56"/>
    <x v="0"/>
    <n v="2818.34"/>
    <n v="351052.43040000001"/>
    <s v="Over Budget"/>
    <s v="OK"/>
  </r>
  <r>
    <s v="ITEM-0726"/>
    <x v="8"/>
    <x v="1"/>
    <n v="269.37"/>
    <x v="4"/>
    <n v="4944.84"/>
    <n v="1331991.5508000001"/>
    <s v="Over Budget"/>
    <s v="OK"/>
  </r>
  <r>
    <s v="ITEM-0727"/>
    <x v="9"/>
    <x v="2"/>
    <n v="367.05"/>
    <x v="2"/>
    <n v="3163.69"/>
    <n v="1161232.4145"/>
    <s v="Over Budget"/>
    <s v="OK"/>
  </r>
  <r>
    <s v="ITEM-0728"/>
    <x v="9"/>
    <x v="1"/>
    <n v="254.01"/>
    <x v="0"/>
    <n v="450.59"/>
    <n v="114454.36589999999"/>
    <s v="Over Budget"/>
    <s v="OK"/>
  </r>
  <r>
    <s v="ITEM-0729"/>
    <x v="8"/>
    <x v="0"/>
    <n v="300.95999999999998"/>
    <x v="3"/>
    <n v="2005.99"/>
    <n v="603722.75040000002"/>
    <s v="Over Budget"/>
    <s v="OK"/>
  </r>
  <r>
    <s v="ITEM-0730"/>
    <x v="5"/>
    <x v="2"/>
    <n v="366.17"/>
    <x v="0"/>
    <n v="2936.73"/>
    <n v="1075342.4240999999"/>
    <s v="Over Budget"/>
    <s v="OK"/>
  </r>
  <r>
    <s v="ITEM-0731"/>
    <x v="7"/>
    <x v="4"/>
    <n v="435.27"/>
    <x v="3"/>
    <n v="4307.46"/>
    <n v="1874908.1142"/>
    <s v="Over Budget"/>
    <s v="OK"/>
  </r>
  <r>
    <s v="ITEM-0732"/>
    <x v="6"/>
    <x v="1"/>
    <n v="319.82"/>
    <x v="0"/>
    <n v="2330.1799999999998"/>
    <n v="745238.16759999993"/>
    <s v="Over Budget"/>
    <s v="OK"/>
  </r>
  <r>
    <s v="ITEM-0733"/>
    <x v="9"/>
    <x v="2"/>
    <n v="316.47000000000003"/>
    <x v="1"/>
    <n v="4560.08"/>
    <n v="1443128.5176000001"/>
    <s v="Over Budget"/>
    <s v="OK"/>
  </r>
  <r>
    <s v="ITEM-0734"/>
    <x v="7"/>
    <x v="4"/>
    <n v="4.66"/>
    <x v="3"/>
    <n v="4540.59"/>
    <n v="21159.149400000002"/>
    <s v="OK"/>
    <s v="OK"/>
  </r>
  <r>
    <s v="ITEM-0735"/>
    <x v="5"/>
    <x v="2"/>
    <n v="496.25"/>
    <x v="4"/>
    <n v="1061.3800000000001"/>
    <n v="526709.82500000007"/>
    <s v="Over Budget"/>
    <s v="OK"/>
  </r>
  <r>
    <s v="ITEM-0736"/>
    <x v="9"/>
    <x v="0"/>
    <n v="1.9"/>
    <x v="1"/>
    <n v="692.32"/>
    <n v="1315.4080000000001"/>
    <s v="OK"/>
    <s v="OK"/>
  </r>
  <r>
    <s v="ITEM-0737"/>
    <x v="2"/>
    <x v="0"/>
    <n v="174.03"/>
    <x v="0"/>
    <n v="2930.74"/>
    <n v="510036.68219999998"/>
    <s v="Over Budget"/>
    <s v="OK"/>
  </r>
  <r>
    <s v="ITEM-0738"/>
    <x v="6"/>
    <x v="1"/>
    <n v="16.23"/>
    <x v="2"/>
    <n v="3071.83"/>
    <n v="49855.800900000002"/>
    <s v="OK"/>
    <s v="OK"/>
  </r>
  <r>
    <s v="ITEM-0739"/>
    <x v="9"/>
    <x v="1"/>
    <n v="344.82"/>
    <x v="3"/>
    <n v="2435.73"/>
    <n v="839888.41859999998"/>
    <s v="Over Budget"/>
    <s v="OK"/>
  </r>
  <r>
    <s v="ITEM-0740"/>
    <x v="2"/>
    <x v="2"/>
    <n v="241.94"/>
    <x v="3"/>
    <n v="2306.0700000000002"/>
    <n v="557930.57579999999"/>
    <s v="Over Budget"/>
    <s v="OK"/>
  </r>
  <r>
    <s v="ITEM-0741"/>
    <x v="1"/>
    <x v="4"/>
    <n v="40.409999999999997"/>
    <x v="2"/>
    <n v="4016.92"/>
    <n v="162323.7372"/>
    <s v="Over Budget"/>
    <s v="OK"/>
  </r>
  <r>
    <s v="ITEM-0742"/>
    <x v="2"/>
    <x v="1"/>
    <n v="181.82"/>
    <x v="2"/>
    <n v="1168.3399999999999"/>
    <n v="212427.57879999999"/>
    <s v="Over Budget"/>
    <s v="OK"/>
  </r>
  <r>
    <s v="ITEM-0743"/>
    <x v="0"/>
    <x v="4"/>
    <n v="106.55"/>
    <x v="4"/>
    <n v="4713.45"/>
    <n v="502218.09749999997"/>
    <s v="Over Budget"/>
    <s v="OK"/>
  </r>
  <r>
    <s v="ITEM-0744"/>
    <x v="2"/>
    <x v="4"/>
    <n v="467.55"/>
    <x v="1"/>
    <n v="1551.49"/>
    <n v="725399.14950000006"/>
    <s v="Over Budget"/>
    <s v="OK"/>
  </r>
  <r>
    <s v="ITEM-0745"/>
    <x v="4"/>
    <x v="1"/>
    <n v="180.99"/>
    <x v="3"/>
    <n v="3181.27"/>
    <n v="575778.05729999999"/>
    <s v="Over Budget"/>
    <s v="OK"/>
  </r>
  <r>
    <s v="ITEM-0746"/>
    <x v="7"/>
    <x v="3"/>
    <n v="292.48"/>
    <x v="1"/>
    <n v="2537.42"/>
    <n v="742144.60160000005"/>
    <s v="Over Budget"/>
    <s v="OK"/>
  </r>
  <r>
    <s v="ITEM-0747"/>
    <x v="7"/>
    <x v="3"/>
    <n v="326.79000000000002"/>
    <x v="1"/>
    <n v="2130.92"/>
    <n v="696363.34680000006"/>
    <s v="Over Budget"/>
    <s v="OK"/>
  </r>
  <r>
    <s v="ITEM-0748"/>
    <x v="6"/>
    <x v="1"/>
    <n v="428.09"/>
    <x v="1"/>
    <n v="705.57"/>
    <n v="302047.46130000002"/>
    <s v="Over Budget"/>
    <s v="OK"/>
  </r>
  <r>
    <s v="ITEM-0749"/>
    <x v="0"/>
    <x v="0"/>
    <n v="260.67"/>
    <x v="0"/>
    <n v="4462.3999999999996"/>
    <n v="1163213.808"/>
    <s v="Over Budget"/>
    <s v="OK"/>
  </r>
  <r>
    <s v="ITEM-0750"/>
    <x v="3"/>
    <x v="3"/>
    <n v="13.92"/>
    <x v="1"/>
    <n v="2196.66"/>
    <n v="30577.507199999996"/>
    <s v="OK"/>
    <s v="OK"/>
  </r>
  <r>
    <s v="ITEM-0751"/>
    <x v="1"/>
    <x v="0"/>
    <n v="55.26"/>
    <x v="4"/>
    <n v="4655.33"/>
    <n v="257253.53579999998"/>
    <s v="Over Budget"/>
    <s v="OK"/>
  </r>
  <r>
    <s v="ITEM-0752"/>
    <x v="9"/>
    <x v="2"/>
    <n v="450.28"/>
    <x v="1"/>
    <n v="1081.1500000000001"/>
    <n v="486820.22200000001"/>
    <s v="Over Budget"/>
    <s v="OK"/>
  </r>
  <r>
    <s v="ITEM-0753"/>
    <x v="2"/>
    <x v="0"/>
    <n v="11.74"/>
    <x v="3"/>
    <n v="3543.99"/>
    <n v="41606.442599999995"/>
    <s v="OK"/>
    <s v="OK"/>
  </r>
  <r>
    <s v="ITEM-0754"/>
    <x v="7"/>
    <x v="4"/>
    <n v="33.659999999999997"/>
    <x v="3"/>
    <n v="4031.4"/>
    <n v="135696.924"/>
    <s v="Over Budget"/>
    <s v="OK"/>
  </r>
  <r>
    <s v="ITEM-0755"/>
    <x v="0"/>
    <x v="3"/>
    <n v="424.18"/>
    <x v="4"/>
    <n v="2269.1999999999998"/>
    <n v="962549.25599999994"/>
    <s v="Over Budget"/>
    <s v="OK"/>
  </r>
  <r>
    <s v="ITEM-0756"/>
    <x v="9"/>
    <x v="3"/>
    <n v="182.11"/>
    <x v="1"/>
    <n v="2843.91"/>
    <n v="517904.45010000002"/>
    <s v="Over Budget"/>
    <s v="OK"/>
  </r>
  <r>
    <s v="ITEM-0757"/>
    <x v="8"/>
    <x v="4"/>
    <n v="320.26"/>
    <x v="2"/>
    <n v="585.97"/>
    <n v="187662.75220000002"/>
    <s v="Over Budget"/>
    <s v="OK"/>
  </r>
  <r>
    <s v="ITEM-0758"/>
    <x v="7"/>
    <x v="4"/>
    <n v="200.58"/>
    <x v="4"/>
    <n v="2449.0100000000002"/>
    <n v="491222.42580000008"/>
    <s v="Over Budget"/>
    <s v="OK"/>
  </r>
  <r>
    <s v="ITEM-0759"/>
    <x v="7"/>
    <x v="2"/>
    <n v="380"/>
    <x v="3"/>
    <n v="1337.87"/>
    <n v="508390.6"/>
    <s v="Over Budget"/>
    <s v="OK"/>
  </r>
  <r>
    <s v="ITEM-0760"/>
    <x v="9"/>
    <x v="1"/>
    <n v="45.97"/>
    <x v="4"/>
    <n v="2347.9899999999998"/>
    <n v="107937.10029999999"/>
    <s v="Over Budget"/>
    <s v="OK"/>
  </r>
  <r>
    <s v="ITEM-0761"/>
    <x v="1"/>
    <x v="1"/>
    <n v="486.65"/>
    <x v="0"/>
    <n v="1682.41"/>
    <n v="818744.82649999997"/>
    <s v="Over Budget"/>
    <s v="OK"/>
  </r>
  <r>
    <s v="ITEM-0762"/>
    <x v="9"/>
    <x v="3"/>
    <n v="162.31"/>
    <x v="2"/>
    <n v="1034.6199999999999"/>
    <n v="167929.17219999997"/>
    <s v="Over Budget"/>
    <s v="OK"/>
  </r>
  <r>
    <s v="ITEM-0763"/>
    <x v="9"/>
    <x v="2"/>
    <n v="332.47"/>
    <x v="1"/>
    <n v="640.5"/>
    <n v="212947.035"/>
    <s v="Over Budget"/>
    <s v="OK"/>
  </r>
  <r>
    <s v="ITEM-0764"/>
    <x v="1"/>
    <x v="0"/>
    <n v="51.79"/>
    <x v="0"/>
    <n v="3845.21"/>
    <n v="199143.4259"/>
    <s v="Over Budget"/>
    <s v="OK"/>
  </r>
  <r>
    <s v="ITEM-0765"/>
    <x v="8"/>
    <x v="3"/>
    <n v="263.94"/>
    <x v="0"/>
    <n v="3725.69"/>
    <n v="983358.61860000005"/>
    <s v="Over Budget"/>
    <s v="OK"/>
  </r>
  <r>
    <s v="ITEM-0766"/>
    <x v="4"/>
    <x v="2"/>
    <n v="137.66"/>
    <x v="1"/>
    <n v="4253.3"/>
    <n v="585509.27800000005"/>
    <s v="Over Budget"/>
    <s v="OK"/>
  </r>
  <r>
    <s v="ITEM-0767"/>
    <x v="4"/>
    <x v="4"/>
    <n v="261.45999999999998"/>
    <x v="3"/>
    <n v="4377.83"/>
    <n v="1144627.4317999999"/>
    <s v="Over Budget"/>
    <s v="OK"/>
  </r>
  <r>
    <s v="ITEM-0768"/>
    <x v="8"/>
    <x v="0"/>
    <n v="369"/>
    <x v="4"/>
    <n v="1492.03"/>
    <n v="550559.06999999995"/>
    <s v="Over Budget"/>
    <s v="OK"/>
  </r>
  <r>
    <s v="ITEM-0769"/>
    <x v="5"/>
    <x v="0"/>
    <n v="265.29000000000002"/>
    <x v="1"/>
    <n v="1088.7"/>
    <n v="288821.22300000006"/>
    <s v="Over Budget"/>
    <s v="OK"/>
  </r>
  <r>
    <s v="ITEM-0770"/>
    <x v="0"/>
    <x v="0"/>
    <n v="410.48"/>
    <x v="2"/>
    <n v="3871.33"/>
    <n v="1589103.5384"/>
    <s v="Over Budget"/>
    <s v="OK"/>
  </r>
  <r>
    <s v="ITEM-0771"/>
    <x v="6"/>
    <x v="0"/>
    <n v="326.77999999999997"/>
    <x v="4"/>
    <n v="2810.21"/>
    <n v="918320.42379999999"/>
    <s v="Over Budget"/>
    <s v="OK"/>
  </r>
  <r>
    <s v="ITEM-0772"/>
    <x v="2"/>
    <x v="2"/>
    <n v="191.86"/>
    <x v="4"/>
    <n v="3077.86"/>
    <n v="590518.21960000007"/>
    <s v="Over Budget"/>
    <s v="OK"/>
  </r>
  <r>
    <s v="ITEM-0773"/>
    <x v="8"/>
    <x v="0"/>
    <n v="62.24"/>
    <x v="1"/>
    <n v="2491.2800000000002"/>
    <n v="155057.26720000003"/>
    <s v="Over Budget"/>
    <s v="OK"/>
  </r>
  <r>
    <s v="ITEM-0774"/>
    <x v="3"/>
    <x v="2"/>
    <n v="376.54"/>
    <x v="2"/>
    <n v="157.99"/>
    <n v="59489.554600000003"/>
    <s v="OK"/>
    <s v="OK"/>
  </r>
  <r>
    <s v="ITEM-0775"/>
    <x v="8"/>
    <x v="3"/>
    <n v="36.11"/>
    <x v="2"/>
    <n v="1835.24"/>
    <n v="66270.516399999993"/>
    <s v="OK"/>
    <s v="OK"/>
  </r>
  <r>
    <s v="ITEM-0776"/>
    <x v="9"/>
    <x v="1"/>
    <n v="337.91"/>
    <x v="1"/>
    <n v="1822.43"/>
    <n v="615817.32130000007"/>
    <s v="Over Budget"/>
    <s v="OK"/>
  </r>
  <r>
    <s v="ITEM-0777"/>
    <x v="0"/>
    <x v="2"/>
    <n v="299.35000000000002"/>
    <x v="4"/>
    <n v="4561.38"/>
    <n v="1365449.1030000001"/>
    <s v="Over Budget"/>
    <s v="OK"/>
  </r>
  <r>
    <s v="ITEM-0778"/>
    <x v="9"/>
    <x v="4"/>
    <n v="138.01"/>
    <x v="0"/>
    <n v="2397.89"/>
    <n v="330932.79889999994"/>
    <s v="Over Budget"/>
    <s v="OK"/>
  </r>
  <r>
    <s v="ITEM-0779"/>
    <x v="9"/>
    <x v="3"/>
    <n v="254.4"/>
    <x v="1"/>
    <n v="1665.66"/>
    <n v="423743.90400000004"/>
    <s v="Over Budget"/>
    <s v="OK"/>
  </r>
  <r>
    <s v="ITEM-0780"/>
    <x v="5"/>
    <x v="0"/>
    <n v="323.27999999999997"/>
    <x v="1"/>
    <n v="2702.17"/>
    <n v="873557.5175999999"/>
    <s v="Over Budget"/>
    <s v="OK"/>
  </r>
  <r>
    <s v="ITEM-0781"/>
    <x v="6"/>
    <x v="0"/>
    <n v="53.74"/>
    <x v="4"/>
    <n v="3892.51"/>
    <n v="209183.48740000001"/>
    <s v="Over Budget"/>
    <s v="OK"/>
  </r>
  <r>
    <s v="ITEM-0782"/>
    <x v="3"/>
    <x v="3"/>
    <n v="246.58"/>
    <x v="0"/>
    <n v="377.18"/>
    <n v="93005.044400000013"/>
    <s v="OK"/>
    <s v="OK"/>
  </r>
  <r>
    <s v="ITEM-0783"/>
    <x v="7"/>
    <x v="3"/>
    <n v="427.49"/>
    <x v="4"/>
    <n v="1753.67"/>
    <n v="749676.38829999999"/>
    <s v="Over Budget"/>
    <s v="OK"/>
  </r>
  <r>
    <s v="ITEM-0784"/>
    <x v="5"/>
    <x v="3"/>
    <n v="229.69"/>
    <x v="3"/>
    <n v="2278.9899999999998"/>
    <n v="523461.21309999994"/>
    <s v="Over Budget"/>
    <s v="OK"/>
  </r>
  <r>
    <s v="ITEM-0785"/>
    <x v="5"/>
    <x v="0"/>
    <n v="310.26"/>
    <x v="2"/>
    <n v="2479.56"/>
    <n v="769308.28559999994"/>
    <s v="Over Budget"/>
    <s v="OK"/>
  </r>
  <r>
    <s v="ITEM-0786"/>
    <x v="7"/>
    <x v="1"/>
    <n v="91.31"/>
    <x v="3"/>
    <n v="3172.14"/>
    <n v="289648.10340000002"/>
    <s v="Over Budget"/>
    <s v="OK"/>
  </r>
  <r>
    <s v="ITEM-0787"/>
    <x v="0"/>
    <x v="4"/>
    <n v="245.14"/>
    <x v="1"/>
    <n v="1634.81"/>
    <n v="400757.32339999994"/>
    <s v="Over Budget"/>
    <s v="OK"/>
  </r>
  <r>
    <s v="ITEM-0788"/>
    <x v="0"/>
    <x v="1"/>
    <n v="251.15"/>
    <x v="3"/>
    <n v="3182.33"/>
    <n v="799242.17949999997"/>
    <s v="Over Budget"/>
    <s v="OK"/>
  </r>
  <r>
    <s v="ITEM-0789"/>
    <x v="2"/>
    <x v="3"/>
    <n v="337.34"/>
    <x v="4"/>
    <n v="765.14"/>
    <n v="258112.32759999999"/>
    <s v="Over Budget"/>
    <s v="OK"/>
  </r>
  <r>
    <s v="ITEM-0790"/>
    <x v="5"/>
    <x v="4"/>
    <n v="355.66"/>
    <x v="4"/>
    <n v="717.8"/>
    <n v="255292.74799999999"/>
    <s v="Over Budget"/>
    <s v="OK"/>
  </r>
  <r>
    <s v="ITEM-0791"/>
    <x v="9"/>
    <x v="1"/>
    <n v="73.17"/>
    <x v="1"/>
    <n v="3512.05"/>
    <n v="256976.69850000003"/>
    <s v="Over Budget"/>
    <s v="OK"/>
  </r>
  <r>
    <s v="ITEM-0792"/>
    <x v="2"/>
    <x v="4"/>
    <n v="493.14"/>
    <x v="2"/>
    <n v="2532.8200000000002"/>
    <n v="1249034.8548000001"/>
    <s v="Over Budget"/>
    <s v="OK"/>
  </r>
  <r>
    <s v="ITEM-0793"/>
    <x v="5"/>
    <x v="0"/>
    <n v="173.32"/>
    <x v="4"/>
    <n v="597.22"/>
    <n v="103510.1704"/>
    <s v="Over Budget"/>
    <s v="OK"/>
  </r>
  <r>
    <s v="ITEM-0794"/>
    <x v="3"/>
    <x v="2"/>
    <n v="70.459999999999994"/>
    <x v="0"/>
    <n v="4467.24"/>
    <n v="314761.73039999994"/>
    <s v="Over Budget"/>
    <s v="OK"/>
  </r>
  <r>
    <s v="ITEM-0795"/>
    <x v="9"/>
    <x v="3"/>
    <n v="459.75"/>
    <x v="0"/>
    <n v="4107.6499999999996"/>
    <n v="1888492.0874999999"/>
    <s v="Over Budget"/>
    <s v="OK"/>
  </r>
  <r>
    <s v="ITEM-0796"/>
    <x v="5"/>
    <x v="1"/>
    <n v="306.66000000000003"/>
    <x v="1"/>
    <n v="4453.79"/>
    <n v="1365799.2414000002"/>
    <s v="Over Budget"/>
    <s v="OK"/>
  </r>
  <r>
    <s v="ITEM-0797"/>
    <x v="3"/>
    <x v="0"/>
    <n v="476.81"/>
    <x v="0"/>
    <n v="2494.88"/>
    <n v="1189583.7328000001"/>
    <s v="Over Budget"/>
    <s v="OK"/>
  </r>
  <r>
    <s v="ITEM-0798"/>
    <x v="1"/>
    <x v="1"/>
    <n v="84.31"/>
    <x v="2"/>
    <n v="1545.39"/>
    <n v="130291.83090000002"/>
    <s v="Over Budget"/>
    <s v="OK"/>
  </r>
  <r>
    <s v="ITEM-0799"/>
    <x v="5"/>
    <x v="0"/>
    <n v="114.27"/>
    <x v="2"/>
    <n v="53.97"/>
    <n v="6167.1518999999998"/>
    <s v="OK"/>
    <s v="OK"/>
  </r>
  <r>
    <s v="ITEM-0800"/>
    <x v="5"/>
    <x v="3"/>
    <n v="263.12"/>
    <x v="1"/>
    <n v="2187.0100000000002"/>
    <n v="575446.07120000012"/>
    <s v="Over Budget"/>
    <s v="OK"/>
  </r>
  <r>
    <s v="ITEM-0801"/>
    <x v="9"/>
    <x v="3"/>
    <n v="188.24"/>
    <x v="0"/>
    <n v="3463.93"/>
    <n v="652050.18319999997"/>
    <s v="Over Budget"/>
    <s v="OK"/>
  </r>
  <r>
    <s v="ITEM-0802"/>
    <x v="7"/>
    <x v="2"/>
    <n v="25.58"/>
    <x v="1"/>
    <n v="2172.64"/>
    <n v="55576.131199999996"/>
    <s v="OK"/>
    <s v="OK"/>
  </r>
  <r>
    <s v="ITEM-0803"/>
    <x v="9"/>
    <x v="1"/>
    <n v="475.57"/>
    <x v="2"/>
    <n v="3206.26"/>
    <n v="1524801.0682000001"/>
    <s v="Over Budget"/>
    <s v="OK"/>
  </r>
  <r>
    <s v="ITEM-0804"/>
    <x v="7"/>
    <x v="3"/>
    <n v="397.7"/>
    <x v="2"/>
    <n v="4652.21"/>
    <n v="1850183.9169999999"/>
    <s v="Over Budget"/>
    <s v="OK"/>
  </r>
  <r>
    <s v="ITEM-0805"/>
    <x v="2"/>
    <x v="0"/>
    <n v="396.74"/>
    <x v="4"/>
    <n v="666.52"/>
    <n v="264435.14480000001"/>
    <s v="Over Budget"/>
    <s v="OK"/>
  </r>
  <r>
    <s v="ITEM-0806"/>
    <x v="8"/>
    <x v="3"/>
    <n v="387.29"/>
    <x v="3"/>
    <n v="2361.6999999999998"/>
    <n v="914662.79299999995"/>
    <s v="Over Budget"/>
    <s v="OK"/>
  </r>
  <r>
    <s v="ITEM-0807"/>
    <x v="8"/>
    <x v="2"/>
    <n v="179.72"/>
    <x v="3"/>
    <n v="1132.98"/>
    <n v="203619.16560000001"/>
    <s v="Over Budget"/>
    <s v="OK"/>
  </r>
  <r>
    <s v="ITEM-0808"/>
    <x v="7"/>
    <x v="4"/>
    <n v="340.73"/>
    <x v="2"/>
    <n v="4299.1000000000004"/>
    <n v="1464832.3430000001"/>
    <s v="Over Budget"/>
    <s v="OK"/>
  </r>
  <r>
    <s v="ITEM-0809"/>
    <x v="2"/>
    <x v="3"/>
    <n v="329.72"/>
    <x v="1"/>
    <n v="3374.37"/>
    <n v="1112597.2764000001"/>
    <s v="Over Budget"/>
    <s v="OK"/>
  </r>
  <r>
    <s v="ITEM-0810"/>
    <x v="8"/>
    <x v="1"/>
    <n v="143.1"/>
    <x v="2"/>
    <n v="722.36"/>
    <n v="103369.716"/>
    <s v="Over Budget"/>
    <s v="OK"/>
  </r>
  <r>
    <s v="ITEM-0811"/>
    <x v="6"/>
    <x v="1"/>
    <n v="143.26"/>
    <x v="1"/>
    <n v="1909.49"/>
    <n v="273553.53739999997"/>
    <s v="Over Budget"/>
    <s v="OK"/>
  </r>
  <r>
    <s v="ITEM-0812"/>
    <x v="5"/>
    <x v="0"/>
    <n v="371.92"/>
    <x v="1"/>
    <n v="477.61"/>
    <n v="177632.71120000002"/>
    <s v="Over Budget"/>
    <s v="OK"/>
  </r>
  <r>
    <s v="ITEM-0813"/>
    <x v="0"/>
    <x v="0"/>
    <n v="295.44"/>
    <x v="3"/>
    <n v="1026.21"/>
    <n v="303183.48240000004"/>
    <s v="Over Budget"/>
    <s v="OK"/>
  </r>
  <r>
    <s v="ITEM-0814"/>
    <x v="8"/>
    <x v="1"/>
    <n v="317.41000000000003"/>
    <x v="4"/>
    <n v="2312.4699999999998"/>
    <n v="734001.10270000005"/>
    <s v="Over Budget"/>
    <s v="OK"/>
  </r>
  <r>
    <s v="ITEM-0815"/>
    <x v="0"/>
    <x v="3"/>
    <n v="94.88"/>
    <x v="0"/>
    <n v="4441.38"/>
    <n v="421398.13439999998"/>
    <s v="Over Budget"/>
    <s v="OK"/>
  </r>
  <r>
    <s v="ITEM-0816"/>
    <x v="2"/>
    <x v="1"/>
    <n v="455.62"/>
    <x v="2"/>
    <n v="4321.09"/>
    <n v="1968775.0258000002"/>
    <s v="Over Budget"/>
    <s v="OK"/>
  </r>
  <r>
    <s v="ITEM-0817"/>
    <x v="5"/>
    <x v="4"/>
    <n v="401.92"/>
    <x v="1"/>
    <n v="4421.6899999999996"/>
    <n v="1777165.6447999999"/>
    <s v="Over Budget"/>
    <s v="OK"/>
  </r>
  <r>
    <s v="ITEM-0818"/>
    <x v="0"/>
    <x v="2"/>
    <n v="452.32"/>
    <x v="4"/>
    <n v="3190.49"/>
    <n v="1443122.4367999998"/>
    <s v="Over Budget"/>
    <s v="OK"/>
  </r>
  <r>
    <s v="ITEM-0819"/>
    <x v="5"/>
    <x v="1"/>
    <n v="213.09"/>
    <x v="0"/>
    <n v="149.07"/>
    <n v="31765.326300000001"/>
    <s v="OK"/>
    <s v="OK"/>
  </r>
  <r>
    <s v="ITEM-0820"/>
    <x v="1"/>
    <x v="0"/>
    <n v="459.71"/>
    <x v="1"/>
    <n v="4192.38"/>
    <n v="1927279.0097999999"/>
    <s v="Over Budget"/>
    <s v="OK"/>
  </r>
  <r>
    <s v="ITEM-0821"/>
    <x v="1"/>
    <x v="2"/>
    <n v="391.33"/>
    <x v="1"/>
    <n v="592.07000000000005"/>
    <n v="231694.7531"/>
    <s v="Over Budget"/>
    <s v="OK"/>
  </r>
  <r>
    <s v="ITEM-0822"/>
    <x v="7"/>
    <x v="0"/>
    <n v="124.01"/>
    <x v="3"/>
    <n v="3459.67"/>
    <n v="429033.67670000001"/>
    <s v="Over Budget"/>
    <s v="OK"/>
  </r>
  <r>
    <s v="ITEM-0823"/>
    <x v="8"/>
    <x v="2"/>
    <n v="243.53"/>
    <x v="3"/>
    <n v="2451.67"/>
    <n v="597055.19510000001"/>
    <s v="Over Budget"/>
    <s v="OK"/>
  </r>
  <r>
    <s v="ITEM-0824"/>
    <x v="5"/>
    <x v="0"/>
    <n v="334.98"/>
    <x v="3"/>
    <n v="2803.1"/>
    <n v="938982.43799999997"/>
    <s v="Over Budget"/>
    <s v="OK"/>
  </r>
  <r>
    <s v="ITEM-0825"/>
    <x v="6"/>
    <x v="1"/>
    <n v="280.67"/>
    <x v="4"/>
    <n v="1417.46"/>
    <n v="397838.49820000003"/>
    <s v="Over Budget"/>
    <s v="OK"/>
  </r>
  <r>
    <s v="ITEM-0826"/>
    <x v="4"/>
    <x v="1"/>
    <n v="272.76"/>
    <x v="4"/>
    <n v="1536.92"/>
    <n v="419210.29920000001"/>
    <s v="Over Budget"/>
    <s v="OK"/>
  </r>
  <r>
    <s v="ITEM-0827"/>
    <x v="1"/>
    <x v="4"/>
    <n v="457.41"/>
    <x v="4"/>
    <n v="2208.77"/>
    <n v="1010313.4857000001"/>
    <s v="Over Budget"/>
    <s v="OK"/>
  </r>
  <r>
    <s v="ITEM-0828"/>
    <x v="3"/>
    <x v="3"/>
    <n v="247.01"/>
    <x v="3"/>
    <n v="2051.73"/>
    <n v="506797.8273"/>
    <s v="Over Budget"/>
    <s v="OK"/>
  </r>
  <r>
    <s v="ITEM-0829"/>
    <x v="3"/>
    <x v="0"/>
    <n v="490.32"/>
    <x v="1"/>
    <n v="4428.1400000000003"/>
    <n v="2171205.6048000003"/>
    <s v="Over Budget"/>
    <s v="OK"/>
  </r>
  <r>
    <s v="ITEM-0830"/>
    <x v="5"/>
    <x v="2"/>
    <n v="67.900000000000006"/>
    <x v="4"/>
    <n v="3539.45"/>
    <n v="240328.655"/>
    <s v="Over Budget"/>
    <s v="OK"/>
  </r>
  <r>
    <s v="ITEM-0831"/>
    <x v="3"/>
    <x v="4"/>
    <n v="137.63999999999999"/>
    <x v="3"/>
    <n v="3750.71"/>
    <n v="516247.72439999995"/>
    <s v="Over Budget"/>
    <s v="OK"/>
  </r>
  <r>
    <s v="ITEM-0832"/>
    <x v="9"/>
    <x v="1"/>
    <n v="425.95"/>
    <x v="0"/>
    <n v="281.13"/>
    <n v="119747.3235"/>
    <s v="Over Budget"/>
    <s v="OK"/>
  </r>
  <r>
    <s v="ITEM-0833"/>
    <x v="3"/>
    <x v="0"/>
    <n v="211.77"/>
    <x v="0"/>
    <n v="2797.64"/>
    <n v="592456.22279999999"/>
    <s v="Over Budget"/>
    <s v="OK"/>
  </r>
  <r>
    <s v="ITEM-0834"/>
    <x v="9"/>
    <x v="1"/>
    <n v="322.17"/>
    <x v="3"/>
    <n v="2812.07"/>
    <n v="905964.59190000012"/>
    <s v="Over Budget"/>
    <s v="OK"/>
  </r>
  <r>
    <s v="ITEM-0835"/>
    <x v="9"/>
    <x v="2"/>
    <n v="158.04"/>
    <x v="3"/>
    <n v="4382.2299999999996"/>
    <n v="692567.62919999985"/>
    <s v="Over Budget"/>
    <s v="OK"/>
  </r>
  <r>
    <s v="ITEM-0836"/>
    <x v="9"/>
    <x v="4"/>
    <n v="402.85"/>
    <x v="0"/>
    <n v="1835"/>
    <n v="739229.75"/>
    <s v="Over Budget"/>
    <s v="OK"/>
  </r>
  <r>
    <s v="ITEM-0837"/>
    <x v="8"/>
    <x v="3"/>
    <n v="72.61"/>
    <x v="0"/>
    <n v="2764.69"/>
    <n v="200744.1409"/>
    <s v="Over Budget"/>
    <s v="OK"/>
  </r>
  <r>
    <s v="ITEM-0838"/>
    <x v="8"/>
    <x v="2"/>
    <n v="337.65"/>
    <x v="2"/>
    <n v="4071.74"/>
    <n v="1374823.0109999999"/>
    <s v="Over Budget"/>
    <s v="OK"/>
  </r>
  <r>
    <s v="ITEM-0839"/>
    <x v="8"/>
    <x v="2"/>
    <n v="334.09"/>
    <x v="2"/>
    <n v="4210.3"/>
    <n v="1406619.1269999999"/>
    <s v="Over Budget"/>
    <s v="OK"/>
  </r>
  <r>
    <s v="ITEM-0840"/>
    <x v="0"/>
    <x v="0"/>
    <n v="292.85000000000002"/>
    <x v="4"/>
    <n v="4582.3500000000004"/>
    <n v="1341941.1975000002"/>
    <s v="Over Budget"/>
    <s v="OK"/>
  </r>
  <r>
    <s v="ITEM-0841"/>
    <x v="9"/>
    <x v="1"/>
    <n v="364.79"/>
    <x v="0"/>
    <n v="1753.61"/>
    <n v="639699.39190000005"/>
    <s v="Over Budget"/>
    <s v="OK"/>
  </r>
  <r>
    <s v="ITEM-0842"/>
    <x v="2"/>
    <x v="0"/>
    <n v="196.95"/>
    <x v="4"/>
    <n v="2838.05"/>
    <n v="558953.94750000001"/>
    <s v="Over Budget"/>
    <s v="OK"/>
  </r>
  <r>
    <s v="ITEM-0843"/>
    <x v="4"/>
    <x v="3"/>
    <n v="298.89"/>
    <x v="1"/>
    <n v="4294.7"/>
    <n v="1283642.8829999999"/>
    <s v="Over Budget"/>
    <s v="OK"/>
  </r>
  <r>
    <s v="ITEM-0844"/>
    <x v="0"/>
    <x v="1"/>
    <n v="200.82"/>
    <x v="0"/>
    <n v="3623.29"/>
    <n v="727629.09779999999"/>
    <s v="Over Budget"/>
    <s v="OK"/>
  </r>
  <r>
    <s v="ITEM-0845"/>
    <x v="6"/>
    <x v="4"/>
    <n v="105.27"/>
    <x v="1"/>
    <n v="1967.59"/>
    <n v="207128.19929999998"/>
    <s v="Over Budget"/>
    <s v="OK"/>
  </r>
  <r>
    <s v="ITEM-0846"/>
    <x v="1"/>
    <x v="3"/>
    <n v="496.43"/>
    <x v="0"/>
    <n v="422.85"/>
    <n v="209915.42550000001"/>
    <s v="Over Budget"/>
    <s v="OK"/>
  </r>
  <r>
    <s v="ITEM-0847"/>
    <x v="8"/>
    <x v="2"/>
    <n v="90.19"/>
    <x v="3"/>
    <n v="3466.93"/>
    <n v="312682.4167"/>
    <s v="Over Budget"/>
    <s v="OK"/>
  </r>
  <r>
    <s v="ITEM-0848"/>
    <x v="8"/>
    <x v="4"/>
    <n v="244.54"/>
    <x v="0"/>
    <n v="2297.65"/>
    <n v="561867.33100000001"/>
    <s v="Over Budget"/>
    <s v="OK"/>
  </r>
  <r>
    <s v="ITEM-0849"/>
    <x v="6"/>
    <x v="3"/>
    <n v="232.46"/>
    <x v="1"/>
    <n v="2985.54"/>
    <n v="694018.62840000005"/>
    <s v="Over Budget"/>
    <s v="OK"/>
  </r>
  <r>
    <s v="ITEM-0850"/>
    <x v="1"/>
    <x v="3"/>
    <n v="288.18"/>
    <x v="1"/>
    <n v="2348.56"/>
    <n v="676808.02080000006"/>
    <s v="Over Budget"/>
    <s v="OK"/>
  </r>
  <r>
    <s v="ITEM-0851"/>
    <x v="2"/>
    <x v="3"/>
    <n v="431.64"/>
    <x v="2"/>
    <n v="901.45"/>
    <n v="389101.87800000003"/>
    <s v="Over Budget"/>
    <s v="OK"/>
  </r>
  <r>
    <s v="ITEM-0852"/>
    <x v="8"/>
    <x v="1"/>
    <n v="308.85000000000002"/>
    <x v="3"/>
    <n v="1872.06"/>
    <n v="578185.73100000003"/>
    <s v="Over Budget"/>
    <s v="OK"/>
  </r>
  <r>
    <s v="ITEM-0853"/>
    <x v="4"/>
    <x v="0"/>
    <n v="227.35"/>
    <x v="1"/>
    <n v="887.38"/>
    <n v="201745.84299999999"/>
    <s v="Over Budget"/>
    <s v="OK"/>
  </r>
  <r>
    <s v="ITEM-0854"/>
    <x v="2"/>
    <x v="1"/>
    <n v="445.35"/>
    <x v="0"/>
    <n v="4051.85"/>
    <n v="1804491.3975"/>
    <s v="Over Budget"/>
    <s v="OK"/>
  </r>
  <r>
    <s v="ITEM-0855"/>
    <x v="0"/>
    <x v="2"/>
    <n v="382.22"/>
    <x v="2"/>
    <n v="360.96"/>
    <n v="137966.1312"/>
    <s v="Over Budget"/>
    <s v="OK"/>
  </r>
  <r>
    <s v="ITEM-0856"/>
    <x v="5"/>
    <x v="0"/>
    <n v="308.83"/>
    <x v="1"/>
    <n v="1278.96"/>
    <n v="394981.21679999999"/>
    <s v="Over Budget"/>
    <s v="OK"/>
  </r>
  <r>
    <s v="ITEM-0857"/>
    <x v="3"/>
    <x v="4"/>
    <n v="63.62"/>
    <x v="0"/>
    <n v="1733.96"/>
    <n v="110314.5352"/>
    <s v="Over Budget"/>
    <s v="OK"/>
  </r>
  <r>
    <s v="ITEM-0858"/>
    <x v="7"/>
    <x v="2"/>
    <n v="420.97"/>
    <x v="0"/>
    <n v="3986.16"/>
    <n v="1678053.7752"/>
    <s v="Over Budget"/>
    <s v="OK"/>
  </r>
  <r>
    <s v="ITEM-0859"/>
    <x v="0"/>
    <x v="3"/>
    <n v="104.57"/>
    <x v="2"/>
    <n v="591.67999999999995"/>
    <n v="61871.977599999991"/>
    <s v="OK"/>
    <s v="OK"/>
  </r>
  <r>
    <s v="ITEM-0860"/>
    <x v="7"/>
    <x v="2"/>
    <n v="295.77999999999997"/>
    <x v="3"/>
    <n v="2690.63"/>
    <n v="795834.54139999999"/>
    <s v="Over Budget"/>
    <s v="OK"/>
  </r>
  <r>
    <s v="ITEM-0861"/>
    <x v="7"/>
    <x v="2"/>
    <n v="203.11"/>
    <x v="4"/>
    <n v="1097.8699999999999"/>
    <n v="222988.3757"/>
    <s v="Over Budget"/>
    <s v="OK"/>
  </r>
  <r>
    <s v="ITEM-0862"/>
    <x v="2"/>
    <x v="1"/>
    <n v="71.67"/>
    <x v="4"/>
    <n v="3217.66"/>
    <n v="230609.69219999999"/>
    <s v="Over Budget"/>
    <s v="OK"/>
  </r>
  <r>
    <s v="ITEM-0863"/>
    <x v="7"/>
    <x v="3"/>
    <n v="73.08"/>
    <x v="3"/>
    <n v="1858.45"/>
    <n v="135815.52600000001"/>
    <s v="Over Budget"/>
    <s v="OK"/>
  </r>
  <r>
    <s v="ITEM-0864"/>
    <x v="4"/>
    <x v="4"/>
    <n v="315.57"/>
    <x v="2"/>
    <n v="1705.06"/>
    <n v="538065.78419999999"/>
    <s v="Over Budget"/>
    <s v="OK"/>
  </r>
  <r>
    <s v="ITEM-0865"/>
    <x v="1"/>
    <x v="4"/>
    <n v="36.18"/>
    <x v="3"/>
    <n v="3754.19"/>
    <n v="135826.59419999999"/>
    <s v="Over Budget"/>
    <s v="OK"/>
  </r>
  <r>
    <s v="ITEM-0866"/>
    <x v="8"/>
    <x v="3"/>
    <n v="27.23"/>
    <x v="4"/>
    <n v="4451.09"/>
    <n v="121203.18070000001"/>
    <s v="Over Budget"/>
    <s v="OK"/>
  </r>
  <r>
    <s v="ITEM-0867"/>
    <x v="0"/>
    <x v="1"/>
    <n v="215.6"/>
    <x v="3"/>
    <n v="1356.59"/>
    <n v="292480.804"/>
    <s v="Over Budget"/>
    <s v="OK"/>
  </r>
  <r>
    <s v="ITEM-0868"/>
    <x v="0"/>
    <x v="1"/>
    <n v="271.39"/>
    <x v="3"/>
    <n v="4678.38"/>
    <n v="1269665.5482000001"/>
    <s v="Over Budget"/>
    <s v="OK"/>
  </r>
  <r>
    <s v="ITEM-0869"/>
    <x v="7"/>
    <x v="2"/>
    <n v="404.71"/>
    <x v="2"/>
    <n v="3674.56"/>
    <n v="1487131.1775999998"/>
    <s v="Over Budget"/>
    <s v="OK"/>
  </r>
  <r>
    <s v="ITEM-0870"/>
    <x v="3"/>
    <x v="0"/>
    <n v="450.37"/>
    <x v="3"/>
    <n v="3754.59"/>
    <n v="1690954.6983"/>
    <s v="Over Budget"/>
    <s v="OK"/>
  </r>
  <r>
    <s v="ITEM-0871"/>
    <x v="6"/>
    <x v="0"/>
    <n v="438.61"/>
    <x v="4"/>
    <n v="2263.1799999999998"/>
    <n v="992653.3798"/>
    <s v="Over Budget"/>
    <s v="OK"/>
  </r>
  <r>
    <s v="ITEM-0872"/>
    <x v="4"/>
    <x v="2"/>
    <n v="279.44"/>
    <x v="2"/>
    <n v="4362.41"/>
    <n v="1219031.8503999999"/>
    <s v="Over Budget"/>
    <s v="OK"/>
  </r>
  <r>
    <s v="ITEM-0873"/>
    <x v="8"/>
    <x v="3"/>
    <n v="4.04"/>
    <x v="2"/>
    <n v="377.23"/>
    <n v="1524.0092000000002"/>
    <s v="OK"/>
    <s v="OK"/>
  </r>
  <r>
    <s v="ITEM-0874"/>
    <x v="2"/>
    <x v="4"/>
    <n v="381.06"/>
    <x v="2"/>
    <n v="4610.54"/>
    <n v="1756892.3724"/>
    <s v="Over Budget"/>
    <s v="OK"/>
  </r>
  <r>
    <s v="ITEM-0875"/>
    <x v="8"/>
    <x v="3"/>
    <n v="376.36"/>
    <x v="3"/>
    <n v="1092.27"/>
    <n v="411086.73720000003"/>
    <s v="Over Budget"/>
    <s v="OK"/>
  </r>
  <r>
    <s v="ITEM-0876"/>
    <x v="8"/>
    <x v="1"/>
    <n v="329.41"/>
    <x v="2"/>
    <n v="1517.04"/>
    <n v="499728.14640000003"/>
    <s v="Over Budget"/>
    <s v="OK"/>
  </r>
  <r>
    <s v="ITEM-0877"/>
    <x v="1"/>
    <x v="2"/>
    <n v="91.57"/>
    <x v="2"/>
    <n v="337.09"/>
    <n v="30867.331299999994"/>
    <s v="OK"/>
    <s v="OK"/>
  </r>
  <r>
    <s v="ITEM-0878"/>
    <x v="7"/>
    <x v="1"/>
    <n v="31.84"/>
    <x v="4"/>
    <n v="2077.91"/>
    <n v="66160.654399999999"/>
    <s v="OK"/>
    <s v="OK"/>
  </r>
  <r>
    <s v="ITEM-0879"/>
    <x v="3"/>
    <x v="0"/>
    <n v="277.36"/>
    <x v="1"/>
    <n v="1438.14"/>
    <n v="398882.51040000003"/>
    <s v="Over Budget"/>
    <s v="OK"/>
  </r>
  <r>
    <s v="ITEM-0880"/>
    <x v="7"/>
    <x v="3"/>
    <n v="484.05"/>
    <x v="0"/>
    <n v="3157.78"/>
    <n v="1528523.4090000002"/>
    <s v="Over Budget"/>
    <s v="OK"/>
  </r>
  <r>
    <s v="ITEM-0881"/>
    <x v="3"/>
    <x v="3"/>
    <n v="203.95"/>
    <x v="2"/>
    <n v="3990.46"/>
    <n v="813854.31699999992"/>
    <s v="Over Budget"/>
    <s v="OK"/>
  </r>
  <r>
    <s v="ITEM-0882"/>
    <x v="1"/>
    <x v="0"/>
    <n v="17.97"/>
    <x v="4"/>
    <n v="122.55"/>
    <n v="2202.2234999999996"/>
    <s v="OK"/>
    <s v="OK"/>
  </r>
  <r>
    <s v="ITEM-0883"/>
    <x v="0"/>
    <x v="1"/>
    <n v="143.91"/>
    <x v="3"/>
    <n v="3511.49"/>
    <n v="505338.52589999995"/>
    <s v="Over Budget"/>
    <s v="OK"/>
  </r>
  <r>
    <s v="ITEM-0884"/>
    <x v="4"/>
    <x v="0"/>
    <n v="25.26"/>
    <x v="0"/>
    <n v="1777.43"/>
    <n v="44897.881800000003"/>
    <s v="OK"/>
    <s v="OK"/>
  </r>
  <r>
    <s v="ITEM-0885"/>
    <x v="7"/>
    <x v="3"/>
    <n v="322.8"/>
    <x v="4"/>
    <n v="890.97"/>
    <n v="287605.11600000004"/>
    <s v="Over Budget"/>
    <s v="OK"/>
  </r>
  <r>
    <s v="ITEM-0886"/>
    <x v="3"/>
    <x v="4"/>
    <n v="448.6"/>
    <x v="1"/>
    <n v="2153.13"/>
    <n v="965894.11800000013"/>
    <s v="Over Budget"/>
    <s v="OK"/>
  </r>
  <r>
    <s v="ITEM-0887"/>
    <x v="9"/>
    <x v="3"/>
    <n v="439.79"/>
    <x v="1"/>
    <n v="2304.38"/>
    <n v="1013443.2802"/>
    <s v="Over Budget"/>
    <s v="OK"/>
  </r>
  <r>
    <s v="ITEM-0888"/>
    <x v="9"/>
    <x v="3"/>
    <n v="299.44"/>
    <x v="1"/>
    <n v="2573.63"/>
    <n v="770647.7672"/>
    <s v="Over Budget"/>
    <s v="OK"/>
  </r>
  <r>
    <s v="ITEM-0889"/>
    <x v="3"/>
    <x v="0"/>
    <n v="463.46"/>
    <x v="3"/>
    <n v="1223.51"/>
    <n v="567047.94459999993"/>
    <s v="Over Budget"/>
    <s v="OK"/>
  </r>
  <r>
    <s v="ITEM-0890"/>
    <x v="3"/>
    <x v="3"/>
    <n v="110.5"/>
    <x v="2"/>
    <n v="3095.57"/>
    <n v="342060.48500000004"/>
    <s v="Over Budget"/>
    <s v="OK"/>
  </r>
  <r>
    <s v="ITEM-0891"/>
    <x v="0"/>
    <x v="0"/>
    <n v="204.75"/>
    <x v="4"/>
    <n v="825.75"/>
    <n v="169072.3125"/>
    <s v="Over Budget"/>
    <s v="OK"/>
  </r>
  <r>
    <s v="ITEM-0892"/>
    <x v="8"/>
    <x v="2"/>
    <n v="342.22"/>
    <x v="2"/>
    <n v="3676.09"/>
    <n v="1258031.5198000001"/>
    <s v="Over Budget"/>
    <s v="OK"/>
  </r>
  <r>
    <s v="ITEM-0893"/>
    <x v="9"/>
    <x v="3"/>
    <n v="363.8"/>
    <x v="4"/>
    <n v="4957.1099999999997"/>
    <n v="1803396.618"/>
    <s v="Over Budget"/>
    <s v="OK"/>
  </r>
  <r>
    <s v="ITEM-0894"/>
    <x v="9"/>
    <x v="0"/>
    <n v="214.66"/>
    <x v="2"/>
    <n v="2123.27"/>
    <n v="455781.13819999999"/>
    <s v="Over Budget"/>
    <s v="OK"/>
  </r>
  <r>
    <s v="ITEM-0895"/>
    <x v="4"/>
    <x v="2"/>
    <n v="173.26"/>
    <x v="2"/>
    <n v="110.08"/>
    <n v="19072.460799999997"/>
    <s v="OK"/>
    <s v="OK"/>
  </r>
  <r>
    <s v="ITEM-0896"/>
    <x v="2"/>
    <x v="2"/>
    <n v="203.17"/>
    <x v="1"/>
    <n v="1666.14"/>
    <n v="338509.66379999998"/>
    <s v="Over Budget"/>
    <s v="OK"/>
  </r>
  <r>
    <s v="ITEM-0897"/>
    <x v="5"/>
    <x v="0"/>
    <n v="291.14"/>
    <x v="3"/>
    <n v="1057.8599999999999"/>
    <n v="307985.36039999995"/>
    <s v="Over Budget"/>
    <s v="OK"/>
  </r>
  <r>
    <s v="ITEM-0898"/>
    <x v="0"/>
    <x v="1"/>
    <n v="293.57"/>
    <x v="1"/>
    <n v="4335.99"/>
    <n v="1272916.5843"/>
    <s v="Over Budget"/>
    <s v="OK"/>
  </r>
  <r>
    <s v="ITEM-0899"/>
    <x v="7"/>
    <x v="1"/>
    <n v="486.36"/>
    <x v="2"/>
    <n v="2437.63"/>
    <n v="1185565.7268000001"/>
    <s v="Over Budget"/>
    <s v="OK"/>
  </r>
  <r>
    <s v="ITEM-0900"/>
    <x v="2"/>
    <x v="2"/>
    <n v="88.87"/>
    <x v="2"/>
    <n v="4348.84"/>
    <n v="386481.41080000001"/>
    <s v="Over Budget"/>
    <s v="OK"/>
  </r>
  <r>
    <s v="ITEM-0901"/>
    <x v="7"/>
    <x v="1"/>
    <n v="116.5"/>
    <x v="4"/>
    <n v="3378.91"/>
    <n v="393643.01499999996"/>
    <s v="Over Budget"/>
    <s v="OK"/>
  </r>
  <r>
    <s v="ITEM-0902"/>
    <x v="8"/>
    <x v="2"/>
    <n v="136.47999999999999"/>
    <x v="3"/>
    <n v="235.83"/>
    <n v="32186.078399999999"/>
    <s v="OK"/>
    <s v="OK"/>
  </r>
  <r>
    <s v="ITEM-0903"/>
    <x v="8"/>
    <x v="3"/>
    <n v="105.72"/>
    <x v="1"/>
    <n v="3468.94"/>
    <n v="366736.33679999999"/>
    <s v="Over Budget"/>
    <s v="OK"/>
  </r>
  <r>
    <s v="ITEM-0904"/>
    <x v="5"/>
    <x v="1"/>
    <n v="460.17"/>
    <x v="2"/>
    <n v="3155.45"/>
    <n v="1452043.4265000001"/>
    <s v="Over Budget"/>
    <s v="OK"/>
  </r>
  <r>
    <s v="ITEM-0905"/>
    <x v="5"/>
    <x v="1"/>
    <n v="48.74"/>
    <x v="4"/>
    <n v="4855.5600000000004"/>
    <n v="236659.99440000003"/>
    <s v="Over Budget"/>
    <s v="OK"/>
  </r>
  <r>
    <s v="ITEM-0906"/>
    <x v="9"/>
    <x v="2"/>
    <n v="469.37"/>
    <x v="1"/>
    <n v="4074.58"/>
    <n v="1912485.6146"/>
    <s v="Over Budget"/>
    <s v="OK"/>
  </r>
  <r>
    <s v="ITEM-0907"/>
    <x v="4"/>
    <x v="4"/>
    <n v="354.31"/>
    <x v="4"/>
    <n v="2881.72"/>
    <n v="1021022.2131999999"/>
    <s v="Over Budget"/>
    <s v="OK"/>
  </r>
  <r>
    <s v="ITEM-0908"/>
    <x v="6"/>
    <x v="4"/>
    <n v="18.440000000000001"/>
    <x v="3"/>
    <n v="2083.96"/>
    <n v="38428.222400000006"/>
    <s v="OK"/>
    <s v="OK"/>
  </r>
  <r>
    <s v="ITEM-0909"/>
    <x v="8"/>
    <x v="1"/>
    <n v="330.22"/>
    <x v="4"/>
    <n v="4252.05"/>
    <n v="1404111.9510000001"/>
    <s v="Over Budget"/>
    <s v="OK"/>
  </r>
  <r>
    <s v="ITEM-0910"/>
    <x v="0"/>
    <x v="1"/>
    <n v="121.23"/>
    <x v="2"/>
    <n v="922.36"/>
    <n v="111817.7028"/>
    <s v="Over Budget"/>
    <s v="OK"/>
  </r>
  <r>
    <s v="ITEM-0911"/>
    <x v="3"/>
    <x v="4"/>
    <n v="208.19"/>
    <x v="0"/>
    <n v="1660.13"/>
    <n v="345622.46470000001"/>
    <s v="Over Budget"/>
    <s v="OK"/>
  </r>
  <r>
    <s v="ITEM-0912"/>
    <x v="9"/>
    <x v="4"/>
    <n v="88.01"/>
    <x v="1"/>
    <n v="3052.6"/>
    <n v="268659.326"/>
    <s v="Over Budget"/>
    <s v="OK"/>
  </r>
  <r>
    <s v="ITEM-0913"/>
    <x v="5"/>
    <x v="2"/>
    <n v="479.57"/>
    <x v="3"/>
    <n v="4187.29"/>
    <n v="2008098.6653"/>
    <s v="Over Budget"/>
    <s v="OK"/>
  </r>
  <r>
    <s v="ITEM-0914"/>
    <x v="8"/>
    <x v="1"/>
    <n v="328.91"/>
    <x v="2"/>
    <n v="4836.04"/>
    <n v="1590621.9164000002"/>
    <s v="Over Budget"/>
    <s v="OK"/>
  </r>
  <r>
    <s v="ITEM-0915"/>
    <x v="5"/>
    <x v="4"/>
    <n v="441.84"/>
    <x v="1"/>
    <n v="3891.21"/>
    <n v="1719292.2263999998"/>
    <s v="Over Budget"/>
    <s v="OK"/>
  </r>
  <r>
    <s v="ITEM-0916"/>
    <x v="9"/>
    <x v="4"/>
    <n v="302.14999999999998"/>
    <x v="1"/>
    <n v="4602.03"/>
    <n v="1390503.3644999999"/>
    <s v="Over Budget"/>
    <s v="OK"/>
  </r>
  <r>
    <s v="ITEM-0917"/>
    <x v="3"/>
    <x v="1"/>
    <n v="195.95"/>
    <x v="3"/>
    <n v="2366.5"/>
    <n v="463715.67499999999"/>
    <s v="Over Budget"/>
    <s v="OK"/>
  </r>
  <r>
    <s v="ITEM-0918"/>
    <x v="2"/>
    <x v="0"/>
    <n v="421.96"/>
    <x v="1"/>
    <n v="1499.98"/>
    <n v="632931.56079999998"/>
    <s v="Over Budget"/>
    <s v="OK"/>
  </r>
  <r>
    <s v="ITEM-0919"/>
    <x v="4"/>
    <x v="2"/>
    <n v="377.86"/>
    <x v="0"/>
    <n v="970.44"/>
    <n v="366690.45840000006"/>
    <s v="Over Budget"/>
    <s v="OK"/>
  </r>
  <r>
    <s v="ITEM-0920"/>
    <x v="3"/>
    <x v="4"/>
    <n v="428.51"/>
    <x v="1"/>
    <n v="4597.43"/>
    <n v="1970044.7293"/>
    <s v="Over Budget"/>
    <s v="OK"/>
  </r>
  <r>
    <s v="ITEM-0921"/>
    <x v="5"/>
    <x v="0"/>
    <n v="71.14"/>
    <x v="3"/>
    <n v="3453.29"/>
    <n v="245667.05059999999"/>
    <s v="Over Budget"/>
    <s v="OK"/>
  </r>
  <r>
    <s v="ITEM-0922"/>
    <x v="6"/>
    <x v="3"/>
    <n v="371.71"/>
    <x v="1"/>
    <n v="574.79"/>
    <n v="213655.19089999999"/>
    <s v="Over Budget"/>
    <s v="OK"/>
  </r>
  <r>
    <s v="ITEM-0923"/>
    <x v="4"/>
    <x v="0"/>
    <n v="437.6"/>
    <x v="1"/>
    <n v="2499.65"/>
    <n v="1093846.8400000001"/>
    <s v="Over Budget"/>
    <s v="OK"/>
  </r>
  <r>
    <s v="ITEM-0924"/>
    <x v="3"/>
    <x v="4"/>
    <n v="339.19"/>
    <x v="4"/>
    <n v="1552"/>
    <n v="526422.88"/>
    <s v="Over Budget"/>
    <s v="OK"/>
  </r>
  <r>
    <s v="ITEM-0925"/>
    <x v="9"/>
    <x v="4"/>
    <n v="98.48"/>
    <x v="2"/>
    <n v="982.86"/>
    <n v="96792.052800000005"/>
    <s v="OK"/>
    <s v="OK"/>
  </r>
  <r>
    <s v="ITEM-0926"/>
    <x v="8"/>
    <x v="2"/>
    <n v="127.48"/>
    <x v="2"/>
    <n v="960.38"/>
    <n v="122429.2424"/>
    <s v="Over Budget"/>
    <s v="OK"/>
  </r>
  <r>
    <s v="ITEM-0927"/>
    <x v="0"/>
    <x v="0"/>
    <n v="223.93"/>
    <x v="2"/>
    <n v="3602.9"/>
    <n v="806797.397"/>
    <s v="Over Budget"/>
    <s v="OK"/>
  </r>
  <r>
    <s v="ITEM-0928"/>
    <x v="9"/>
    <x v="3"/>
    <n v="446.52"/>
    <x v="1"/>
    <n v="3767.65"/>
    <n v="1682331.078"/>
    <s v="Over Budget"/>
    <s v="OK"/>
  </r>
  <r>
    <s v="ITEM-0929"/>
    <x v="4"/>
    <x v="4"/>
    <n v="471.34"/>
    <x v="2"/>
    <n v="2678.92"/>
    <n v="1262682.1528"/>
    <s v="Over Budget"/>
    <s v="OK"/>
  </r>
  <r>
    <s v="ITEM-0930"/>
    <x v="6"/>
    <x v="0"/>
    <n v="354.2"/>
    <x v="1"/>
    <n v="2321.79"/>
    <n v="822378.01799999992"/>
    <s v="Over Budget"/>
    <s v="OK"/>
  </r>
  <r>
    <s v="ITEM-0931"/>
    <x v="3"/>
    <x v="3"/>
    <n v="218.34"/>
    <x v="3"/>
    <n v="3292.11"/>
    <n v="718799.29740000004"/>
    <s v="Over Budget"/>
    <s v="OK"/>
  </r>
  <r>
    <s v="ITEM-0932"/>
    <x v="4"/>
    <x v="2"/>
    <n v="367.77"/>
    <x v="3"/>
    <n v="692.59"/>
    <n v="254713.82430000001"/>
    <s v="Over Budget"/>
    <s v="OK"/>
  </r>
  <r>
    <s v="ITEM-0933"/>
    <x v="6"/>
    <x v="1"/>
    <n v="177.37"/>
    <x v="3"/>
    <n v="2926.18"/>
    <n v="519016.5466"/>
    <s v="Over Budget"/>
    <s v="OK"/>
  </r>
  <r>
    <s v="ITEM-0934"/>
    <x v="6"/>
    <x v="0"/>
    <n v="47.4"/>
    <x v="2"/>
    <n v="4065.23"/>
    <n v="192691.902"/>
    <s v="Over Budget"/>
    <s v="OK"/>
  </r>
  <r>
    <s v="ITEM-0935"/>
    <x v="5"/>
    <x v="2"/>
    <n v="272.66000000000003"/>
    <x v="2"/>
    <n v="4636.79"/>
    <n v="1264267.1614000001"/>
    <s v="Over Budget"/>
    <s v="OK"/>
  </r>
  <r>
    <s v="ITEM-0936"/>
    <x v="6"/>
    <x v="1"/>
    <n v="52.66"/>
    <x v="0"/>
    <n v="1501.53"/>
    <n v="79070.569799999997"/>
    <s v="OK"/>
    <s v="OK"/>
  </r>
  <r>
    <s v="ITEM-0937"/>
    <x v="3"/>
    <x v="4"/>
    <n v="160.07"/>
    <x v="1"/>
    <n v="2831.7"/>
    <n v="453270.21899999992"/>
    <s v="Over Budget"/>
    <s v="OK"/>
  </r>
  <r>
    <s v="ITEM-0938"/>
    <x v="0"/>
    <x v="1"/>
    <n v="273.77"/>
    <x v="4"/>
    <n v="1021.92"/>
    <n v="279771.03839999996"/>
    <s v="Over Budget"/>
    <s v="OK"/>
  </r>
  <r>
    <s v="ITEM-0939"/>
    <x v="6"/>
    <x v="4"/>
    <n v="101.06"/>
    <x v="1"/>
    <n v="1342.52"/>
    <n v="135675.07120000001"/>
    <s v="Over Budget"/>
    <s v="OK"/>
  </r>
  <r>
    <s v="ITEM-0940"/>
    <x v="8"/>
    <x v="4"/>
    <n v="409.78"/>
    <x v="0"/>
    <n v="2022.82"/>
    <n v="828911.17959999992"/>
    <s v="Over Budget"/>
    <s v="OK"/>
  </r>
  <r>
    <s v="ITEM-0941"/>
    <x v="1"/>
    <x v="3"/>
    <n v="149.69999999999999"/>
    <x v="2"/>
    <n v="3685.88"/>
    <n v="551776.23599999992"/>
    <s v="Over Budget"/>
    <s v="OK"/>
  </r>
  <r>
    <s v="ITEM-0942"/>
    <x v="0"/>
    <x v="0"/>
    <n v="168.98"/>
    <x v="4"/>
    <n v="3459.9"/>
    <n v="584653.902"/>
    <s v="Over Budget"/>
    <s v="OK"/>
  </r>
  <r>
    <s v="ITEM-0943"/>
    <x v="6"/>
    <x v="1"/>
    <n v="341.83"/>
    <x v="1"/>
    <n v="4996.88"/>
    <n v="1708083.4904"/>
    <s v="Over Budget"/>
    <s v="OK"/>
  </r>
  <r>
    <s v="ITEM-0944"/>
    <x v="6"/>
    <x v="0"/>
    <n v="73.89"/>
    <x v="4"/>
    <n v="2215.4"/>
    <n v="163695.90600000002"/>
    <s v="Over Budget"/>
    <s v="OK"/>
  </r>
  <r>
    <s v="ITEM-0945"/>
    <x v="6"/>
    <x v="1"/>
    <n v="224.38"/>
    <x v="4"/>
    <n v="4667.9799999999996"/>
    <n v="1047401.3523999999"/>
    <s v="Over Budget"/>
    <s v="OK"/>
  </r>
  <r>
    <s v="ITEM-0946"/>
    <x v="1"/>
    <x v="4"/>
    <n v="236.31"/>
    <x v="1"/>
    <n v="849.2"/>
    <n v="200674.45200000002"/>
    <s v="Over Budget"/>
    <s v="OK"/>
  </r>
  <r>
    <s v="ITEM-0947"/>
    <x v="5"/>
    <x v="0"/>
    <n v="66.41"/>
    <x v="0"/>
    <n v="3790.93"/>
    <n v="251755.66129999998"/>
    <s v="Over Budget"/>
    <s v="OK"/>
  </r>
  <r>
    <s v="ITEM-0948"/>
    <x v="8"/>
    <x v="0"/>
    <n v="61.89"/>
    <x v="2"/>
    <n v="2692.11"/>
    <n v="166614.68790000002"/>
    <s v="Over Budget"/>
    <s v="OK"/>
  </r>
  <r>
    <s v="ITEM-0949"/>
    <x v="7"/>
    <x v="1"/>
    <n v="154.86000000000001"/>
    <x v="4"/>
    <n v="3870.34"/>
    <n v="599360.85240000009"/>
    <s v="Over Budget"/>
    <s v="OK"/>
  </r>
  <r>
    <s v="ITEM-0950"/>
    <x v="7"/>
    <x v="3"/>
    <n v="406.23"/>
    <x v="0"/>
    <n v="1886.43"/>
    <n v="766324.45890000009"/>
    <s v="Over Budget"/>
    <s v="OK"/>
  </r>
  <r>
    <s v="ITEM-0951"/>
    <x v="7"/>
    <x v="0"/>
    <n v="321"/>
    <x v="2"/>
    <n v="3153.61"/>
    <n v="1012308.81"/>
    <s v="Over Budget"/>
    <s v="OK"/>
  </r>
  <r>
    <s v="ITEM-0952"/>
    <x v="0"/>
    <x v="0"/>
    <n v="417.95"/>
    <x v="4"/>
    <n v="2998.04"/>
    <n v="1253030.818"/>
    <s v="Over Budget"/>
    <s v="OK"/>
  </r>
  <r>
    <s v="ITEM-0953"/>
    <x v="2"/>
    <x v="2"/>
    <n v="202.72"/>
    <x v="4"/>
    <n v="4374.3100000000004"/>
    <n v="886760.12320000003"/>
    <s v="Over Budget"/>
    <s v="OK"/>
  </r>
  <r>
    <s v="ITEM-0954"/>
    <x v="7"/>
    <x v="2"/>
    <n v="350.76"/>
    <x v="1"/>
    <n v="3684.66"/>
    <n v="1292431.3415999999"/>
    <s v="Over Budget"/>
    <s v="OK"/>
  </r>
  <r>
    <s v="ITEM-0955"/>
    <x v="5"/>
    <x v="4"/>
    <n v="343.44"/>
    <x v="0"/>
    <n v="4866.3500000000004"/>
    <n v="1671299.2440000002"/>
    <s v="Over Budget"/>
    <s v="OK"/>
  </r>
  <r>
    <s v="ITEM-0956"/>
    <x v="0"/>
    <x v="2"/>
    <n v="42.32"/>
    <x v="0"/>
    <n v="2797.97"/>
    <n v="118410.09039999999"/>
    <s v="Over Budget"/>
    <s v="OK"/>
  </r>
  <r>
    <s v="ITEM-0957"/>
    <x v="6"/>
    <x v="1"/>
    <n v="145.87"/>
    <x v="3"/>
    <n v="2442.9"/>
    <n v="356345.82300000003"/>
    <s v="Over Budget"/>
    <s v="OK"/>
  </r>
  <r>
    <s v="ITEM-0958"/>
    <x v="4"/>
    <x v="3"/>
    <n v="75.790000000000006"/>
    <x v="2"/>
    <n v="408.73"/>
    <n v="30977.646700000005"/>
    <s v="OK"/>
    <s v="OK"/>
  </r>
  <r>
    <s v="ITEM-0959"/>
    <x v="8"/>
    <x v="3"/>
    <n v="285.83"/>
    <x v="1"/>
    <n v="2173.09"/>
    <n v="621134.31469999999"/>
    <s v="Over Budget"/>
    <s v="OK"/>
  </r>
  <r>
    <s v="ITEM-0960"/>
    <x v="4"/>
    <x v="0"/>
    <n v="451.8"/>
    <x v="3"/>
    <n v="3362.24"/>
    <n v="1519060.0319999999"/>
    <s v="Over Budget"/>
    <s v="OK"/>
  </r>
  <r>
    <s v="ITEM-0961"/>
    <x v="8"/>
    <x v="3"/>
    <n v="134.93"/>
    <x v="1"/>
    <n v="1729.12"/>
    <n v="233310.16159999999"/>
    <s v="Over Budget"/>
    <s v="OK"/>
  </r>
  <r>
    <s v="ITEM-0962"/>
    <x v="7"/>
    <x v="0"/>
    <n v="130.86000000000001"/>
    <x v="1"/>
    <n v="1172.5"/>
    <n v="153433.35"/>
    <s v="Over Budget"/>
    <s v="OK"/>
  </r>
  <r>
    <s v="ITEM-0963"/>
    <x v="0"/>
    <x v="2"/>
    <n v="102.15"/>
    <x v="4"/>
    <n v="4130.29"/>
    <n v="421909.12350000005"/>
    <s v="Over Budget"/>
    <s v="OK"/>
  </r>
  <r>
    <s v="ITEM-0964"/>
    <x v="6"/>
    <x v="0"/>
    <n v="150.63999999999999"/>
    <x v="4"/>
    <n v="737.64"/>
    <n v="111118.08959999999"/>
    <s v="Over Budget"/>
    <s v="OK"/>
  </r>
  <r>
    <s v="ITEM-0965"/>
    <x v="2"/>
    <x v="1"/>
    <n v="211.52"/>
    <x v="2"/>
    <n v="1976.11"/>
    <n v="417986.78720000002"/>
    <s v="Over Budget"/>
    <s v="OK"/>
  </r>
  <r>
    <s v="ITEM-0966"/>
    <x v="3"/>
    <x v="0"/>
    <n v="229.39"/>
    <x v="3"/>
    <n v="4594.21"/>
    <n v="1053865.8318999999"/>
    <s v="Over Budget"/>
    <s v="OK"/>
  </r>
  <r>
    <s v="ITEM-0967"/>
    <x v="2"/>
    <x v="1"/>
    <n v="476.98"/>
    <x v="2"/>
    <n v="2336.77"/>
    <n v="1114592.5546000001"/>
    <s v="Over Budget"/>
    <s v="OK"/>
  </r>
  <r>
    <s v="ITEM-0968"/>
    <x v="9"/>
    <x v="4"/>
    <n v="59.14"/>
    <x v="2"/>
    <n v="3768.45"/>
    <n v="222866.133"/>
    <s v="Over Budget"/>
    <s v="OK"/>
  </r>
  <r>
    <s v="ITEM-0969"/>
    <x v="0"/>
    <x v="1"/>
    <n v="315.8"/>
    <x v="1"/>
    <n v="4373.3599999999997"/>
    <n v="1381107.088"/>
    <s v="Over Budget"/>
    <s v="OK"/>
  </r>
  <r>
    <s v="ITEM-0970"/>
    <x v="0"/>
    <x v="1"/>
    <n v="218.68"/>
    <x v="4"/>
    <n v="1427.91"/>
    <n v="312255.35880000005"/>
    <s v="Over Budget"/>
    <s v="OK"/>
  </r>
  <r>
    <s v="ITEM-0971"/>
    <x v="6"/>
    <x v="2"/>
    <n v="452.9"/>
    <x v="4"/>
    <n v="3391.78"/>
    <n v="1536137.162"/>
    <s v="Over Budget"/>
    <s v="OK"/>
  </r>
  <r>
    <s v="ITEM-0972"/>
    <x v="7"/>
    <x v="4"/>
    <n v="111.2"/>
    <x v="4"/>
    <n v="4649.34"/>
    <n v="517006.60800000001"/>
    <s v="Over Budget"/>
    <s v="OK"/>
  </r>
  <r>
    <s v="ITEM-0973"/>
    <x v="9"/>
    <x v="3"/>
    <n v="311.18"/>
    <x v="0"/>
    <n v="1644.01"/>
    <n v="511583.0318"/>
    <s v="Over Budget"/>
    <s v="OK"/>
  </r>
  <r>
    <s v="ITEM-0974"/>
    <x v="1"/>
    <x v="4"/>
    <n v="469.09"/>
    <x v="0"/>
    <n v="4868.91"/>
    <n v="2283956.9918999998"/>
    <s v="Over Budget"/>
    <s v="OK"/>
  </r>
  <r>
    <s v="ITEM-0975"/>
    <x v="7"/>
    <x v="2"/>
    <n v="488.24"/>
    <x v="2"/>
    <n v="1177.68"/>
    <n v="574990.48320000002"/>
    <s v="Over Budget"/>
    <s v="OK"/>
  </r>
  <r>
    <s v="ITEM-0976"/>
    <x v="1"/>
    <x v="0"/>
    <n v="54.62"/>
    <x v="4"/>
    <n v="663.02"/>
    <n v="36214.152399999999"/>
    <s v="OK"/>
    <s v="OK"/>
  </r>
  <r>
    <s v="ITEM-0977"/>
    <x v="9"/>
    <x v="2"/>
    <n v="3.53"/>
    <x v="2"/>
    <n v="2768.23"/>
    <n v="9771.8518999999997"/>
    <s v="OK"/>
    <s v="OK"/>
  </r>
  <r>
    <s v="ITEM-0978"/>
    <x v="2"/>
    <x v="4"/>
    <n v="163.41"/>
    <x v="0"/>
    <n v="3956.9"/>
    <n v="646597.02899999998"/>
    <s v="Over Budget"/>
    <s v="OK"/>
  </r>
  <r>
    <s v="ITEM-0979"/>
    <x v="6"/>
    <x v="4"/>
    <n v="453.21"/>
    <x v="2"/>
    <n v="2600.38"/>
    <n v="1178518.2198000001"/>
    <s v="Over Budget"/>
    <s v="OK"/>
  </r>
  <r>
    <s v="ITEM-0980"/>
    <x v="1"/>
    <x v="1"/>
    <n v="227.09"/>
    <x v="4"/>
    <n v="2656.76"/>
    <n v="603323.62840000005"/>
    <s v="Over Budget"/>
    <s v="OK"/>
  </r>
  <r>
    <s v="ITEM-0981"/>
    <x v="2"/>
    <x v="2"/>
    <n v="456.04"/>
    <x v="1"/>
    <n v="4277.0600000000004"/>
    <n v="1950510.4424000003"/>
    <s v="Over Budget"/>
    <s v="OK"/>
  </r>
  <r>
    <s v="ITEM-0982"/>
    <x v="4"/>
    <x v="1"/>
    <n v="236.12"/>
    <x v="3"/>
    <n v="3237.47"/>
    <n v="764431.41639999999"/>
    <s v="Over Budget"/>
    <s v="OK"/>
  </r>
  <r>
    <s v="ITEM-0983"/>
    <x v="2"/>
    <x v="0"/>
    <n v="25.43"/>
    <x v="0"/>
    <n v="3242.33"/>
    <n v="82452.4519"/>
    <s v="OK"/>
    <s v="OK"/>
  </r>
  <r>
    <s v="ITEM-0984"/>
    <x v="6"/>
    <x v="4"/>
    <n v="217.31"/>
    <x v="0"/>
    <n v="1864.81"/>
    <n v="405241.86109999998"/>
    <s v="Over Budget"/>
    <s v="OK"/>
  </r>
  <r>
    <s v="ITEM-0985"/>
    <x v="1"/>
    <x v="1"/>
    <n v="7.84"/>
    <x v="4"/>
    <n v="4422.74"/>
    <n v="34674.281599999995"/>
    <s v="OK"/>
    <s v="OK"/>
  </r>
  <r>
    <s v="ITEM-0986"/>
    <x v="3"/>
    <x v="4"/>
    <n v="446.57"/>
    <x v="1"/>
    <n v="3852.66"/>
    <n v="1720482.3761999998"/>
    <s v="Over Budget"/>
    <s v="OK"/>
  </r>
  <r>
    <s v="ITEM-0987"/>
    <x v="3"/>
    <x v="1"/>
    <n v="445.69"/>
    <x v="2"/>
    <n v="4446.92"/>
    <n v="1981947.7748"/>
    <s v="Over Budget"/>
    <s v="OK"/>
  </r>
  <r>
    <s v="ITEM-0988"/>
    <x v="7"/>
    <x v="0"/>
    <n v="369.23"/>
    <x v="0"/>
    <n v="2888.55"/>
    <n v="1066539.3165000002"/>
    <s v="Over Budget"/>
    <s v="OK"/>
  </r>
  <r>
    <s v="ITEM-0989"/>
    <x v="7"/>
    <x v="2"/>
    <n v="244.37"/>
    <x v="4"/>
    <n v="2714.4"/>
    <n v="663317.92800000007"/>
    <s v="Over Budget"/>
    <s v="OK"/>
  </r>
  <r>
    <s v="ITEM-0990"/>
    <x v="1"/>
    <x v="3"/>
    <n v="119.61"/>
    <x v="4"/>
    <n v="4581.59"/>
    <n v="548003.97990000003"/>
    <s v="Over Budget"/>
    <s v="OK"/>
  </r>
  <r>
    <s v="ITEM-0991"/>
    <x v="7"/>
    <x v="4"/>
    <n v="176.75"/>
    <x v="4"/>
    <n v="871.51"/>
    <n v="154039.39249999999"/>
    <s v="Over Budget"/>
    <s v="OK"/>
  </r>
  <r>
    <s v="ITEM-0992"/>
    <x v="3"/>
    <x v="1"/>
    <n v="175.32"/>
    <x v="1"/>
    <n v="3401.89"/>
    <n v="596419.35479999997"/>
    <s v="Over Budget"/>
    <s v="OK"/>
  </r>
  <r>
    <s v="ITEM-0993"/>
    <x v="0"/>
    <x v="0"/>
    <n v="181.9"/>
    <x v="4"/>
    <n v="643.05999999999995"/>
    <n v="116972.61399999999"/>
    <s v="Over Budget"/>
    <s v="OK"/>
  </r>
  <r>
    <s v="ITEM-0994"/>
    <x v="6"/>
    <x v="0"/>
    <n v="168.33"/>
    <x v="0"/>
    <n v="3632.41"/>
    <n v="611443.57530000003"/>
    <s v="Over Budget"/>
    <s v="OK"/>
  </r>
  <r>
    <s v="ITEM-0995"/>
    <x v="6"/>
    <x v="4"/>
    <n v="388"/>
    <x v="2"/>
    <n v="1857.19"/>
    <n v="720589.72"/>
    <s v="Over Budget"/>
    <s v="OK"/>
  </r>
  <r>
    <s v="ITEM-0996"/>
    <x v="1"/>
    <x v="3"/>
    <n v="16.62"/>
    <x v="1"/>
    <n v="1010.17"/>
    <n v="16789.025399999999"/>
    <s v="OK"/>
    <s v="OK"/>
  </r>
  <r>
    <s v="ITEM-0997"/>
    <x v="1"/>
    <x v="0"/>
    <n v="244.35"/>
    <x v="1"/>
    <n v="2437.0700000000002"/>
    <n v="595498.05449999997"/>
    <s v="Over Budget"/>
    <s v="OK"/>
  </r>
  <r>
    <s v="ITEM-0998"/>
    <x v="4"/>
    <x v="4"/>
    <n v="333.35"/>
    <x v="1"/>
    <n v="4352.17"/>
    <n v="1450795.8695"/>
    <s v="Over Budget"/>
    <s v="OK"/>
  </r>
  <r>
    <s v="ITEM-0999"/>
    <x v="0"/>
    <x v="4"/>
    <n v="243.02"/>
    <x v="3"/>
    <n v="3842.51"/>
    <n v="933806.78020000004"/>
    <s v="Over Budget"/>
    <s v="OK"/>
  </r>
  <r>
    <s v="ITEM-1000"/>
    <x v="2"/>
    <x v="4"/>
    <n v="125.33"/>
    <x v="0"/>
    <n v="181.41"/>
    <n v="22736.115299999998"/>
    <s v="OK"/>
    <s v="OK"/>
  </r>
  <r>
    <s v="ITEM-1001"/>
    <x v="8"/>
    <x v="3"/>
    <n v="377.14"/>
    <x v="3"/>
    <n v="621.46"/>
    <n v="234377.42440000002"/>
    <s v="Over Budget"/>
    <s v="OK"/>
  </r>
  <r>
    <s v="ITEM-1002"/>
    <x v="2"/>
    <x v="1"/>
    <n v="206.01"/>
    <x v="0"/>
    <n v="2102.54"/>
    <n v="433144.26539999997"/>
    <s v="Over Budget"/>
    <s v="OK"/>
  </r>
  <r>
    <s v="ITEM-1003"/>
    <x v="7"/>
    <x v="1"/>
    <n v="250.84"/>
    <x v="4"/>
    <n v="3759.02"/>
    <n v="942912.57680000004"/>
    <s v="Over Budget"/>
    <s v="OK"/>
  </r>
  <r>
    <s v="ITEM-1004"/>
    <x v="6"/>
    <x v="0"/>
    <n v="428.78"/>
    <x v="1"/>
    <n v="3555.5"/>
    <n v="1524527.2899999998"/>
    <s v="Over Budget"/>
    <s v="OK"/>
  </r>
  <r>
    <s v="ITEM-1005"/>
    <x v="5"/>
    <x v="0"/>
    <n v="237.71"/>
    <x v="4"/>
    <n v="3461.66"/>
    <n v="822871.1986"/>
    <s v="Over Budget"/>
    <s v="OK"/>
  </r>
  <r>
    <s v="ITEM-1006"/>
    <x v="8"/>
    <x v="4"/>
    <n v="392.75"/>
    <x v="4"/>
    <n v="3969.11"/>
    <n v="1558867.9525000001"/>
    <s v="Over Budget"/>
    <s v="OK"/>
  </r>
  <r>
    <s v="ITEM-1007"/>
    <x v="9"/>
    <x v="0"/>
    <n v="479.59"/>
    <x v="0"/>
    <n v="4850.3"/>
    <n v="2326155.3769999999"/>
    <s v="Over Budget"/>
    <s v="OK"/>
  </r>
  <r>
    <s v="ITEM-1008"/>
    <x v="7"/>
    <x v="0"/>
    <n v="73.66"/>
    <x v="3"/>
    <n v="4905.55"/>
    <n v="361342.81300000002"/>
    <s v="Over Budget"/>
    <s v="OK"/>
  </r>
  <r>
    <s v="ITEM-1009"/>
    <x v="7"/>
    <x v="4"/>
    <n v="27.37"/>
    <x v="2"/>
    <n v="2501.62"/>
    <n v="68469.339399999997"/>
    <s v="OK"/>
    <s v="OK"/>
  </r>
  <r>
    <s v="ITEM-1010"/>
    <x v="6"/>
    <x v="2"/>
    <n v="157.61000000000001"/>
    <x v="2"/>
    <n v="2227.69"/>
    <n v="351106.22090000001"/>
    <s v="Over Budget"/>
    <s v="OK"/>
  </r>
  <r>
    <s v="ITEM-1011"/>
    <x v="4"/>
    <x v="0"/>
    <n v="471.33"/>
    <x v="1"/>
    <n v="2517.96"/>
    <n v="1186790.0867999999"/>
    <s v="Over Budget"/>
    <s v="OK"/>
  </r>
  <r>
    <s v="ITEM-1012"/>
    <x v="8"/>
    <x v="2"/>
    <n v="383.25"/>
    <x v="1"/>
    <n v="4568.8500000000004"/>
    <n v="1751011.7625000002"/>
    <s v="Over Budget"/>
    <s v="OK"/>
  </r>
  <r>
    <s v="ITEM-1013"/>
    <x v="7"/>
    <x v="1"/>
    <n v="34.79"/>
    <x v="1"/>
    <n v="3897.77"/>
    <n v="135603.41829999999"/>
    <s v="Over Budget"/>
    <s v="OK"/>
  </r>
  <r>
    <s v="ITEM-1014"/>
    <x v="5"/>
    <x v="3"/>
    <n v="109.48"/>
    <x v="3"/>
    <n v="86.27"/>
    <n v="9444.8395999999993"/>
    <s v="OK"/>
    <s v="OK"/>
  </r>
  <r>
    <s v="ITEM-1015"/>
    <x v="2"/>
    <x v="1"/>
    <n v="25.53"/>
    <x v="1"/>
    <n v="2192.52"/>
    <n v="55975.035600000003"/>
    <s v="OK"/>
    <s v="OK"/>
  </r>
  <r>
    <s v="ITEM-1016"/>
    <x v="5"/>
    <x v="2"/>
    <n v="389.58"/>
    <x v="3"/>
    <n v="2467.9899999999998"/>
    <n v="961479.54419999989"/>
    <s v="Over Budget"/>
    <s v="OK"/>
  </r>
  <r>
    <s v="ITEM-1017"/>
    <x v="5"/>
    <x v="1"/>
    <n v="330.26"/>
    <x v="0"/>
    <n v="3712.27"/>
    <n v="1226014.2901999999"/>
    <s v="Over Budget"/>
    <s v="OK"/>
  </r>
  <r>
    <s v="ITEM-1018"/>
    <x v="9"/>
    <x v="1"/>
    <n v="418.48"/>
    <x v="1"/>
    <n v="980.95"/>
    <n v="410507.95600000006"/>
    <s v="Over Budget"/>
    <s v="OK"/>
  </r>
  <r>
    <s v="ITEM-1019"/>
    <x v="4"/>
    <x v="2"/>
    <n v="108.42"/>
    <x v="3"/>
    <n v="4932.21"/>
    <n v="534750.20819999999"/>
    <s v="Over Budget"/>
    <s v="OK"/>
  </r>
  <r>
    <s v="ITEM-1020"/>
    <x v="0"/>
    <x v="2"/>
    <n v="53.26"/>
    <x v="2"/>
    <n v="383.37"/>
    <n v="20418.286199999999"/>
    <s v="OK"/>
    <s v="OK"/>
  </r>
  <r>
    <s v="ITEM-1021"/>
    <x v="8"/>
    <x v="3"/>
    <n v="358.04"/>
    <x v="0"/>
    <n v="3601.33"/>
    <n v="1289420.1932000001"/>
    <s v="Over Budget"/>
    <s v="OK"/>
  </r>
  <r>
    <s v="ITEM-1022"/>
    <x v="7"/>
    <x v="2"/>
    <n v="222.8"/>
    <x v="4"/>
    <n v="1321.24"/>
    <n v="294372.272"/>
    <s v="Over Budget"/>
    <s v="OK"/>
  </r>
  <r>
    <s v="ITEM-1023"/>
    <x v="2"/>
    <x v="3"/>
    <n v="307.27"/>
    <x v="1"/>
    <n v="351.85"/>
    <n v="108112.9495"/>
    <s v="Over Budget"/>
    <s v="OK"/>
  </r>
  <r>
    <s v="ITEM-1024"/>
    <x v="3"/>
    <x v="1"/>
    <n v="322.02"/>
    <x v="4"/>
    <n v="4129.93"/>
    <n v="1329920.0586000001"/>
    <s v="Over Budget"/>
    <s v="OK"/>
  </r>
  <r>
    <s v="ITEM-1025"/>
    <x v="9"/>
    <x v="1"/>
    <n v="38.64"/>
    <x v="0"/>
    <n v="3079.67"/>
    <n v="118998.4488"/>
    <s v="Over Budget"/>
    <s v="OK"/>
  </r>
  <r>
    <s v="ITEM-1026"/>
    <x v="7"/>
    <x v="0"/>
    <n v="343.13"/>
    <x v="0"/>
    <n v="2123.67"/>
    <n v="728694.88710000005"/>
    <s v="Over Budget"/>
    <s v="OK"/>
  </r>
  <r>
    <s v="ITEM-1027"/>
    <x v="1"/>
    <x v="0"/>
    <n v="401.19"/>
    <x v="1"/>
    <n v="774.98"/>
    <n v="310914.22620000003"/>
    <s v="Over Budget"/>
    <s v="OK"/>
  </r>
  <r>
    <s v="ITEM-1028"/>
    <x v="7"/>
    <x v="3"/>
    <n v="238.69"/>
    <x v="2"/>
    <n v="1973.55"/>
    <n v="471066.6495"/>
    <s v="Over Budget"/>
    <s v="OK"/>
  </r>
  <r>
    <s v="ITEM-1029"/>
    <x v="1"/>
    <x v="3"/>
    <n v="44.73"/>
    <x v="1"/>
    <n v="837.85"/>
    <n v="37477.030500000001"/>
    <s v="OK"/>
    <s v="OK"/>
  </r>
  <r>
    <s v="ITEM-1030"/>
    <x v="8"/>
    <x v="0"/>
    <n v="406.87"/>
    <x v="0"/>
    <n v="4455.5600000000004"/>
    <n v="1812833.6972000003"/>
    <s v="Over Budget"/>
    <s v="OK"/>
  </r>
  <r>
    <s v="ITEM-1031"/>
    <x v="4"/>
    <x v="2"/>
    <n v="33.69"/>
    <x v="4"/>
    <n v="1269.19"/>
    <n v="42759.011099999996"/>
    <s v="OK"/>
    <s v="OK"/>
  </r>
  <r>
    <s v="ITEM-1032"/>
    <x v="0"/>
    <x v="1"/>
    <n v="269.86"/>
    <x v="4"/>
    <n v="1754.39"/>
    <n v="473439.68540000007"/>
    <s v="Over Budget"/>
    <s v="OK"/>
  </r>
  <r>
    <s v="ITEM-1033"/>
    <x v="8"/>
    <x v="2"/>
    <n v="401.85"/>
    <x v="2"/>
    <n v="4732.01"/>
    <n v="1901558.2185000002"/>
    <s v="Over Budget"/>
    <s v="OK"/>
  </r>
  <r>
    <s v="ITEM-1034"/>
    <x v="0"/>
    <x v="4"/>
    <n v="363.77"/>
    <x v="1"/>
    <n v="2459.67"/>
    <n v="894754.15590000001"/>
    <s v="Over Budget"/>
    <s v="OK"/>
  </r>
  <r>
    <s v="ITEM-1035"/>
    <x v="8"/>
    <x v="0"/>
    <n v="122.94"/>
    <x v="1"/>
    <n v="786.49"/>
    <n v="96691.080600000001"/>
    <s v="OK"/>
    <s v="OK"/>
  </r>
  <r>
    <s v="ITEM-1036"/>
    <x v="9"/>
    <x v="3"/>
    <n v="108.77"/>
    <x v="1"/>
    <n v="2382.9299999999998"/>
    <n v="259191.29609999998"/>
    <s v="Over Budget"/>
    <s v="OK"/>
  </r>
  <r>
    <s v="ITEM-1037"/>
    <x v="4"/>
    <x v="1"/>
    <n v="379.79"/>
    <x v="1"/>
    <n v="700.76"/>
    <n v="266141.64040000003"/>
    <s v="Over Budget"/>
    <s v="OK"/>
  </r>
  <r>
    <s v="ITEM-1038"/>
    <x v="6"/>
    <x v="3"/>
    <n v="466.57"/>
    <x v="3"/>
    <n v="2800.74"/>
    <n v="1306741.2618"/>
    <s v="Over Budget"/>
    <s v="OK"/>
  </r>
  <r>
    <s v="ITEM-1039"/>
    <x v="6"/>
    <x v="0"/>
    <n v="109.02"/>
    <x v="3"/>
    <n v="4899.2700000000004"/>
    <n v="534118.41540000006"/>
    <s v="Over Budget"/>
    <s v="OK"/>
  </r>
  <r>
    <s v="ITEM-1040"/>
    <x v="3"/>
    <x v="4"/>
    <n v="118.89"/>
    <x v="3"/>
    <n v="904.13"/>
    <n v="107492.0157"/>
    <s v="Over Budget"/>
    <s v="OK"/>
  </r>
  <r>
    <s v="ITEM-1041"/>
    <x v="7"/>
    <x v="4"/>
    <n v="461.38"/>
    <x v="3"/>
    <n v="2453.79"/>
    <n v="1132129.6302"/>
    <s v="Over Budget"/>
    <s v="OK"/>
  </r>
  <r>
    <s v="ITEM-1042"/>
    <x v="6"/>
    <x v="3"/>
    <n v="487.99"/>
    <x v="3"/>
    <n v="3758.44"/>
    <n v="1834081.1356000002"/>
    <s v="Over Budget"/>
    <s v="OK"/>
  </r>
  <r>
    <s v="ITEM-1043"/>
    <x v="3"/>
    <x v="3"/>
    <n v="207.03"/>
    <x v="4"/>
    <n v="4784.09"/>
    <n v="990450.15270000009"/>
    <s v="Over Budget"/>
    <s v="OK"/>
  </r>
  <r>
    <s v="ITEM-1044"/>
    <x v="8"/>
    <x v="1"/>
    <n v="247.55"/>
    <x v="2"/>
    <n v="2449.31"/>
    <n v="606326.69050000003"/>
    <s v="Over Budget"/>
    <s v="OK"/>
  </r>
  <r>
    <s v="ITEM-1045"/>
    <x v="4"/>
    <x v="4"/>
    <n v="130.94999999999999"/>
    <x v="4"/>
    <n v="471.56"/>
    <n v="61750.781999999992"/>
    <s v="OK"/>
    <s v="OK"/>
  </r>
  <r>
    <s v="ITEM-1046"/>
    <x v="8"/>
    <x v="2"/>
    <n v="234.14"/>
    <x v="0"/>
    <n v="1495.5"/>
    <n v="350156.37"/>
    <s v="Over Budget"/>
    <s v="OK"/>
  </r>
  <r>
    <s v="ITEM-1047"/>
    <x v="4"/>
    <x v="3"/>
    <n v="325.77999999999997"/>
    <x v="1"/>
    <n v="191.98"/>
    <n v="62543.244399999989"/>
    <s v="OK"/>
    <s v="OK"/>
  </r>
  <r>
    <s v="ITEM-1048"/>
    <x v="2"/>
    <x v="3"/>
    <n v="60.82"/>
    <x v="1"/>
    <n v="4916.8599999999997"/>
    <n v="299043.4252"/>
    <s v="Over Budget"/>
    <s v="OK"/>
  </r>
  <r>
    <s v="ITEM-1049"/>
    <x v="2"/>
    <x v="4"/>
    <n v="97.05"/>
    <x v="4"/>
    <n v="4616.12"/>
    <n v="447994.446"/>
    <s v="Over Budget"/>
    <s v="OK"/>
  </r>
  <r>
    <s v="ITEM-1050"/>
    <x v="5"/>
    <x v="2"/>
    <n v="301.81"/>
    <x v="3"/>
    <n v="4586.46"/>
    <n v="1384239.4926"/>
    <s v="Over Budget"/>
    <s v="OK"/>
  </r>
  <r>
    <s v="ITEM-1051"/>
    <x v="7"/>
    <x v="4"/>
    <n v="191.22"/>
    <x v="3"/>
    <n v="1150.21"/>
    <n v="219943.1562"/>
    <s v="Over Budget"/>
    <s v="OK"/>
  </r>
  <r>
    <s v="ITEM-1052"/>
    <x v="1"/>
    <x v="1"/>
    <n v="46.17"/>
    <x v="0"/>
    <n v="1058.03"/>
    <n v="48849.2451"/>
    <s v="OK"/>
    <s v="OK"/>
  </r>
  <r>
    <s v="ITEM-1053"/>
    <x v="8"/>
    <x v="1"/>
    <n v="153.77000000000001"/>
    <x v="3"/>
    <n v="3005.45"/>
    <n v="462148.0465"/>
    <s v="Over Budget"/>
    <s v="OK"/>
  </r>
  <r>
    <s v="ITEM-1054"/>
    <x v="2"/>
    <x v="4"/>
    <n v="342.54"/>
    <x v="4"/>
    <n v="4097.87"/>
    <n v="1403684.3898"/>
    <s v="Over Budget"/>
    <s v="OK"/>
  </r>
  <r>
    <s v="ITEM-1055"/>
    <x v="6"/>
    <x v="1"/>
    <n v="409.76"/>
    <x v="4"/>
    <n v="4489.2299999999996"/>
    <n v="1839506.8847999999"/>
    <s v="Over Budget"/>
    <s v="OK"/>
  </r>
  <r>
    <s v="ITEM-1056"/>
    <x v="4"/>
    <x v="0"/>
    <n v="131.07"/>
    <x v="3"/>
    <n v="1223.8699999999999"/>
    <n v="160412.64089999997"/>
    <s v="Over Budget"/>
    <s v="OK"/>
  </r>
  <r>
    <s v="ITEM-1057"/>
    <x v="2"/>
    <x v="3"/>
    <n v="499.64"/>
    <x v="2"/>
    <n v="3562.29"/>
    <n v="1779862.5755999999"/>
    <s v="Over Budget"/>
    <s v="OK"/>
  </r>
  <r>
    <s v="ITEM-1058"/>
    <x v="7"/>
    <x v="0"/>
    <n v="82.15"/>
    <x v="0"/>
    <n v="741.17"/>
    <n v="60887.1155"/>
    <s v="OK"/>
    <s v="OK"/>
  </r>
  <r>
    <s v="ITEM-1059"/>
    <x v="7"/>
    <x v="0"/>
    <n v="314.10000000000002"/>
    <x v="0"/>
    <n v="3050.88"/>
    <n v="958281.40800000005"/>
    <s v="Over Budget"/>
    <s v="OK"/>
  </r>
  <r>
    <s v="ITEM-1060"/>
    <x v="8"/>
    <x v="1"/>
    <n v="405.22"/>
    <x v="0"/>
    <n v="779.2"/>
    <n v="315747.42400000006"/>
    <s v="Over Budget"/>
    <s v="OK"/>
  </r>
  <r>
    <s v="ITEM-1061"/>
    <x v="7"/>
    <x v="4"/>
    <n v="380.06"/>
    <x v="4"/>
    <n v="743.48"/>
    <n v="282567.00880000001"/>
    <s v="Over Budget"/>
    <s v="OK"/>
  </r>
  <r>
    <s v="ITEM-1062"/>
    <x v="2"/>
    <x v="3"/>
    <n v="392.01"/>
    <x v="3"/>
    <n v="646.35"/>
    <n v="253375.6635"/>
    <s v="Over Budget"/>
    <s v="OK"/>
  </r>
  <r>
    <s v="ITEM-1063"/>
    <x v="0"/>
    <x v="4"/>
    <n v="211.24"/>
    <x v="4"/>
    <n v="1496.3"/>
    <n v="316078.41200000001"/>
    <s v="Over Budget"/>
    <s v="OK"/>
  </r>
  <r>
    <s v="ITEM-1064"/>
    <x v="9"/>
    <x v="3"/>
    <n v="328.33"/>
    <x v="1"/>
    <n v="4373.6499999999996"/>
    <n v="1436000.5044999998"/>
    <s v="Over Budget"/>
    <s v="OK"/>
  </r>
  <r>
    <s v="ITEM-1065"/>
    <x v="9"/>
    <x v="2"/>
    <n v="356.88"/>
    <x v="1"/>
    <n v="1797.8"/>
    <n v="641598.86399999994"/>
    <s v="Over Budget"/>
    <s v="OK"/>
  </r>
  <r>
    <s v="ITEM-1066"/>
    <x v="7"/>
    <x v="3"/>
    <n v="425.4"/>
    <x v="0"/>
    <n v="510.69"/>
    <n v="217247.52599999998"/>
    <s v="Over Budget"/>
    <s v="OK"/>
  </r>
  <r>
    <s v="ITEM-1067"/>
    <x v="0"/>
    <x v="2"/>
    <n v="211.78"/>
    <x v="4"/>
    <n v="1967.18"/>
    <n v="416609.38040000002"/>
    <s v="Over Budget"/>
    <s v="OK"/>
  </r>
  <r>
    <s v="ITEM-1068"/>
    <x v="8"/>
    <x v="4"/>
    <n v="340.21"/>
    <x v="3"/>
    <n v="3082.25"/>
    <n v="1048612.2725"/>
    <s v="Over Budget"/>
    <s v="OK"/>
  </r>
  <r>
    <s v="ITEM-1069"/>
    <x v="5"/>
    <x v="1"/>
    <n v="39.78"/>
    <x v="1"/>
    <n v="1071.07"/>
    <n v="42607.164599999996"/>
    <s v="OK"/>
    <s v="OK"/>
  </r>
  <r>
    <s v="ITEM-1070"/>
    <x v="6"/>
    <x v="4"/>
    <n v="384.84"/>
    <x v="2"/>
    <n v="4151.91"/>
    <n v="1597821.0443999998"/>
    <s v="Over Budget"/>
    <s v="OK"/>
  </r>
  <r>
    <s v="ITEM-1071"/>
    <x v="7"/>
    <x v="4"/>
    <n v="220.54"/>
    <x v="0"/>
    <n v="4458.1899999999996"/>
    <n v="983209.22259999986"/>
    <s v="Over Budget"/>
    <s v="OK"/>
  </r>
  <r>
    <s v="ITEM-1072"/>
    <x v="2"/>
    <x v="1"/>
    <n v="34.119999999999997"/>
    <x v="3"/>
    <n v="2746.03"/>
    <n v="93694.543600000005"/>
    <s v="OK"/>
    <s v="OK"/>
  </r>
  <r>
    <s v="ITEM-1073"/>
    <x v="4"/>
    <x v="2"/>
    <n v="176.76"/>
    <x v="4"/>
    <n v="2024.84"/>
    <n v="357910.71839999995"/>
    <s v="Over Budget"/>
    <s v="OK"/>
  </r>
  <r>
    <s v="ITEM-1074"/>
    <x v="9"/>
    <x v="1"/>
    <n v="247.03"/>
    <x v="2"/>
    <n v="2076.6999999999998"/>
    <n v="513007.20099999994"/>
    <s v="Over Budget"/>
    <s v="OK"/>
  </r>
  <r>
    <s v="ITEM-1075"/>
    <x v="9"/>
    <x v="4"/>
    <n v="287.04000000000002"/>
    <x v="0"/>
    <n v="204.92"/>
    <n v="58820.236799999999"/>
    <s v="OK"/>
    <s v="OK"/>
  </r>
  <r>
    <s v="ITEM-1076"/>
    <x v="4"/>
    <x v="2"/>
    <n v="450.52"/>
    <x v="3"/>
    <n v="2202.7600000000002"/>
    <n v="992387.43520000007"/>
    <s v="Over Budget"/>
    <s v="OK"/>
  </r>
  <r>
    <s v="ITEM-1077"/>
    <x v="4"/>
    <x v="0"/>
    <n v="364.45"/>
    <x v="3"/>
    <n v="2150.13"/>
    <n v="783614.87849999999"/>
    <s v="Over Budget"/>
    <s v="OK"/>
  </r>
  <r>
    <s v="ITEM-1078"/>
    <x v="0"/>
    <x v="1"/>
    <n v="337.9"/>
    <x v="4"/>
    <n v="701.15"/>
    <n v="236918.58499999996"/>
    <s v="Over Budget"/>
    <s v="OK"/>
  </r>
  <r>
    <s v="ITEM-1079"/>
    <x v="7"/>
    <x v="2"/>
    <n v="46.71"/>
    <x v="0"/>
    <n v="2611.77"/>
    <n v="121995.7767"/>
    <s v="Over Budget"/>
    <s v="OK"/>
  </r>
  <r>
    <s v="ITEM-1080"/>
    <x v="6"/>
    <x v="2"/>
    <n v="58"/>
    <x v="4"/>
    <n v="361.07"/>
    <n v="20942.060000000001"/>
    <s v="OK"/>
    <s v="OK"/>
  </r>
  <r>
    <s v="ITEM-1081"/>
    <x v="0"/>
    <x v="3"/>
    <n v="358.37"/>
    <x v="4"/>
    <n v="4443.41"/>
    <n v="1592384.8417"/>
    <s v="Over Budget"/>
    <s v="OK"/>
  </r>
  <r>
    <s v="ITEM-1082"/>
    <x v="3"/>
    <x v="3"/>
    <n v="376.52"/>
    <x v="4"/>
    <n v="4626.1400000000003"/>
    <n v="1741834.2328000001"/>
    <s v="Over Budget"/>
    <s v="OK"/>
  </r>
  <r>
    <s v="ITEM-1083"/>
    <x v="5"/>
    <x v="1"/>
    <n v="14.44"/>
    <x v="2"/>
    <n v="3377.14"/>
    <n v="48765.901599999997"/>
    <s v="OK"/>
    <s v="OK"/>
  </r>
  <r>
    <s v="ITEM-1084"/>
    <x v="5"/>
    <x v="3"/>
    <n v="21.04"/>
    <x v="1"/>
    <n v="1560.45"/>
    <n v="32831.868000000002"/>
    <s v="OK"/>
    <s v="OK"/>
  </r>
  <r>
    <s v="ITEM-1085"/>
    <x v="9"/>
    <x v="1"/>
    <n v="192.81"/>
    <x v="4"/>
    <n v="4454.0200000000004"/>
    <n v="858779.59620000015"/>
    <s v="Over Budget"/>
    <s v="OK"/>
  </r>
  <r>
    <s v="ITEM-1086"/>
    <x v="3"/>
    <x v="1"/>
    <n v="213.88"/>
    <x v="4"/>
    <n v="139.9"/>
    <n v="29921.812000000002"/>
    <s v="OK"/>
    <s v="OK"/>
  </r>
  <r>
    <s v="ITEM-1087"/>
    <x v="7"/>
    <x v="2"/>
    <n v="78.650000000000006"/>
    <x v="0"/>
    <n v="3636.21"/>
    <n v="285987.91650000005"/>
    <s v="Over Budget"/>
    <s v="OK"/>
  </r>
  <r>
    <s v="ITEM-1088"/>
    <x v="2"/>
    <x v="1"/>
    <n v="115.08"/>
    <x v="0"/>
    <n v="3299.38"/>
    <n v="379692.65039999998"/>
    <s v="Over Budget"/>
    <s v="OK"/>
  </r>
  <r>
    <s v="ITEM-1089"/>
    <x v="5"/>
    <x v="0"/>
    <n v="467.77"/>
    <x v="0"/>
    <n v="3237.62"/>
    <n v="1514461.5074"/>
    <s v="Over Budget"/>
    <s v="OK"/>
  </r>
  <r>
    <s v="ITEM-1090"/>
    <x v="3"/>
    <x v="1"/>
    <n v="66.260000000000005"/>
    <x v="3"/>
    <n v="2523.56"/>
    <n v="167211.08560000002"/>
    <s v="Over Budget"/>
    <s v="OK"/>
  </r>
  <r>
    <s v="ITEM-1091"/>
    <x v="3"/>
    <x v="2"/>
    <n v="64.64"/>
    <x v="4"/>
    <n v="4625.32"/>
    <n v="298980.68479999999"/>
    <s v="Over Budget"/>
    <s v="OK"/>
  </r>
  <r>
    <s v="ITEM-1092"/>
    <x v="5"/>
    <x v="2"/>
    <n v="77.22"/>
    <x v="0"/>
    <n v="4072.01"/>
    <n v="314440.61220000003"/>
    <s v="Over Budget"/>
    <s v="OK"/>
  </r>
  <r>
    <s v="ITEM-1093"/>
    <x v="5"/>
    <x v="2"/>
    <n v="142.88999999999999"/>
    <x v="3"/>
    <n v="1971.97"/>
    <n v="281774.79329999996"/>
    <s v="Over Budget"/>
    <s v="OK"/>
  </r>
  <r>
    <s v="ITEM-1094"/>
    <x v="8"/>
    <x v="1"/>
    <n v="24.9"/>
    <x v="2"/>
    <n v="1877.19"/>
    <n v="46742.030999999995"/>
    <s v="OK"/>
    <s v="OK"/>
  </r>
  <r>
    <s v="ITEM-1095"/>
    <x v="7"/>
    <x v="2"/>
    <n v="431.26"/>
    <x v="3"/>
    <n v="2482.96"/>
    <n v="1070801.3296000001"/>
    <s v="Over Budget"/>
    <s v="OK"/>
  </r>
  <r>
    <s v="ITEM-1096"/>
    <x v="9"/>
    <x v="1"/>
    <n v="300.75"/>
    <x v="3"/>
    <n v="860.85"/>
    <n v="258900.63750000001"/>
    <s v="Over Budget"/>
    <s v="OK"/>
  </r>
  <r>
    <s v="ITEM-1097"/>
    <x v="7"/>
    <x v="3"/>
    <n v="337.37"/>
    <x v="1"/>
    <n v="3091.8"/>
    <n v="1043080.5660000001"/>
    <s v="Over Budget"/>
    <s v="OK"/>
  </r>
  <r>
    <s v="ITEM-1098"/>
    <x v="0"/>
    <x v="1"/>
    <n v="134.59"/>
    <x v="3"/>
    <n v="4178.76"/>
    <n v="562419.3084000001"/>
    <s v="Over Budget"/>
    <s v="OK"/>
  </r>
  <r>
    <s v="ITEM-1099"/>
    <x v="6"/>
    <x v="1"/>
    <n v="399.86"/>
    <x v="1"/>
    <n v="4868.45"/>
    <n v="1946698.4169999999"/>
    <s v="Over Budget"/>
    <s v="OK"/>
  </r>
  <r>
    <s v="ITEM-1100"/>
    <x v="0"/>
    <x v="4"/>
    <n v="318.36"/>
    <x v="2"/>
    <n v="2488.23"/>
    <n v="792152.90280000004"/>
    <s v="Over Budget"/>
    <s v="OK"/>
  </r>
  <r>
    <s v="ITEM-1101"/>
    <x v="0"/>
    <x v="3"/>
    <n v="111.38"/>
    <x v="1"/>
    <n v="4162.8599999999997"/>
    <n v="463659.34679999994"/>
    <s v="Over Budget"/>
    <s v="OK"/>
  </r>
  <r>
    <s v="ITEM-1102"/>
    <x v="3"/>
    <x v="4"/>
    <n v="403.15"/>
    <x v="1"/>
    <n v="2265.48"/>
    <n v="913328.26199999999"/>
    <s v="Over Budget"/>
    <s v="OK"/>
  </r>
  <r>
    <s v="ITEM-1103"/>
    <x v="1"/>
    <x v="1"/>
    <n v="143.02000000000001"/>
    <x v="3"/>
    <n v="4100.03"/>
    <n v="586386.29059999995"/>
    <s v="Over Budget"/>
    <s v="OK"/>
  </r>
  <r>
    <s v="ITEM-1104"/>
    <x v="5"/>
    <x v="1"/>
    <n v="413.57"/>
    <x v="3"/>
    <n v="2750.5"/>
    <n v="1137524.2849999999"/>
    <s v="Over Budget"/>
    <s v="OK"/>
  </r>
  <r>
    <s v="ITEM-1105"/>
    <x v="0"/>
    <x v="1"/>
    <n v="98.02"/>
    <x v="3"/>
    <n v="694.86"/>
    <n v="68110.177200000006"/>
    <s v="OK"/>
    <s v="OK"/>
  </r>
  <r>
    <s v="ITEM-1106"/>
    <x v="1"/>
    <x v="1"/>
    <n v="292.02"/>
    <x v="3"/>
    <n v="2286.1799999999998"/>
    <n v="667610.28359999997"/>
    <s v="Over Budget"/>
    <s v="OK"/>
  </r>
  <r>
    <s v="ITEM-1107"/>
    <x v="8"/>
    <x v="1"/>
    <n v="196.28"/>
    <x v="4"/>
    <n v="1132.1400000000001"/>
    <n v="222216.43920000002"/>
    <s v="Over Budget"/>
    <s v="OK"/>
  </r>
  <r>
    <s v="ITEM-1108"/>
    <x v="4"/>
    <x v="0"/>
    <n v="1.1100000000000001"/>
    <x v="2"/>
    <n v="2489.4699999999998"/>
    <n v="2763.3117000000002"/>
    <s v="OK"/>
    <s v="OK"/>
  </r>
  <r>
    <s v="ITEM-1109"/>
    <x v="1"/>
    <x v="1"/>
    <n v="97.82"/>
    <x v="3"/>
    <n v="3718.69"/>
    <n v="363762.25579999998"/>
    <s v="Over Budget"/>
    <s v="OK"/>
  </r>
  <r>
    <s v="ITEM-1110"/>
    <x v="5"/>
    <x v="1"/>
    <n v="223.71"/>
    <x v="3"/>
    <n v="2574.35"/>
    <n v="575907.83849999995"/>
    <s v="Over Budget"/>
    <s v="OK"/>
  </r>
  <r>
    <s v="ITEM-1111"/>
    <x v="0"/>
    <x v="0"/>
    <n v="30.68"/>
    <x v="2"/>
    <n v="1406.08"/>
    <n v="43138.534399999997"/>
    <s v="OK"/>
    <s v="OK"/>
  </r>
  <r>
    <s v="ITEM-1112"/>
    <x v="7"/>
    <x v="1"/>
    <n v="369.66"/>
    <x v="4"/>
    <n v="2322.14"/>
    <n v="858402.27240000002"/>
    <s v="Over Budget"/>
    <s v="OK"/>
  </r>
  <r>
    <s v="ITEM-1113"/>
    <x v="0"/>
    <x v="2"/>
    <n v="289.26"/>
    <x v="2"/>
    <n v="2763.5"/>
    <n v="799370.01"/>
    <s v="Over Budget"/>
    <s v="OK"/>
  </r>
  <r>
    <s v="ITEM-1114"/>
    <x v="8"/>
    <x v="1"/>
    <n v="175.98"/>
    <x v="2"/>
    <n v="123.43"/>
    <n v="21721.2114"/>
    <s v="OK"/>
    <s v="OK"/>
  </r>
  <r>
    <s v="ITEM-1115"/>
    <x v="8"/>
    <x v="0"/>
    <n v="117.65"/>
    <x v="0"/>
    <n v="4953.0200000000004"/>
    <n v="582722.80300000007"/>
    <s v="Over Budget"/>
    <s v="OK"/>
  </r>
  <r>
    <s v="ITEM-1116"/>
    <x v="9"/>
    <x v="1"/>
    <n v="353.18"/>
    <x v="0"/>
    <n v="4558.6099999999997"/>
    <n v="1610009.8798"/>
    <s v="Over Budget"/>
    <s v="OK"/>
  </r>
  <r>
    <s v="ITEM-1117"/>
    <x v="2"/>
    <x v="0"/>
    <n v="107.92"/>
    <x v="0"/>
    <n v="3991.78"/>
    <n v="430792.89760000003"/>
    <s v="Over Budget"/>
    <s v="OK"/>
  </r>
  <r>
    <s v="ITEM-1118"/>
    <x v="8"/>
    <x v="0"/>
    <n v="277.52999999999997"/>
    <x v="1"/>
    <n v="756.74"/>
    <n v="210018.05219999998"/>
    <s v="Over Budget"/>
    <s v="OK"/>
  </r>
  <r>
    <s v="ITEM-1119"/>
    <x v="8"/>
    <x v="3"/>
    <n v="224.08"/>
    <x v="4"/>
    <n v="4461.75"/>
    <n v="999788.94000000006"/>
    <s v="Over Budget"/>
    <s v="OK"/>
  </r>
  <r>
    <s v="ITEM-1120"/>
    <x v="9"/>
    <x v="4"/>
    <n v="201.86"/>
    <x v="1"/>
    <n v="662.01"/>
    <n v="133633.33860000002"/>
    <s v="Over Budget"/>
    <s v="OK"/>
  </r>
  <r>
    <s v="ITEM-1121"/>
    <x v="3"/>
    <x v="0"/>
    <n v="133.02000000000001"/>
    <x v="1"/>
    <n v="3581.06"/>
    <n v="476352.60120000003"/>
    <s v="Over Budget"/>
    <s v="OK"/>
  </r>
  <r>
    <s v="ITEM-1122"/>
    <x v="7"/>
    <x v="0"/>
    <n v="15.06"/>
    <x v="2"/>
    <n v="4941.7"/>
    <n v="74422.001999999993"/>
    <s v="OK"/>
    <s v="OK"/>
  </r>
  <r>
    <s v="ITEM-1123"/>
    <x v="4"/>
    <x v="0"/>
    <n v="264.08"/>
    <x v="4"/>
    <n v="4153.6099999999997"/>
    <n v="1096885.3287999998"/>
    <s v="Over Budget"/>
    <s v="OK"/>
  </r>
  <r>
    <s v="ITEM-1124"/>
    <x v="7"/>
    <x v="2"/>
    <n v="12.17"/>
    <x v="1"/>
    <n v="4472.0600000000004"/>
    <n v="54424.970200000003"/>
    <s v="OK"/>
    <s v="OK"/>
  </r>
  <r>
    <s v="ITEM-1125"/>
    <x v="6"/>
    <x v="4"/>
    <n v="449.57"/>
    <x v="1"/>
    <n v="4625.62"/>
    <n v="2079539.9834"/>
    <s v="Over Budget"/>
    <s v="OK"/>
  </r>
  <r>
    <s v="ITEM-1126"/>
    <x v="9"/>
    <x v="4"/>
    <n v="58.81"/>
    <x v="3"/>
    <n v="3791.48"/>
    <n v="222976.9388"/>
    <s v="Over Budget"/>
    <s v="OK"/>
  </r>
  <r>
    <s v="ITEM-1127"/>
    <x v="6"/>
    <x v="2"/>
    <n v="152.29"/>
    <x v="2"/>
    <n v="101.26"/>
    <n v="15420.885399999999"/>
    <s v="OK"/>
    <s v="OK"/>
  </r>
  <r>
    <s v="ITEM-1128"/>
    <x v="4"/>
    <x v="1"/>
    <n v="201.36"/>
    <x v="4"/>
    <n v="2029.54"/>
    <n v="408668.17440000002"/>
    <s v="Over Budget"/>
    <s v="OK"/>
  </r>
  <r>
    <s v="ITEM-1129"/>
    <x v="9"/>
    <x v="3"/>
    <n v="120.43"/>
    <x v="0"/>
    <n v="2353.0100000000002"/>
    <n v="283372.99430000002"/>
    <s v="Over Budget"/>
    <s v="OK"/>
  </r>
  <r>
    <s v="ITEM-1130"/>
    <x v="8"/>
    <x v="3"/>
    <n v="455.91"/>
    <x v="2"/>
    <n v="2965.62"/>
    <n v="1352055.8142000001"/>
    <s v="Over Budget"/>
    <s v="OK"/>
  </r>
  <r>
    <s v="ITEM-1131"/>
    <x v="0"/>
    <x v="0"/>
    <n v="34.29"/>
    <x v="1"/>
    <n v="1602.3"/>
    <n v="54942.866999999998"/>
    <s v="OK"/>
    <s v="OK"/>
  </r>
  <r>
    <s v="ITEM-1132"/>
    <x v="1"/>
    <x v="3"/>
    <n v="12.84"/>
    <x v="4"/>
    <n v="3432.02"/>
    <n v="44067.1368"/>
    <s v="OK"/>
    <s v="OK"/>
  </r>
  <r>
    <s v="ITEM-1133"/>
    <x v="1"/>
    <x v="1"/>
    <n v="218.07"/>
    <x v="0"/>
    <n v="4166.53"/>
    <n v="908595.19709999987"/>
    <s v="Over Budget"/>
    <s v="OK"/>
  </r>
  <r>
    <s v="ITEM-1134"/>
    <x v="9"/>
    <x v="2"/>
    <n v="300.37"/>
    <x v="2"/>
    <n v="4061.65"/>
    <n v="1219997.8105000001"/>
    <s v="Over Budget"/>
    <s v="OK"/>
  </r>
  <r>
    <s v="ITEM-1135"/>
    <x v="8"/>
    <x v="3"/>
    <n v="334.72"/>
    <x v="4"/>
    <n v="3972.83"/>
    <n v="1329785.6576"/>
    <s v="Over Budget"/>
    <s v="OK"/>
  </r>
  <r>
    <s v="ITEM-1136"/>
    <x v="2"/>
    <x v="0"/>
    <n v="226.57"/>
    <x v="3"/>
    <n v="4070.36"/>
    <n v="922221.46519999998"/>
    <s v="Over Budget"/>
    <s v="OK"/>
  </r>
  <r>
    <s v="ITEM-1137"/>
    <x v="7"/>
    <x v="2"/>
    <n v="318.83999999999997"/>
    <x v="2"/>
    <n v="2396.0700000000002"/>
    <n v="763962.95880000002"/>
    <s v="Over Budget"/>
    <s v="OK"/>
  </r>
  <r>
    <s v="ITEM-1138"/>
    <x v="6"/>
    <x v="1"/>
    <n v="318.73"/>
    <x v="2"/>
    <n v="3887.25"/>
    <n v="1238983.1925000001"/>
    <s v="Over Budget"/>
    <s v="OK"/>
  </r>
  <r>
    <s v="ITEM-1139"/>
    <x v="1"/>
    <x v="2"/>
    <n v="289.74"/>
    <x v="4"/>
    <n v="1221.28"/>
    <n v="353853.66720000003"/>
    <s v="Over Budget"/>
    <s v="OK"/>
  </r>
  <r>
    <s v="ITEM-1140"/>
    <x v="6"/>
    <x v="1"/>
    <n v="371.77"/>
    <x v="1"/>
    <n v="4497.4799999999996"/>
    <n v="1672028.1395999996"/>
    <s v="Over Budget"/>
    <s v="OK"/>
  </r>
  <r>
    <s v="ITEM-1141"/>
    <x v="2"/>
    <x v="4"/>
    <n v="277.07"/>
    <x v="4"/>
    <n v="889.83"/>
    <n v="246545.19810000001"/>
    <s v="Over Budget"/>
    <s v="OK"/>
  </r>
  <r>
    <s v="ITEM-1142"/>
    <x v="7"/>
    <x v="3"/>
    <n v="357.17"/>
    <x v="1"/>
    <n v="911.2"/>
    <n v="325453.304"/>
    <s v="Over Budget"/>
    <s v="OK"/>
  </r>
  <r>
    <s v="ITEM-1143"/>
    <x v="9"/>
    <x v="1"/>
    <n v="12.89"/>
    <x v="4"/>
    <n v="378.26"/>
    <n v="4875.7714000000005"/>
    <s v="OK"/>
    <s v="OK"/>
  </r>
  <r>
    <s v="ITEM-1144"/>
    <x v="1"/>
    <x v="2"/>
    <n v="425.76"/>
    <x v="3"/>
    <n v="4941.54"/>
    <n v="2103910.0704000001"/>
    <s v="Over Budget"/>
    <s v="OK"/>
  </r>
  <r>
    <s v="ITEM-1145"/>
    <x v="2"/>
    <x v="0"/>
    <n v="107.72"/>
    <x v="1"/>
    <n v="406.84"/>
    <n v="43824.804799999998"/>
    <s v="OK"/>
    <s v="OK"/>
  </r>
  <r>
    <s v="ITEM-1146"/>
    <x v="2"/>
    <x v="4"/>
    <n v="215.22"/>
    <x v="1"/>
    <n v="2782.6"/>
    <n v="598871.17200000002"/>
    <s v="Over Budget"/>
    <s v="OK"/>
  </r>
  <r>
    <s v="ITEM-1147"/>
    <x v="9"/>
    <x v="4"/>
    <n v="12.62"/>
    <x v="4"/>
    <n v="2667.09"/>
    <n v="33658.675799999997"/>
    <s v="OK"/>
    <s v="OK"/>
  </r>
  <r>
    <s v="ITEM-1148"/>
    <x v="6"/>
    <x v="4"/>
    <n v="243.92"/>
    <x v="1"/>
    <n v="2520.98"/>
    <n v="614917.44160000002"/>
    <s v="Over Budget"/>
    <s v="OK"/>
  </r>
  <r>
    <s v="ITEM-1149"/>
    <x v="9"/>
    <x v="2"/>
    <n v="157.29"/>
    <x v="3"/>
    <n v="3248.25"/>
    <n v="510917.24249999999"/>
    <s v="Over Budget"/>
    <s v="OK"/>
  </r>
  <r>
    <s v="ITEM-1150"/>
    <x v="4"/>
    <x v="1"/>
    <n v="77.39"/>
    <x v="0"/>
    <n v="4295.97"/>
    <n v="332465.11830000003"/>
    <s v="Over Budget"/>
    <s v="OK"/>
  </r>
  <r>
    <s v="ITEM-1151"/>
    <x v="1"/>
    <x v="3"/>
    <n v="86.01"/>
    <x v="0"/>
    <n v="3361.6"/>
    <n v="289131.21600000001"/>
    <s v="Over Budget"/>
    <s v="OK"/>
  </r>
  <r>
    <s v="ITEM-1152"/>
    <x v="1"/>
    <x v="1"/>
    <n v="273.39999999999998"/>
    <x v="0"/>
    <n v="2160.2800000000002"/>
    <n v="590620.55200000003"/>
    <s v="Over Budget"/>
    <s v="OK"/>
  </r>
  <r>
    <s v="ITEM-1153"/>
    <x v="1"/>
    <x v="4"/>
    <n v="409.23"/>
    <x v="4"/>
    <n v="1566.04"/>
    <n v="640870.54920000001"/>
    <s v="Over Budget"/>
    <s v="OK"/>
  </r>
  <r>
    <s v="ITEM-1154"/>
    <x v="1"/>
    <x v="2"/>
    <n v="359.72"/>
    <x v="2"/>
    <n v="3525.15"/>
    <n v="1268066.9580000001"/>
    <s v="Over Budget"/>
    <s v="OK"/>
  </r>
  <r>
    <s v="ITEM-1155"/>
    <x v="7"/>
    <x v="2"/>
    <n v="375.53"/>
    <x v="3"/>
    <n v="4142.6400000000003"/>
    <n v="1555685.5992000001"/>
    <s v="Over Budget"/>
    <s v="OK"/>
  </r>
  <r>
    <s v="ITEM-1156"/>
    <x v="3"/>
    <x v="0"/>
    <n v="163.29"/>
    <x v="1"/>
    <n v="4973.17"/>
    <n v="812068.92929999996"/>
    <s v="Over Budget"/>
    <s v="OK"/>
  </r>
  <r>
    <s v="ITEM-1157"/>
    <x v="7"/>
    <x v="2"/>
    <n v="357.16"/>
    <x v="0"/>
    <n v="2892.98"/>
    <n v="1033256.7368000001"/>
    <s v="Over Budget"/>
    <s v="OK"/>
  </r>
  <r>
    <s v="ITEM-1158"/>
    <x v="6"/>
    <x v="4"/>
    <n v="313.45"/>
    <x v="1"/>
    <n v="3186.1"/>
    <n v="998683.04499999993"/>
    <s v="Over Budget"/>
    <s v="OK"/>
  </r>
  <r>
    <s v="ITEM-1159"/>
    <x v="8"/>
    <x v="0"/>
    <n v="171.48"/>
    <x v="0"/>
    <n v="610.35"/>
    <n v="104662.818"/>
    <s v="Over Budget"/>
    <s v="OK"/>
  </r>
  <r>
    <s v="ITEM-1160"/>
    <x v="8"/>
    <x v="2"/>
    <n v="214.24"/>
    <x v="3"/>
    <n v="4919.66"/>
    <n v="1053987.9584000001"/>
    <s v="Over Budget"/>
    <s v="OK"/>
  </r>
  <r>
    <s v="ITEM-1161"/>
    <x v="6"/>
    <x v="0"/>
    <n v="253.1"/>
    <x v="2"/>
    <n v="4099.33"/>
    <n v="1037540.423"/>
    <s v="Over Budget"/>
    <s v="OK"/>
  </r>
  <r>
    <s v="ITEM-1162"/>
    <x v="6"/>
    <x v="0"/>
    <n v="245.27"/>
    <x v="3"/>
    <n v="555.14"/>
    <n v="136159.18780000001"/>
    <s v="Over Budget"/>
    <s v="OK"/>
  </r>
  <r>
    <s v="ITEM-1163"/>
    <x v="1"/>
    <x v="3"/>
    <n v="362.48"/>
    <x v="3"/>
    <n v="2882.95"/>
    <n v="1045011.716"/>
    <s v="Over Budget"/>
    <s v="OK"/>
  </r>
  <r>
    <s v="ITEM-1164"/>
    <x v="1"/>
    <x v="0"/>
    <n v="360.61"/>
    <x v="3"/>
    <n v="491.14"/>
    <n v="177109.99540000001"/>
    <s v="Over Budget"/>
    <s v="OK"/>
  </r>
  <r>
    <s v="ITEM-1165"/>
    <x v="7"/>
    <x v="1"/>
    <n v="377.88"/>
    <x v="3"/>
    <n v="54.18"/>
    <n v="20473.538400000001"/>
    <s v="OK"/>
    <s v="OK"/>
  </r>
  <r>
    <s v="ITEM-1166"/>
    <x v="4"/>
    <x v="4"/>
    <n v="482.94"/>
    <x v="2"/>
    <n v="1649.41"/>
    <n v="796566.06540000008"/>
    <s v="Over Budget"/>
    <s v="OK"/>
  </r>
  <r>
    <s v="ITEM-1167"/>
    <x v="0"/>
    <x v="2"/>
    <n v="378.48"/>
    <x v="4"/>
    <n v="3253.22"/>
    <n v="1231278.7056"/>
    <s v="Over Budget"/>
    <s v="OK"/>
  </r>
  <r>
    <s v="ITEM-1168"/>
    <x v="7"/>
    <x v="3"/>
    <n v="374.33"/>
    <x v="0"/>
    <n v="4521.97"/>
    <n v="1692709.0301000001"/>
    <s v="Over Budget"/>
    <s v="OK"/>
  </r>
  <r>
    <s v="ITEM-1169"/>
    <x v="5"/>
    <x v="1"/>
    <n v="470.34"/>
    <x v="1"/>
    <n v="2187.9499999999998"/>
    <n v="1029080.4029999998"/>
    <s v="Over Budget"/>
    <s v="OK"/>
  </r>
  <r>
    <s v="ITEM-1170"/>
    <x v="7"/>
    <x v="1"/>
    <n v="442.14"/>
    <x v="1"/>
    <n v="2244.15"/>
    <n v="992228.48100000003"/>
    <s v="Over Budget"/>
    <s v="OK"/>
  </r>
  <r>
    <s v="ITEM-1171"/>
    <x v="0"/>
    <x v="1"/>
    <n v="401.81"/>
    <x v="4"/>
    <n v="3422.5"/>
    <n v="1375194.7250000001"/>
    <s v="Over Budget"/>
    <s v="OK"/>
  </r>
  <r>
    <s v="ITEM-1172"/>
    <x v="7"/>
    <x v="2"/>
    <n v="1.75"/>
    <x v="1"/>
    <n v="4922.0600000000004"/>
    <n v="8613.6050000000014"/>
    <s v="OK"/>
    <s v="OK"/>
  </r>
  <r>
    <s v="ITEM-1173"/>
    <x v="8"/>
    <x v="3"/>
    <n v="173.24"/>
    <x v="4"/>
    <n v="2148.39"/>
    <n v="372187.08360000001"/>
    <s v="Over Budget"/>
    <s v="OK"/>
  </r>
  <r>
    <s v="ITEM-1174"/>
    <x v="2"/>
    <x v="0"/>
    <n v="114.54"/>
    <x v="4"/>
    <n v="259.3"/>
    <n v="29700.222000000002"/>
    <s v="OK"/>
    <s v="OK"/>
  </r>
  <r>
    <s v="ITEM-1175"/>
    <x v="8"/>
    <x v="3"/>
    <n v="154.46"/>
    <x v="4"/>
    <n v="197.66"/>
    <n v="30530.563600000001"/>
    <s v="OK"/>
    <s v="OK"/>
  </r>
  <r>
    <s v="ITEM-1176"/>
    <x v="7"/>
    <x v="0"/>
    <n v="25.58"/>
    <x v="2"/>
    <n v="3905.77"/>
    <n v="99909.59659999999"/>
    <s v="OK"/>
    <s v="OK"/>
  </r>
  <r>
    <s v="ITEM-1177"/>
    <x v="9"/>
    <x v="1"/>
    <n v="252.38"/>
    <x v="2"/>
    <n v="234.27"/>
    <n v="59125.062600000005"/>
    <s v="OK"/>
    <s v="OK"/>
  </r>
  <r>
    <s v="ITEM-1178"/>
    <x v="9"/>
    <x v="1"/>
    <n v="131.61000000000001"/>
    <x v="1"/>
    <n v="2627.06"/>
    <n v="345747.36660000001"/>
    <s v="Over Budget"/>
    <s v="OK"/>
  </r>
  <r>
    <s v="ITEM-1179"/>
    <x v="3"/>
    <x v="4"/>
    <n v="326.45999999999998"/>
    <x v="0"/>
    <n v="3117.17"/>
    <n v="1017631.3182"/>
    <s v="Over Budget"/>
    <s v="OK"/>
  </r>
  <r>
    <s v="ITEM-1180"/>
    <x v="1"/>
    <x v="3"/>
    <n v="371.94"/>
    <x v="1"/>
    <n v="559.71"/>
    <n v="208178.5374"/>
    <s v="Over Budget"/>
    <s v="OK"/>
  </r>
  <r>
    <s v="ITEM-1181"/>
    <x v="9"/>
    <x v="4"/>
    <n v="112.79"/>
    <x v="2"/>
    <n v="1643.95"/>
    <n v="185421.12050000002"/>
    <s v="Over Budget"/>
    <s v="OK"/>
  </r>
  <r>
    <s v="ITEM-1182"/>
    <x v="4"/>
    <x v="3"/>
    <n v="174.56"/>
    <x v="1"/>
    <n v="3098.34"/>
    <n v="540846.2304"/>
    <s v="Over Budget"/>
    <s v="OK"/>
  </r>
  <r>
    <s v="ITEM-1183"/>
    <x v="1"/>
    <x v="0"/>
    <n v="159.91"/>
    <x v="4"/>
    <n v="157.87"/>
    <n v="25244.991699999999"/>
    <s v="OK"/>
    <s v="OK"/>
  </r>
  <r>
    <s v="ITEM-1184"/>
    <x v="5"/>
    <x v="0"/>
    <n v="162.37"/>
    <x v="4"/>
    <n v="4840.6000000000004"/>
    <n v="785968.22200000007"/>
    <s v="Over Budget"/>
    <s v="OK"/>
  </r>
  <r>
    <s v="ITEM-1185"/>
    <x v="3"/>
    <x v="3"/>
    <n v="168.08"/>
    <x v="4"/>
    <n v="2614.4699999999998"/>
    <n v="439440.1176"/>
    <s v="Over Budget"/>
    <s v="OK"/>
  </r>
  <r>
    <s v="ITEM-1186"/>
    <x v="9"/>
    <x v="0"/>
    <n v="77.17"/>
    <x v="4"/>
    <n v="4395.67"/>
    <n v="339213.85389999999"/>
    <s v="Over Budget"/>
    <s v="OK"/>
  </r>
  <r>
    <s v="ITEM-1187"/>
    <x v="1"/>
    <x v="2"/>
    <n v="92.57"/>
    <x v="2"/>
    <n v="2366.8000000000002"/>
    <n v="219094.67600000001"/>
    <s v="Over Budget"/>
    <s v="OK"/>
  </r>
  <r>
    <s v="ITEM-1188"/>
    <x v="0"/>
    <x v="4"/>
    <n v="208.57"/>
    <x v="0"/>
    <n v="3031.41"/>
    <n v="632261.18369999994"/>
    <s v="Over Budget"/>
    <s v="OK"/>
  </r>
  <r>
    <s v="ITEM-1189"/>
    <x v="1"/>
    <x v="1"/>
    <n v="450.49"/>
    <x v="0"/>
    <n v="2665.6"/>
    <n v="1200826.1440000001"/>
    <s v="Over Budget"/>
    <s v="OK"/>
  </r>
  <r>
    <s v="ITEM-1190"/>
    <x v="7"/>
    <x v="4"/>
    <n v="289.45999999999998"/>
    <x v="2"/>
    <n v="963.82"/>
    <n v="278987.33720000001"/>
    <s v="Over Budget"/>
    <s v="OK"/>
  </r>
  <r>
    <s v="ITEM-1191"/>
    <x v="8"/>
    <x v="0"/>
    <n v="243.03"/>
    <x v="1"/>
    <n v="798.48"/>
    <n v="194054.5944"/>
    <s v="Over Budget"/>
    <s v="OK"/>
  </r>
  <r>
    <s v="ITEM-1192"/>
    <x v="4"/>
    <x v="1"/>
    <n v="48.99"/>
    <x v="0"/>
    <n v="676.21"/>
    <n v="33127.527900000001"/>
    <s v="OK"/>
    <s v="OK"/>
  </r>
  <r>
    <s v="ITEM-1193"/>
    <x v="0"/>
    <x v="1"/>
    <n v="257.14999999999998"/>
    <x v="4"/>
    <n v="696.62"/>
    <n v="179135.83299999998"/>
    <s v="Over Budget"/>
    <s v="OK"/>
  </r>
  <r>
    <s v="ITEM-1194"/>
    <x v="8"/>
    <x v="4"/>
    <n v="420.73"/>
    <x v="2"/>
    <n v="2210.66"/>
    <n v="930090.98179999995"/>
    <s v="Over Budget"/>
    <s v="OK"/>
  </r>
  <r>
    <s v="ITEM-1195"/>
    <x v="8"/>
    <x v="4"/>
    <n v="174.12"/>
    <x v="1"/>
    <n v="3664.65"/>
    <n v="638088.85800000001"/>
    <s v="Over Budget"/>
    <s v="OK"/>
  </r>
  <r>
    <s v="ITEM-1196"/>
    <x v="9"/>
    <x v="4"/>
    <n v="384.22"/>
    <x v="0"/>
    <n v="2013.86"/>
    <n v="773765.2892"/>
    <s v="Over Budget"/>
    <s v="OK"/>
  </r>
  <r>
    <s v="ITEM-1197"/>
    <x v="9"/>
    <x v="1"/>
    <n v="356.26"/>
    <x v="4"/>
    <n v="1011.65"/>
    <n v="360410.429"/>
    <s v="Over Budget"/>
    <s v="OK"/>
  </r>
  <r>
    <s v="ITEM-1198"/>
    <x v="2"/>
    <x v="4"/>
    <n v="151.58000000000001"/>
    <x v="0"/>
    <n v="3945.18"/>
    <n v="598010.38439999998"/>
    <s v="Over Budget"/>
    <s v="OK"/>
  </r>
  <r>
    <s v="ITEM-1199"/>
    <x v="8"/>
    <x v="3"/>
    <n v="240.57"/>
    <x v="1"/>
    <n v="286.54000000000002"/>
    <n v="68932.927800000005"/>
    <s v="OK"/>
    <s v="OK"/>
  </r>
  <r>
    <s v="ITEM-1200"/>
    <x v="0"/>
    <x v="2"/>
    <n v="34.92"/>
    <x v="1"/>
    <n v="2456.91"/>
    <n v="85795.297200000001"/>
    <s v="OK"/>
    <s v="OK"/>
  </r>
  <r>
    <s v="ITEM-1201"/>
    <x v="8"/>
    <x v="4"/>
    <n v="480.95"/>
    <x v="4"/>
    <n v="3910.06"/>
    <n v="1880543.3569999998"/>
    <s v="Over Budget"/>
    <s v="OK"/>
  </r>
  <r>
    <s v="ITEM-1202"/>
    <x v="3"/>
    <x v="3"/>
    <n v="171.05"/>
    <x v="4"/>
    <n v="1878.87"/>
    <n v="321380.71350000001"/>
    <s v="Over Budget"/>
    <s v="OK"/>
  </r>
  <r>
    <s v="ITEM-1203"/>
    <x v="9"/>
    <x v="0"/>
    <n v="184.61"/>
    <x v="0"/>
    <n v="3916.47"/>
    <n v="723019.52670000005"/>
    <s v="Over Budget"/>
    <s v="OK"/>
  </r>
  <r>
    <s v="ITEM-1204"/>
    <x v="8"/>
    <x v="4"/>
    <n v="168.98"/>
    <x v="0"/>
    <n v="4505.8900000000003"/>
    <n v="761405.29220000003"/>
    <s v="Over Budget"/>
    <s v="OK"/>
  </r>
  <r>
    <s v="ITEM-1205"/>
    <x v="6"/>
    <x v="1"/>
    <n v="377.15"/>
    <x v="1"/>
    <n v="3947.8"/>
    <n v="1488912.77"/>
    <s v="Over Budget"/>
    <s v="OK"/>
  </r>
  <r>
    <s v="ITEM-1206"/>
    <x v="3"/>
    <x v="0"/>
    <n v="28.68"/>
    <x v="3"/>
    <n v="4815.45"/>
    <n v="138107.106"/>
    <s v="Over Budget"/>
    <s v="OK"/>
  </r>
  <r>
    <s v="ITEM-1207"/>
    <x v="4"/>
    <x v="2"/>
    <n v="452.17"/>
    <x v="4"/>
    <n v="2402.4699999999998"/>
    <n v="1086324.8599"/>
    <s v="Over Budget"/>
    <s v="OK"/>
  </r>
  <r>
    <s v="ITEM-1208"/>
    <x v="6"/>
    <x v="3"/>
    <n v="188.9"/>
    <x v="3"/>
    <n v="3189.81"/>
    <n v="602555.10900000005"/>
    <s v="Over Budget"/>
    <s v="OK"/>
  </r>
  <r>
    <s v="ITEM-1209"/>
    <x v="6"/>
    <x v="4"/>
    <n v="407.13"/>
    <x v="2"/>
    <n v="1706.93"/>
    <n v="694942.41090000002"/>
    <s v="Over Budget"/>
    <s v="OK"/>
  </r>
  <r>
    <s v="ITEM-1210"/>
    <x v="1"/>
    <x v="2"/>
    <n v="32.43"/>
    <x v="0"/>
    <n v="1438.17"/>
    <n v="46639.8531"/>
    <s v="OK"/>
    <s v="OK"/>
  </r>
  <r>
    <s v="ITEM-1211"/>
    <x v="9"/>
    <x v="4"/>
    <n v="30.45"/>
    <x v="1"/>
    <n v="532.16999999999996"/>
    <n v="16204.576499999999"/>
    <s v="OK"/>
    <s v="OK"/>
  </r>
  <r>
    <s v="ITEM-1212"/>
    <x v="3"/>
    <x v="1"/>
    <n v="93.6"/>
    <x v="0"/>
    <n v="2862.84"/>
    <n v="267961.82400000002"/>
    <s v="Over Budget"/>
    <s v="OK"/>
  </r>
  <r>
    <s v="ITEM-1213"/>
    <x v="4"/>
    <x v="3"/>
    <n v="444.83"/>
    <x v="0"/>
    <n v="4058.62"/>
    <n v="1805395.9345999998"/>
    <s v="Over Budget"/>
    <s v="OK"/>
  </r>
  <r>
    <s v="ITEM-1214"/>
    <x v="4"/>
    <x v="3"/>
    <n v="337.56"/>
    <x v="1"/>
    <n v="3844.29"/>
    <n v="1297678.5323999999"/>
    <s v="Over Budget"/>
    <s v="OK"/>
  </r>
  <r>
    <s v="ITEM-1215"/>
    <x v="3"/>
    <x v="4"/>
    <n v="165.87"/>
    <x v="4"/>
    <n v="2925.27"/>
    <n v="485214.53490000003"/>
    <s v="Over Budget"/>
    <s v="OK"/>
  </r>
  <r>
    <s v="ITEM-1216"/>
    <x v="7"/>
    <x v="2"/>
    <n v="268.98"/>
    <x v="3"/>
    <n v="1747.72"/>
    <n v="470101.72560000006"/>
    <s v="Over Budget"/>
    <s v="OK"/>
  </r>
  <r>
    <s v="ITEM-1217"/>
    <x v="2"/>
    <x v="0"/>
    <n v="198.92"/>
    <x v="2"/>
    <n v="957.07"/>
    <n v="190380.36439999999"/>
    <s v="Over Budget"/>
    <s v="OK"/>
  </r>
  <r>
    <s v="ITEM-1218"/>
    <x v="6"/>
    <x v="1"/>
    <n v="132.61000000000001"/>
    <x v="3"/>
    <n v="965.49"/>
    <n v="128033.62890000001"/>
    <s v="Over Budget"/>
    <s v="OK"/>
  </r>
  <r>
    <s v="ITEM-1219"/>
    <x v="5"/>
    <x v="2"/>
    <n v="155.28"/>
    <x v="2"/>
    <n v="4119.75"/>
    <n v="639714.78"/>
    <s v="Over Budget"/>
    <s v="OK"/>
  </r>
  <r>
    <s v="ITEM-1220"/>
    <x v="8"/>
    <x v="4"/>
    <n v="278.98"/>
    <x v="0"/>
    <n v="1395.13"/>
    <n v="389213.36740000005"/>
    <s v="Over Budget"/>
    <s v="OK"/>
  </r>
  <r>
    <s v="ITEM-1221"/>
    <x v="4"/>
    <x v="1"/>
    <n v="496.71"/>
    <x v="3"/>
    <n v="3609.95"/>
    <n v="1793098.2644999998"/>
    <s v="Over Budget"/>
    <s v="OK"/>
  </r>
  <r>
    <s v="ITEM-1222"/>
    <x v="4"/>
    <x v="0"/>
    <n v="52.07"/>
    <x v="1"/>
    <n v="2517.04"/>
    <n v="131062.27280000001"/>
    <s v="Over Budget"/>
    <s v="OK"/>
  </r>
  <r>
    <s v="ITEM-1223"/>
    <x v="9"/>
    <x v="4"/>
    <n v="43.94"/>
    <x v="1"/>
    <n v="1180.92"/>
    <n v="51889.624799999998"/>
    <s v="OK"/>
    <s v="OK"/>
  </r>
  <r>
    <s v="ITEM-1224"/>
    <x v="5"/>
    <x v="4"/>
    <n v="388.81"/>
    <x v="2"/>
    <n v="187.05"/>
    <n v="72726.910499999998"/>
    <s v="OK"/>
    <s v="OK"/>
  </r>
  <r>
    <s v="ITEM-1225"/>
    <x v="0"/>
    <x v="1"/>
    <n v="19.05"/>
    <x v="1"/>
    <n v="852.96"/>
    <n v="16248.888000000001"/>
    <s v="OK"/>
    <s v="OK"/>
  </r>
  <r>
    <s v="ITEM-1226"/>
    <x v="2"/>
    <x v="4"/>
    <n v="360.32"/>
    <x v="3"/>
    <n v="3458.65"/>
    <n v="1246220.7679999999"/>
    <s v="Over Budget"/>
    <s v="OK"/>
  </r>
  <r>
    <s v="ITEM-1227"/>
    <x v="0"/>
    <x v="4"/>
    <n v="326.25"/>
    <x v="3"/>
    <n v="1116.0899999999999"/>
    <n v="364124.36249999999"/>
    <s v="Over Budget"/>
    <s v="OK"/>
  </r>
  <r>
    <s v="ITEM-1228"/>
    <x v="0"/>
    <x v="3"/>
    <n v="449.68"/>
    <x v="0"/>
    <n v="1769.84"/>
    <n v="795861.65119999996"/>
    <s v="Over Budget"/>
    <s v="OK"/>
  </r>
  <r>
    <s v="ITEM-1229"/>
    <x v="4"/>
    <x v="4"/>
    <n v="215.72"/>
    <x v="0"/>
    <n v="4798.68"/>
    <n v="1035171.2496000001"/>
    <s v="Over Budget"/>
    <s v="OK"/>
  </r>
  <r>
    <s v="ITEM-1230"/>
    <x v="7"/>
    <x v="1"/>
    <n v="251.96"/>
    <x v="2"/>
    <n v="3886.93"/>
    <n v="979350.88280000002"/>
    <s v="Over Budget"/>
    <s v="OK"/>
  </r>
  <r>
    <s v="ITEM-1231"/>
    <x v="5"/>
    <x v="4"/>
    <n v="487.13"/>
    <x v="3"/>
    <n v="1099.68"/>
    <n v="535687.11840000004"/>
    <s v="Over Budget"/>
    <s v="OK"/>
  </r>
  <r>
    <s v="ITEM-1232"/>
    <x v="4"/>
    <x v="0"/>
    <n v="404.15"/>
    <x v="0"/>
    <n v="1505.31"/>
    <n v="608371.03649999993"/>
    <s v="Over Budget"/>
    <s v="OK"/>
  </r>
  <r>
    <s v="ITEM-1233"/>
    <x v="0"/>
    <x v="4"/>
    <n v="91.29"/>
    <x v="2"/>
    <n v="337"/>
    <n v="30764.730000000003"/>
    <s v="OK"/>
    <s v="OK"/>
  </r>
  <r>
    <s v="ITEM-1234"/>
    <x v="3"/>
    <x v="1"/>
    <n v="377.31"/>
    <x v="4"/>
    <n v="795.64"/>
    <n v="300202.92839999998"/>
    <s v="Over Budget"/>
    <s v="OK"/>
  </r>
  <r>
    <s v="ITEM-1235"/>
    <x v="2"/>
    <x v="1"/>
    <n v="461.84"/>
    <x v="1"/>
    <n v="1772.41"/>
    <n v="818569.83440000005"/>
    <s v="Over Budget"/>
    <s v="OK"/>
  </r>
  <r>
    <s v="ITEM-1236"/>
    <x v="0"/>
    <x v="3"/>
    <n v="101.88"/>
    <x v="0"/>
    <n v="4451.78"/>
    <n v="453547.34639999998"/>
    <s v="Over Budget"/>
    <s v="OK"/>
  </r>
  <r>
    <s v="ITEM-1237"/>
    <x v="0"/>
    <x v="4"/>
    <n v="261.76"/>
    <x v="1"/>
    <n v="3743.91"/>
    <n v="980005.88159999996"/>
    <s v="Over Budget"/>
    <s v="OK"/>
  </r>
  <r>
    <s v="ITEM-1238"/>
    <x v="7"/>
    <x v="3"/>
    <n v="450.65"/>
    <x v="2"/>
    <n v="202.73"/>
    <n v="91360.274499999985"/>
    <s v="OK"/>
    <s v="OK"/>
  </r>
  <r>
    <s v="ITEM-1239"/>
    <x v="5"/>
    <x v="4"/>
    <n v="176.99"/>
    <x v="1"/>
    <n v="1779.72"/>
    <n v="314992.64280000003"/>
    <s v="Over Budget"/>
    <s v="OK"/>
  </r>
  <r>
    <s v="ITEM-1240"/>
    <x v="8"/>
    <x v="3"/>
    <n v="383.58"/>
    <x v="1"/>
    <n v="3279.56"/>
    <n v="1257973.6247999999"/>
    <s v="Over Budget"/>
    <s v="OK"/>
  </r>
  <r>
    <s v="ITEM-1241"/>
    <x v="3"/>
    <x v="0"/>
    <n v="28.98"/>
    <x v="2"/>
    <n v="4366.8500000000004"/>
    <n v="126551.31300000001"/>
    <s v="Over Budget"/>
    <s v="OK"/>
  </r>
  <r>
    <s v="ITEM-1242"/>
    <x v="0"/>
    <x v="4"/>
    <n v="87.79"/>
    <x v="3"/>
    <n v="3885.27"/>
    <n v="341087.85330000002"/>
    <s v="Over Budget"/>
    <s v="OK"/>
  </r>
  <r>
    <s v="ITEM-1243"/>
    <x v="9"/>
    <x v="4"/>
    <n v="121.37"/>
    <x v="2"/>
    <n v="3587.51"/>
    <n v="435416.08870000002"/>
    <s v="Over Budget"/>
    <s v="OK"/>
  </r>
  <r>
    <s v="ITEM-1244"/>
    <x v="0"/>
    <x v="0"/>
    <n v="425.5"/>
    <x v="3"/>
    <n v="3611.43"/>
    <n v="1536663.4649999999"/>
    <s v="Over Budget"/>
    <s v="OK"/>
  </r>
  <r>
    <s v="ITEM-1245"/>
    <x v="3"/>
    <x v="0"/>
    <n v="113.87"/>
    <x v="0"/>
    <n v="4113.82"/>
    <n v="468440.68339999998"/>
    <s v="Over Budget"/>
    <s v="OK"/>
  </r>
  <r>
    <s v="ITEM-1246"/>
    <x v="9"/>
    <x v="2"/>
    <n v="59.78"/>
    <x v="0"/>
    <n v="1795.89"/>
    <n v="107358.30420000001"/>
    <s v="Over Budget"/>
    <s v="OK"/>
  </r>
  <r>
    <s v="ITEM-1247"/>
    <x v="9"/>
    <x v="3"/>
    <n v="387.57"/>
    <x v="3"/>
    <n v="2564.35"/>
    <n v="993865.12949999992"/>
    <s v="Over Budget"/>
    <s v="OK"/>
  </r>
  <r>
    <s v="ITEM-1248"/>
    <x v="8"/>
    <x v="1"/>
    <n v="192.46"/>
    <x v="4"/>
    <n v="4506.59"/>
    <n v="867338.31140000001"/>
    <s v="Over Budget"/>
    <s v="OK"/>
  </r>
  <r>
    <s v="ITEM-1249"/>
    <x v="4"/>
    <x v="3"/>
    <n v="47.82"/>
    <x v="1"/>
    <n v="4304.21"/>
    <n v="205827.3222"/>
    <s v="Over Budget"/>
    <s v="OK"/>
  </r>
  <r>
    <s v="ITEM-1250"/>
    <x v="7"/>
    <x v="1"/>
    <n v="353.29"/>
    <x v="4"/>
    <n v="4026.61"/>
    <n v="1422561.0469000002"/>
    <s v="Over Budget"/>
    <s v="OK"/>
  </r>
  <r>
    <s v="ITEM-1251"/>
    <x v="3"/>
    <x v="4"/>
    <n v="243.77"/>
    <x v="4"/>
    <n v="1009.49"/>
    <n v="246083.37730000002"/>
    <s v="Over Budget"/>
    <s v="OK"/>
  </r>
  <r>
    <s v="ITEM-1252"/>
    <x v="0"/>
    <x v="3"/>
    <n v="293.08"/>
    <x v="0"/>
    <n v="1531.67"/>
    <n v="448901.84360000002"/>
    <s v="Over Budget"/>
    <s v="OK"/>
  </r>
  <r>
    <s v="ITEM-1253"/>
    <x v="3"/>
    <x v="3"/>
    <n v="386.27"/>
    <x v="1"/>
    <n v="1280.5899999999999"/>
    <n v="494653.49929999997"/>
    <s v="Over Budget"/>
    <s v="OK"/>
  </r>
  <r>
    <s v="ITEM-1254"/>
    <x v="4"/>
    <x v="0"/>
    <n v="122.02"/>
    <x v="2"/>
    <n v="2505.6"/>
    <n v="305733.31199999998"/>
    <s v="Over Budget"/>
    <s v="OK"/>
  </r>
  <r>
    <s v="ITEM-1255"/>
    <x v="9"/>
    <x v="3"/>
    <n v="439.48"/>
    <x v="0"/>
    <n v="2509.7399999999998"/>
    <n v="1102980.5352"/>
    <s v="Over Budget"/>
    <s v="OK"/>
  </r>
  <r>
    <s v="ITEM-1256"/>
    <x v="6"/>
    <x v="0"/>
    <n v="215.05"/>
    <x v="3"/>
    <n v="3474.35"/>
    <n v="747158.96750000003"/>
    <s v="Over Budget"/>
    <s v="OK"/>
  </r>
  <r>
    <s v="ITEM-1257"/>
    <x v="5"/>
    <x v="1"/>
    <n v="130.37"/>
    <x v="4"/>
    <n v="114.96"/>
    <n v="14987.3352"/>
    <s v="OK"/>
    <s v="OK"/>
  </r>
  <r>
    <s v="ITEM-1258"/>
    <x v="0"/>
    <x v="2"/>
    <n v="75.569999999999993"/>
    <x v="2"/>
    <n v="1986.8"/>
    <n v="150142.476"/>
    <s v="Over Budget"/>
    <s v="OK"/>
  </r>
  <r>
    <s v="ITEM-1259"/>
    <x v="4"/>
    <x v="3"/>
    <n v="160.25"/>
    <x v="1"/>
    <n v="4166.28"/>
    <n v="667646.37"/>
    <s v="Over Budget"/>
    <s v="OK"/>
  </r>
  <r>
    <s v="ITEM-1260"/>
    <x v="8"/>
    <x v="4"/>
    <n v="161.96"/>
    <x v="1"/>
    <n v="4550.07"/>
    <n v="736929.33719999995"/>
    <s v="Over Budget"/>
    <s v="OK"/>
  </r>
  <r>
    <s v="ITEM-1261"/>
    <x v="2"/>
    <x v="1"/>
    <n v="61.31"/>
    <x v="1"/>
    <n v="4155.01"/>
    <n v="254743.66310000003"/>
    <s v="Over Budget"/>
    <s v="OK"/>
  </r>
  <r>
    <s v="ITEM-1262"/>
    <x v="3"/>
    <x v="3"/>
    <n v="327.61"/>
    <x v="0"/>
    <n v="914.4"/>
    <n v="299566.58400000003"/>
    <s v="Over Budget"/>
    <s v="OK"/>
  </r>
  <r>
    <s v="ITEM-1263"/>
    <x v="8"/>
    <x v="0"/>
    <n v="152.62"/>
    <x v="3"/>
    <n v="4569.9799999999996"/>
    <n v="697470.34759999998"/>
    <s v="Over Budget"/>
    <s v="OK"/>
  </r>
  <r>
    <s v="ITEM-1264"/>
    <x v="5"/>
    <x v="1"/>
    <n v="331.84"/>
    <x v="4"/>
    <n v="2012.99"/>
    <n v="667990.60159999994"/>
    <s v="Over Budget"/>
    <s v="OK"/>
  </r>
  <r>
    <s v="ITEM-1265"/>
    <x v="4"/>
    <x v="1"/>
    <n v="86.71"/>
    <x v="3"/>
    <n v="4916.55"/>
    <n v="426314.05050000001"/>
    <s v="Over Budget"/>
    <s v="OK"/>
  </r>
  <r>
    <s v="ITEM-1266"/>
    <x v="1"/>
    <x v="4"/>
    <n v="132.06"/>
    <x v="1"/>
    <n v="4887.49"/>
    <n v="645441.92940000002"/>
    <s v="Over Budget"/>
    <s v="OK"/>
  </r>
  <r>
    <s v="ITEM-1267"/>
    <x v="9"/>
    <x v="4"/>
    <n v="41.7"/>
    <x v="3"/>
    <n v="4144.2700000000004"/>
    <n v="172816.05900000004"/>
    <s v="Over Budget"/>
    <s v="OK"/>
  </r>
  <r>
    <s v="ITEM-1268"/>
    <x v="3"/>
    <x v="0"/>
    <n v="86.59"/>
    <x v="4"/>
    <n v="2013.43"/>
    <n v="174342.90370000002"/>
    <s v="Over Budget"/>
    <s v="OK"/>
  </r>
  <r>
    <s v="ITEM-1269"/>
    <x v="9"/>
    <x v="3"/>
    <n v="74.34"/>
    <x v="4"/>
    <n v="1365.19"/>
    <n v="101488.22460000002"/>
    <s v="Over Budget"/>
    <s v="OK"/>
  </r>
  <r>
    <s v="ITEM-1270"/>
    <x v="6"/>
    <x v="2"/>
    <n v="18.09"/>
    <x v="0"/>
    <n v="800.87"/>
    <n v="14487.738299999999"/>
    <s v="OK"/>
    <s v="OK"/>
  </r>
  <r>
    <s v="ITEM-1271"/>
    <x v="1"/>
    <x v="1"/>
    <n v="368.58"/>
    <x v="0"/>
    <n v="3724.11"/>
    <n v="1372632.4638"/>
    <s v="Over Budget"/>
    <s v="OK"/>
  </r>
  <r>
    <s v="ITEM-1272"/>
    <x v="3"/>
    <x v="1"/>
    <n v="36.090000000000003"/>
    <x v="2"/>
    <n v="1784.17"/>
    <n v="64390.695300000007"/>
    <s v="OK"/>
    <s v="OK"/>
  </r>
  <r>
    <s v="ITEM-1273"/>
    <x v="1"/>
    <x v="1"/>
    <n v="316.60000000000002"/>
    <x v="2"/>
    <n v="970.4"/>
    <n v="307228.64"/>
    <s v="Over Budget"/>
    <s v="OK"/>
  </r>
  <r>
    <s v="ITEM-1274"/>
    <x v="2"/>
    <x v="3"/>
    <n v="234.86"/>
    <x v="2"/>
    <n v="2977.02"/>
    <n v="699182.91720000003"/>
    <s v="Over Budget"/>
    <s v="OK"/>
  </r>
  <r>
    <s v="ITEM-1275"/>
    <x v="0"/>
    <x v="2"/>
    <n v="30.5"/>
    <x v="0"/>
    <n v="4781.5"/>
    <n v="145835.75"/>
    <s v="Over Budget"/>
    <s v="OK"/>
  </r>
  <r>
    <s v="ITEM-1276"/>
    <x v="7"/>
    <x v="2"/>
    <n v="167.62"/>
    <x v="3"/>
    <n v="4507.37"/>
    <n v="755525.35939999996"/>
    <s v="Over Budget"/>
    <s v="OK"/>
  </r>
  <r>
    <s v="ITEM-1277"/>
    <x v="6"/>
    <x v="2"/>
    <n v="198.96"/>
    <x v="3"/>
    <n v="2166.85"/>
    <n v="431116.47600000002"/>
    <s v="Over Budget"/>
    <s v="OK"/>
  </r>
  <r>
    <s v="ITEM-1278"/>
    <x v="8"/>
    <x v="3"/>
    <n v="129.16"/>
    <x v="0"/>
    <n v="2863.97"/>
    <n v="369910.36519999994"/>
    <s v="Over Budget"/>
    <s v="OK"/>
  </r>
  <r>
    <s v="ITEM-1279"/>
    <x v="6"/>
    <x v="4"/>
    <n v="327.71"/>
    <x v="3"/>
    <n v="2667.62"/>
    <n v="874205.75019999989"/>
    <s v="Over Budget"/>
    <s v="OK"/>
  </r>
  <r>
    <s v="ITEM-1280"/>
    <x v="1"/>
    <x v="0"/>
    <n v="149.02000000000001"/>
    <x v="3"/>
    <n v="1475.38"/>
    <n v="219861.12760000004"/>
    <s v="Over Budget"/>
    <s v="OK"/>
  </r>
  <r>
    <s v="ITEM-1281"/>
    <x v="7"/>
    <x v="0"/>
    <n v="138.9"/>
    <x v="1"/>
    <n v="220.85"/>
    <n v="30676.064999999999"/>
    <s v="OK"/>
    <s v="OK"/>
  </r>
  <r>
    <s v="ITEM-1282"/>
    <x v="5"/>
    <x v="1"/>
    <n v="194.8"/>
    <x v="2"/>
    <n v="3293.48"/>
    <n v="641569.9040000001"/>
    <s v="Over Budget"/>
    <s v="OK"/>
  </r>
  <r>
    <s v="ITEM-1283"/>
    <x v="7"/>
    <x v="3"/>
    <n v="158.69"/>
    <x v="1"/>
    <n v="3800.49"/>
    <n v="603099.75809999998"/>
    <s v="Over Budget"/>
    <s v="OK"/>
  </r>
  <r>
    <s v="ITEM-1284"/>
    <x v="8"/>
    <x v="2"/>
    <n v="346.29"/>
    <x v="0"/>
    <n v="2021.65"/>
    <n v="700077.17850000004"/>
    <s v="Over Budget"/>
    <s v="OK"/>
  </r>
  <r>
    <s v="ITEM-1285"/>
    <x v="3"/>
    <x v="3"/>
    <n v="18.100000000000001"/>
    <x v="2"/>
    <n v="1033.07"/>
    <n v="18698.566999999999"/>
    <s v="OK"/>
    <s v="OK"/>
  </r>
  <r>
    <s v="ITEM-1286"/>
    <x v="6"/>
    <x v="0"/>
    <n v="170.09"/>
    <x v="3"/>
    <n v="4597.63"/>
    <n v="782010.88670000003"/>
    <s v="Over Budget"/>
    <s v="OK"/>
  </r>
  <r>
    <s v="ITEM-1287"/>
    <x v="1"/>
    <x v="4"/>
    <n v="89.63"/>
    <x v="3"/>
    <n v="1647.39"/>
    <n v="147655.56570000001"/>
    <s v="Over Budget"/>
    <s v="OK"/>
  </r>
  <r>
    <s v="ITEM-1288"/>
    <x v="3"/>
    <x v="2"/>
    <n v="72.17"/>
    <x v="3"/>
    <n v="4473.2700000000004"/>
    <n v="322835.89590000006"/>
    <s v="Over Budget"/>
    <s v="OK"/>
  </r>
  <r>
    <s v="ITEM-1289"/>
    <x v="2"/>
    <x v="0"/>
    <n v="91.17"/>
    <x v="0"/>
    <n v="1052.28"/>
    <n v="95936.367599999998"/>
    <s v="OK"/>
    <s v="OK"/>
  </r>
  <r>
    <s v="ITEM-1290"/>
    <x v="3"/>
    <x v="1"/>
    <n v="449.98"/>
    <x v="1"/>
    <n v="2225.59"/>
    <n v="1001470.9882000001"/>
    <s v="Over Budget"/>
    <s v="OK"/>
  </r>
  <r>
    <s v="ITEM-1291"/>
    <x v="2"/>
    <x v="0"/>
    <n v="300.99"/>
    <x v="3"/>
    <n v="4844.3100000000004"/>
    <n v="1458088.8669000003"/>
    <s v="Over Budget"/>
    <s v="OK"/>
  </r>
  <r>
    <s v="ITEM-1292"/>
    <x v="3"/>
    <x v="3"/>
    <n v="336.73"/>
    <x v="3"/>
    <n v="3215.5"/>
    <n v="1082755.3149999999"/>
    <s v="Over Budget"/>
    <s v="OK"/>
  </r>
  <r>
    <s v="ITEM-1293"/>
    <x v="1"/>
    <x v="2"/>
    <n v="264.67"/>
    <x v="3"/>
    <n v="1088.96"/>
    <n v="288215.04320000001"/>
    <s v="Over Budget"/>
    <s v="OK"/>
  </r>
  <r>
    <s v="ITEM-1294"/>
    <x v="0"/>
    <x v="4"/>
    <n v="305.83999999999997"/>
    <x v="4"/>
    <n v="212.97"/>
    <n v="65134.744799999993"/>
    <s v="OK"/>
    <s v="OK"/>
  </r>
  <r>
    <s v="ITEM-1295"/>
    <x v="4"/>
    <x v="0"/>
    <n v="269.02"/>
    <x v="1"/>
    <n v="4791.3500000000004"/>
    <n v="1288968.977"/>
    <s v="Over Budget"/>
    <s v="OK"/>
  </r>
  <r>
    <s v="ITEM-1296"/>
    <x v="9"/>
    <x v="1"/>
    <n v="372.19"/>
    <x v="4"/>
    <n v="4479.43"/>
    <n v="1667199.0517000002"/>
    <s v="Over Budget"/>
    <s v="OK"/>
  </r>
  <r>
    <s v="ITEM-1297"/>
    <x v="2"/>
    <x v="3"/>
    <n v="156.94999999999999"/>
    <x v="4"/>
    <n v="1300.1300000000001"/>
    <n v="204055.40350000001"/>
    <s v="Over Budget"/>
    <s v="OK"/>
  </r>
  <r>
    <s v="ITEM-1298"/>
    <x v="9"/>
    <x v="2"/>
    <n v="347.61"/>
    <x v="1"/>
    <n v="4848.88"/>
    <n v="1685519.1768"/>
    <s v="Over Budget"/>
    <s v="OK"/>
  </r>
  <r>
    <s v="ITEM-1299"/>
    <x v="3"/>
    <x v="1"/>
    <n v="8.0299999999999994"/>
    <x v="3"/>
    <n v="2427.75"/>
    <n v="19494.832499999997"/>
    <s v="OK"/>
    <s v="OK"/>
  </r>
  <r>
    <s v="ITEM-1300"/>
    <x v="2"/>
    <x v="4"/>
    <n v="16.239999999999998"/>
    <x v="3"/>
    <n v="4556.49"/>
    <n v="73997.397599999997"/>
    <s v="OK"/>
    <s v="OK"/>
  </r>
  <r>
    <s v="ITEM-1301"/>
    <x v="3"/>
    <x v="3"/>
    <n v="288.85000000000002"/>
    <x v="4"/>
    <n v="1023.34"/>
    <n v="295591.75900000002"/>
    <s v="Over Budget"/>
    <s v="OK"/>
  </r>
  <r>
    <s v="ITEM-1302"/>
    <x v="0"/>
    <x v="4"/>
    <n v="331.03"/>
    <x v="2"/>
    <n v="2648.8"/>
    <n v="876832.26399999997"/>
    <s v="Over Budget"/>
    <s v="OK"/>
  </r>
  <r>
    <s v="ITEM-1303"/>
    <x v="4"/>
    <x v="3"/>
    <n v="230.19"/>
    <x v="0"/>
    <n v="4339.84"/>
    <n v="998987.7696"/>
    <s v="Over Budget"/>
    <s v="OK"/>
  </r>
  <r>
    <s v="ITEM-1304"/>
    <x v="9"/>
    <x v="1"/>
    <n v="262.31"/>
    <x v="2"/>
    <n v="1559.99"/>
    <n v="409200.97690000001"/>
    <s v="Over Budget"/>
    <s v="OK"/>
  </r>
  <r>
    <s v="ITEM-1305"/>
    <x v="7"/>
    <x v="1"/>
    <n v="8.65"/>
    <x v="1"/>
    <n v="2976.08"/>
    <n v="25743.092000000001"/>
    <s v="OK"/>
    <s v="OK"/>
  </r>
  <r>
    <s v="ITEM-1306"/>
    <x v="8"/>
    <x v="1"/>
    <n v="129.85"/>
    <x v="0"/>
    <n v="4552.33"/>
    <n v="591120.05050000001"/>
    <s v="Over Budget"/>
    <s v="OK"/>
  </r>
  <r>
    <s v="ITEM-1307"/>
    <x v="2"/>
    <x v="0"/>
    <n v="123.95"/>
    <x v="4"/>
    <n v="3532.57"/>
    <n v="437862.0515"/>
    <s v="Over Budget"/>
    <s v="OK"/>
  </r>
  <r>
    <s v="ITEM-1308"/>
    <x v="5"/>
    <x v="0"/>
    <n v="95.59"/>
    <x v="3"/>
    <n v="4467.5"/>
    <n v="427048.32500000001"/>
    <s v="Over Budget"/>
    <s v="OK"/>
  </r>
  <r>
    <s v="ITEM-1309"/>
    <x v="6"/>
    <x v="1"/>
    <n v="212.8"/>
    <x v="1"/>
    <n v="3350.75"/>
    <n v="713039.60000000009"/>
    <s v="Over Budget"/>
    <s v="OK"/>
  </r>
  <r>
    <s v="ITEM-1310"/>
    <x v="1"/>
    <x v="4"/>
    <n v="233.42"/>
    <x v="3"/>
    <n v="2045.38"/>
    <n v="477432.59960000002"/>
    <s v="Over Budget"/>
    <s v="OK"/>
  </r>
  <r>
    <s v="ITEM-1311"/>
    <x v="6"/>
    <x v="4"/>
    <n v="225.11"/>
    <x v="3"/>
    <n v="3070.69"/>
    <n v="691243.02590000001"/>
    <s v="Over Budget"/>
    <s v="OK"/>
  </r>
  <r>
    <s v="ITEM-1312"/>
    <x v="5"/>
    <x v="0"/>
    <n v="154.44"/>
    <x v="3"/>
    <n v="3750.78"/>
    <n v="579270.4632"/>
    <s v="Over Budget"/>
    <s v="OK"/>
  </r>
  <r>
    <s v="ITEM-1313"/>
    <x v="8"/>
    <x v="3"/>
    <n v="56.65"/>
    <x v="3"/>
    <n v="3390.51"/>
    <n v="192072.3915"/>
    <s v="Over Budget"/>
    <s v="OK"/>
  </r>
  <r>
    <s v="ITEM-1314"/>
    <x v="8"/>
    <x v="1"/>
    <n v="132.09"/>
    <x v="3"/>
    <n v="1712.63"/>
    <n v="226221.29670000001"/>
    <s v="Over Budget"/>
    <s v="OK"/>
  </r>
  <r>
    <s v="ITEM-1315"/>
    <x v="7"/>
    <x v="0"/>
    <n v="239.56"/>
    <x v="1"/>
    <n v="1768.84"/>
    <n v="423743.31039999996"/>
    <s v="Over Budget"/>
    <s v="OK"/>
  </r>
  <r>
    <s v="ITEM-1316"/>
    <x v="7"/>
    <x v="1"/>
    <n v="214.68"/>
    <x v="1"/>
    <n v="3089.27"/>
    <n v="663204.48360000004"/>
    <s v="Over Budget"/>
    <s v="OK"/>
  </r>
  <r>
    <s v="ITEM-1317"/>
    <x v="3"/>
    <x v="0"/>
    <n v="83.66"/>
    <x v="0"/>
    <n v="1589.1"/>
    <n v="132944.106"/>
    <s v="Over Budget"/>
    <s v="OK"/>
  </r>
  <r>
    <s v="ITEM-1318"/>
    <x v="4"/>
    <x v="2"/>
    <n v="345.06"/>
    <x v="3"/>
    <n v="1752.44"/>
    <n v="604696.94640000002"/>
    <s v="Over Budget"/>
    <s v="OK"/>
  </r>
  <r>
    <s v="ITEM-1319"/>
    <x v="9"/>
    <x v="0"/>
    <n v="458"/>
    <x v="4"/>
    <n v="2515.2199999999998"/>
    <n v="1151970.76"/>
    <s v="Over Budget"/>
    <s v="OK"/>
  </r>
  <r>
    <s v="ITEM-1320"/>
    <x v="6"/>
    <x v="1"/>
    <n v="214.63"/>
    <x v="4"/>
    <n v="3231.38"/>
    <n v="693551.08940000006"/>
    <s v="Over Budget"/>
    <s v="OK"/>
  </r>
  <r>
    <s v="ITEM-1321"/>
    <x v="6"/>
    <x v="3"/>
    <n v="373.35"/>
    <x v="1"/>
    <n v="2473.15"/>
    <n v="923350.55250000011"/>
    <s v="Over Budget"/>
    <s v="OK"/>
  </r>
  <r>
    <s v="ITEM-1322"/>
    <x v="6"/>
    <x v="3"/>
    <n v="44.24"/>
    <x v="3"/>
    <n v="3854.67"/>
    <n v="170530.60080000001"/>
    <s v="Over Budget"/>
    <s v="OK"/>
  </r>
  <r>
    <s v="ITEM-1323"/>
    <x v="3"/>
    <x v="1"/>
    <n v="447.46"/>
    <x v="2"/>
    <n v="279.02"/>
    <n v="124850.28919999998"/>
    <s v="Over Budget"/>
    <s v="OK"/>
  </r>
  <r>
    <s v="ITEM-1324"/>
    <x v="3"/>
    <x v="3"/>
    <n v="262.64999999999998"/>
    <x v="3"/>
    <n v="4769.91"/>
    <n v="1252816.8614999999"/>
    <s v="Over Budget"/>
    <s v="OK"/>
  </r>
  <r>
    <s v="ITEM-1325"/>
    <x v="7"/>
    <x v="4"/>
    <n v="267.33"/>
    <x v="0"/>
    <n v="4786.91"/>
    <n v="1279684.6502999999"/>
    <s v="Over Budget"/>
    <s v="OK"/>
  </r>
  <r>
    <s v="ITEM-1326"/>
    <x v="3"/>
    <x v="0"/>
    <n v="498.9"/>
    <x v="0"/>
    <n v="2411.1"/>
    <n v="1202897.7899999998"/>
    <s v="Over Budget"/>
    <s v="OK"/>
  </r>
  <r>
    <s v="ITEM-1327"/>
    <x v="6"/>
    <x v="1"/>
    <n v="167.99"/>
    <x v="3"/>
    <n v="3310.05"/>
    <n v="556055.29950000008"/>
    <s v="Over Budget"/>
    <s v="OK"/>
  </r>
  <r>
    <s v="ITEM-1328"/>
    <x v="4"/>
    <x v="0"/>
    <n v="222.98"/>
    <x v="0"/>
    <n v="3888.29"/>
    <n v="867010.90419999999"/>
    <s v="Over Budget"/>
    <s v="OK"/>
  </r>
  <r>
    <s v="ITEM-1329"/>
    <x v="0"/>
    <x v="0"/>
    <n v="68.02"/>
    <x v="2"/>
    <n v="4256.6400000000003"/>
    <n v="289536.65279999998"/>
    <s v="Over Budget"/>
    <s v="OK"/>
  </r>
  <r>
    <s v="ITEM-1330"/>
    <x v="5"/>
    <x v="4"/>
    <n v="468.46"/>
    <x v="3"/>
    <n v="2095.2199999999998"/>
    <n v="981526.76119999983"/>
    <s v="Over Budget"/>
    <s v="OK"/>
  </r>
  <r>
    <s v="ITEM-1331"/>
    <x v="6"/>
    <x v="3"/>
    <n v="181.89"/>
    <x v="2"/>
    <n v="4713.66"/>
    <n v="857367.61739999987"/>
    <s v="Over Budget"/>
    <s v="OK"/>
  </r>
  <r>
    <s v="ITEM-1332"/>
    <x v="2"/>
    <x v="2"/>
    <n v="331.53"/>
    <x v="2"/>
    <n v="1910.29"/>
    <n v="633318.44369999995"/>
    <s v="Over Budget"/>
    <s v="OK"/>
  </r>
  <r>
    <s v="ITEM-1333"/>
    <x v="5"/>
    <x v="0"/>
    <n v="164.3"/>
    <x v="1"/>
    <n v="1322.07"/>
    <n v="217216.101"/>
    <s v="Over Budget"/>
    <s v="OK"/>
  </r>
  <r>
    <s v="ITEM-1334"/>
    <x v="9"/>
    <x v="0"/>
    <n v="391.01"/>
    <x v="0"/>
    <n v="1327.76"/>
    <n v="519167.4376"/>
    <s v="Over Budget"/>
    <s v="OK"/>
  </r>
  <r>
    <s v="ITEM-1335"/>
    <x v="3"/>
    <x v="3"/>
    <n v="19.29"/>
    <x v="1"/>
    <n v="2675.06"/>
    <n v="51601.907399999996"/>
    <s v="OK"/>
    <s v="OK"/>
  </r>
  <r>
    <s v="ITEM-1336"/>
    <x v="9"/>
    <x v="4"/>
    <n v="470.77"/>
    <x v="3"/>
    <n v="510.26"/>
    <n v="240215.10019999999"/>
    <s v="Over Budget"/>
    <s v="OK"/>
  </r>
  <r>
    <s v="ITEM-1337"/>
    <x v="7"/>
    <x v="0"/>
    <n v="84.46"/>
    <x v="1"/>
    <n v="4852.3999999999996"/>
    <n v="409833.70399999991"/>
    <s v="Over Budget"/>
    <s v="OK"/>
  </r>
  <r>
    <s v="ITEM-1338"/>
    <x v="7"/>
    <x v="1"/>
    <n v="164.64"/>
    <x v="4"/>
    <n v="139.13"/>
    <n v="22906.363199999996"/>
    <s v="OK"/>
    <s v="OK"/>
  </r>
  <r>
    <s v="ITEM-1339"/>
    <x v="4"/>
    <x v="3"/>
    <n v="184.17"/>
    <x v="4"/>
    <n v="326.86"/>
    <n v="60197.806199999999"/>
    <s v="OK"/>
    <s v="OK"/>
  </r>
  <r>
    <s v="ITEM-1340"/>
    <x v="5"/>
    <x v="3"/>
    <n v="71.510000000000005"/>
    <x v="3"/>
    <n v="1480.08"/>
    <n v="105840.5208"/>
    <s v="Over Budget"/>
    <s v="OK"/>
  </r>
  <r>
    <s v="ITEM-1341"/>
    <x v="4"/>
    <x v="2"/>
    <n v="346.86"/>
    <x v="2"/>
    <n v="1133.43"/>
    <n v="393141.52980000002"/>
    <s v="Over Budget"/>
    <s v="OK"/>
  </r>
  <r>
    <s v="ITEM-1342"/>
    <x v="2"/>
    <x v="4"/>
    <n v="200.48"/>
    <x v="4"/>
    <n v="1593.99"/>
    <n v="319563.1152"/>
    <s v="Over Budget"/>
    <s v="OK"/>
  </r>
  <r>
    <s v="ITEM-1343"/>
    <x v="5"/>
    <x v="1"/>
    <n v="287.98"/>
    <x v="1"/>
    <n v="894.76"/>
    <n v="257672.98480000001"/>
    <s v="Over Budget"/>
    <s v="OK"/>
  </r>
  <r>
    <s v="ITEM-1344"/>
    <x v="0"/>
    <x v="0"/>
    <n v="451.47"/>
    <x v="2"/>
    <n v="4415.08"/>
    <n v="1993276.1676"/>
    <s v="Over Budget"/>
    <s v="OK"/>
  </r>
  <r>
    <s v="ITEM-1345"/>
    <x v="5"/>
    <x v="1"/>
    <n v="361.75"/>
    <x v="1"/>
    <n v="4932.68"/>
    <n v="1784396.99"/>
    <s v="Over Budget"/>
    <s v="OK"/>
  </r>
  <r>
    <s v="ITEM-1346"/>
    <x v="3"/>
    <x v="4"/>
    <n v="83.22"/>
    <x v="2"/>
    <n v="1673.13"/>
    <n v="139237.8786"/>
    <s v="Over Budget"/>
    <s v="OK"/>
  </r>
  <r>
    <s v="ITEM-1347"/>
    <x v="9"/>
    <x v="2"/>
    <n v="44.42"/>
    <x v="0"/>
    <n v="4966.92"/>
    <n v="220630.5864"/>
    <s v="Over Budget"/>
    <s v="OK"/>
  </r>
  <r>
    <s v="ITEM-1348"/>
    <x v="2"/>
    <x v="3"/>
    <n v="154.75"/>
    <x v="4"/>
    <n v="4945.1899999999996"/>
    <n v="765268.15249999997"/>
    <s v="Over Budget"/>
    <s v="OK"/>
  </r>
  <r>
    <s v="ITEM-1349"/>
    <x v="4"/>
    <x v="2"/>
    <n v="325.72000000000003"/>
    <x v="2"/>
    <n v="2344.11"/>
    <n v="763523.50920000009"/>
    <s v="Over Budget"/>
    <s v="OK"/>
  </r>
  <r>
    <s v="ITEM-1350"/>
    <x v="9"/>
    <x v="0"/>
    <n v="171.15"/>
    <x v="2"/>
    <n v="70.95"/>
    <n v="12143.092500000001"/>
    <s v="OK"/>
    <s v="OK"/>
  </r>
  <r>
    <s v="ITEM-1351"/>
    <x v="2"/>
    <x v="0"/>
    <n v="183.75"/>
    <x v="0"/>
    <n v="859.14"/>
    <n v="157866.97500000001"/>
    <s v="Over Budget"/>
    <s v="OK"/>
  </r>
  <r>
    <s v="ITEM-1352"/>
    <x v="0"/>
    <x v="1"/>
    <n v="2.41"/>
    <x v="1"/>
    <n v="83.32"/>
    <n v="200.80119999999999"/>
    <s v="OK"/>
    <s v="OK"/>
  </r>
  <r>
    <s v="ITEM-1353"/>
    <x v="5"/>
    <x v="0"/>
    <n v="166.96"/>
    <x v="2"/>
    <n v="3079.51"/>
    <n v="514154.98960000009"/>
    <s v="Over Budget"/>
    <s v="OK"/>
  </r>
  <r>
    <s v="ITEM-1354"/>
    <x v="0"/>
    <x v="4"/>
    <n v="259.88"/>
    <x v="0"/>
    <n v="1039.58"/>
    <n v="270166.05039999995"/>
    <s v="Over Budget"/>
    <s v="OK"/>
  </r>
  <r>
    <s v="ITEM-1355"/>
    <x v="3"/>
    <x v="3"/>
    <n v="53.46"/>
    <x v="1"/>
    <n v="3027.07"/>
    <n v="161827.16220000002"/>
    <s v="Over Budget"/>
    <s v="OK"/>
  </r>
  <r>
    <s v="ITEM-1356"/>
    <x v="7"/>
    <x v="1"/>
    <n v="341.71"/>
    <x v="2"/>
    <n v="4323.79"/>
    <n v="1477482.2808999999"/>
    <s v="Over Budget"/>
    <s v="OK"/>
  </r>
  <r>
    <s v="ITEM-1357"/>
    <x v="9"/>
    <x v="0"/>
    <n v="255.19"/>
    <x v="2"/>
    <n v="403.81"/>
    <n v="103048.2739"/>
    <s v="Over Budget"/>
    <s v="OK"/>
  </r>
  <r>
    <s v="ITEM-1358"/>
    <x v="0"/>
    <x v="2"/>
    <n v="188.71"/>
    <x v="1"/>
    <n v="4608.1000000000004"/>
    <n v="869594.55100000009"/>
    <s v="Over Budget"/>
    <s v="OK"/>
  </r>
  <r>
    <s v="ITEM-1359"/>
    <x v="0"/>
    <x v="4"/>
    <n v="453.68"/>
    <x v="4"/>
    <n v="438.34"/>
    <n v="198866.0912"/>
    <s v="Over Budget"/>
    <s v="OK"/>
  </r>
  <r>
    <s v="ITEM-1360"/>
    <x v="4"/>
    <x v="0"/>
    <n v="265.18"/>
    <x v="2"/>
    <n v="3194.37"/>
    <n v="847083.03659999999"/>
    <s v="Over Budget"/>
    <s v="OK"/>
  </r>
  <r>
    <s v="ITEM-1361"/>
    <x v="1"/>
    <x v="4"/>
    <n v="199.63"/>
    <x v="3"/>
    <n v="1138.6300000000001"/>
    <n v="227304.70690000002"/>
    <s v="Over Budget"/>
    <s v="OK"/>
  </r>
  <r>
    <s v="ITEM-1362"/>
    <x v="5"/>
    <x v="0"/>
    <n v="233.87"/>
    <x v="1"/>
    <n v="614.91999999999996"/>
    <n v="143811.34039999999"/>
    <s v="Over Budget"/>
    <s v="OK"/>
  </r>
  <r>
    <s v="ITEM-1363"/>
    <x v="9"/>
    <x v="3"/>
    <n v="262.64"/>
    <x v="1"/>
    <n v="1378.55"/>
    <n v="362062.37199999997"/>
    <s v="Over Budget"/>
    <s v="OK"/>
  </r>
  <r>
    <s v="ITEM-1364"/>
    <x v="6"/>
    <x v="0"/>
    <n v="51.33"/>
    <x v="0"/>
    <n v="3832.07"/>
    <n v="196700.1531"/>
    <s v="Over Budget"/>
    <s v="OK"/>
  </r>
  <r>
    <s v="ITEM-1365"/>
    <x v="9"/>
    <x v="3"/>
    <n v="492.53"/>
    <x v="1"/>
    <n v="1868.53"/>
    <n v="920307.08089999994"/>
    <s v="Over Budget"/>
    <s v="OK"/>
  </r>
  <r>
    <s v="ITEM-1366"/>
    <x v="9"/>
    <x v="3"/>
    <n v="493.85"/>
    <x v="0"/>
    <n v="2463.21"/>
    <n v="1216456.2585"/>
    <s v="Over Budget"/>
    <s v="OK"/>
  </r>
  <r>
    <s v="ITEM-1367"/>
    <x v="1"/>
    <x v="4"/>
    <n v="6.62"/>
    <x v="4"/>
    <n v="3526.26"/>
    <n v="23343.841200000003"/>
    <s v="OK"/>
    <s v="OK"/>
  </r>
  <r>
    <s v="ITEM-1368"/>
    <x v="0"/>
    <x v="4"/>
    <n v="310.29000000000002"/>
    <x v="0"/>
    <n v="3603.76"/>
    <n v="1118210.6904000002"/>
    <s v="Over Budget"/>
    <s v="OK"/>
  </r>
  <r>
    <s v="ITEM-1369"/>
    <x v="9"/>
    <x v="4"/>
    <n v="245.92"/>
    <x v="0"/>
    <n v="2118.35"/>
    <n v="520944.63199999993"/>
    <s v="Over Budget"/>
    <s v="OK"/>
  </r>
  <r>
    <s v="ITEM-1370"/>
    <x v="1"/>
    <x v="1"/>
    <n v="84.83"/>
    <x v="0"/>
    <n v="4871.3500000000004"/>
    <n v="413236.62050000002"/>
    <s v="Over Budget"/>
    <s v="OK"/>
  </r>
  <r>
    <s v="ITEM-1371"/>
    <x v="8"/>
    <x v="0"/>
    <n v="163.34"/>
    <x v="3"/>
    <n v="2471.25"/>
    <n v="403653.97500000003"/>
    <s v="Over Budget"/>
    <s v="OK"/>
  </r>
  <r>
    <s v="ITEM-1372"/>
    <x v="8"/>
    <x v="2"/>
    <n v="415.73"/>
    <x v="0"/>
    <n v="2862.72"/>
    <n v="1190118.5855999999"/>
    <s v="Over Budget"/>
    <s v="OK"/>
  </r>
  <r>
    <s v="ITEM-1373"/>
    <x v="0"/>
    <x v="2"/>
    <n v="28.21"/>
    <x v="4"/>
    <n v="1909.13"/>
    <n v="53856.557300000008"/>
    <s v="OK"/>
    <s v="OK"/>
  </r>
  <r>
    <s v="ITEM-1374"/>
    <x v="7"/>
    <x v="4"/>
    <n v="198.4"/>
    <x v="4"/>
    <n v="340.54"/>
    <n v="67563.136000000013"/>
    <s v="OK"/>
    <s v="OK"/>
  </r>
  <r>
    <s v="ITEM-1375"/>
    <x v="1"/>
    <x v="1"/>
    <n v="252.16"/>
    <x v="1"/>
    <n v="4115.63"/>
    <n v="1037797.2608"/>
    <s v="Over Budget"/>
    <s v="OK"/>
  </r>
  <r>
    <s v="ITEM-1376"/>
    <x v="9"/>
    <x v="1"/>
    <n v="18.510000000000002"/>
    <x v="3"/>
    <n v="984.97"/>
    <n v="18231.794700000002"/>
    <s v="OK"/>
    <s v="OK"/>
  </r>
  <r>
    <s v="ITEM-1377"/>
    <x v="4"/>
    <x v="1"/>
    <n v="407.2"/>
    <x v="1"/>
    <n v="4982.32"/>
    <n v="2028800.7039999999"/>
    <s v="Over Budget"/>
    <s v="OK"/>
  </r>
  <r>
    <s v="ITEM-1378"/>
    <x v="2"/>
    <x v="2"/>
    <n v="248.28"/>
    <x v="3"/>
    <n v="2577.6999999999998"/>
    <n v="639991.35599999991"/>
    <s v="Over Budget"/>
    <s v="OK"/>
  </r>
  <r>
    <s v="ITEM-1379"/>
    <x v="4"/>
    <x v="1"/>
    <n v="94.09"/>
    <x v="1"/>
    <n v="4777.8100000000004"/>
    <n v="449544.14290000004"/>
    <s v="Over Budget"/>
    <s v="OK"/>
  </r>
  <r>
    <s v="ITEM-1380"/>
    <x v="9"/>
    <x v="2"/>
    <n v="218.71"/>
    <x v="2"/>
    <n v="327.33999999999997"/>
    <n v="71592.531399999993"/>
    <s v="OK"/>
    <s v="OK"/>
  </r>
  <r>
    <s v="ITEM-1381"/>
    <x v="9"/>
    <x v="1"/>
    <n v="189.54"/>
    <x v="2"/>
    <n v="2354.5300000000002"/>
    <n v="446277.61620000005"/>
    <s v="Over Budget"/>
    <s v="OK"/>
  </r>
  <r>
    <s v="ITEM-1382"/>
    <x v="2"/>
    <x v="1"/>
    <n v="83.97"/>
    <x v="0"/>
    <n v="4484.09"/>
    <n v="376529.03730000003"/>
    <s v="Over Budget"/>
    <s v="OK"/>
  </r>
  <r>
    <s v="ITEM-1383"/>
    <x v="7"/>
    <x v="0"/>
    <n v="4.95"/>
    <x v="4"/>
    <n v="4016.62"/>
    <n v="19882.269"/>
    <s v="OK"/>
    <s v="OK"/>
  </r>
  <r>
    <s v="ITEM-1384"/>
    <x v="3"/>
    <x v="3"/>
    <n v="370.56"/>
    <x v="1"/>
    <n v="3977.96"/>
    <n v="1474072.8576"/>
    <s v="Over Budget"/>
    <s v="OK"/>
  </r>
  <r>
    <s v="ITEM-1385"/>
    <x v="1"/>
    <x v="3"/>
    <n v="445.73"/>
    <x v="3"/>
    <n v="2914.3"/>
    <n v="1298990.9390000002"/>
    <s v="Over Budget"/>
    <s v="OK"/>
  </r>
  <r>
    <s v="ITEM-1386"/>
    <x v="5"/>
    <x v="2"/>
    <n v="153.21"/>
    <x v="0"/>
    <n v="2668.65"/>
    <n v="408863.86650000006"/>
    <s v="Over Budget"/>
    <s v="OK"/>
  </r>
  <r>
    <s v="ITEM-1387"/>
    <x v="5"/>
    <x v="2"/>
    <n v="162.35"/>
    <x v="3"/>
    <n v="4875.1400000000003"/>
    <n v="791478.97900000005"/>
    <s v="Over Budget"/>
    <s v="OK"/>
  </r>
  <r>
    <s v="ITEM-1388"/>
    <x v="5"/>
    <x v="0"/>
    <n v="120.85"/>
    <x v="0"/>
    <n v="662.67"/>
    <n v="80083.669499999989"/>
    <s v="OK"/>
    <s v="OK"/>
  </r>
  <r>
    <s v="ITEM-1389"/>
    <x v="1"/>
    <x v="2"/>
    <n v="492.57"/>
    <x v="2"/>
    <n v="4378.3599999999997"/>
    <n v="2156648.7851999998"/>
    <s v="Over Budget"/>
    <s v="OK"/>
  </r>
  <r>
    <s v="ITEM-1390"/>
    <x v="4"/>
    <x v="0"/>
    <n v="337.21"/>
    <x v="2"/>
    <n v="3869.18"/>
    <n v="1304726.1878"/>
    <s v="Over Budget"/>
    <s v="OK"/>
  </r>
  <r>
    <s v="ITEM-1391"/>
    <x v="7"/>
    <x v="2"/>
    <n v="26.31"/>
    <x v="2"/>
    <n v="2194.4299999999998"/>
    <n v="57735.453299999994"/>
    <s v="OK"/>
    <s v="OK"/>
  </r>
  <r>
    <s v="ITEM-1392"/>
    <x v="5"/>
    <x v="4"/>
    <n v="465.18"/>
    <x v="0"/>
    <n v="566.22"/>
    <n v="263394.21960000001"/>
    <s v="Over Budget"/>
    <s v="OK"/>
  </r>
  <r>
    <s v="ITEM-1393"/>
    <x v="0"/>
    <x v="1"/>
    <n v="377.35"/>
    <x v="4"/>
    <n v="4138.66"/>
    <n v="1561723.351"/>
    <s v="Over Budget"/>
    <s v="OK"/>
  </r>
  <r>
    <s v="ITEM-1394"/>
    <x v="5"/>
    <x v="0"/>
    <n v="63.13"/>
    <x v="3"/>
    <n v="2334"/>
    <n v="147345.42000000001"/>
    <s v="Over Budget"/>
    <s v="OK"/>
  </r>
  <r>
    <s v="ITEM-1395"/>
    <x v="8"/>
    <x v="4"/>
    <n v="319.94"/>
    <x v="1"/>
    <n v="4243.99"/>
    <n v="1357822.1605999998"/>
    <s v="Over Budget"/>
    <s v="OK"/>
  </r>
  <r>
    <s v="ITEM-1396"/>
    <x v="1"/>
    <x v="1"/>
    <n v="387.08"/>
    <x v="4"/>
    <n v="2468.6999999999998"/>
    <n v="955584.39599999983"/>
    <s v="Over Budget"/>
    <s v="OK"/>
  </r>
  <r>
    <s v="ITEM-1397"/>
    <x v="7"/>
    <x v="1"/>
    <n v="240.28"/>
    <x v="2"/>
    <n v="286.33999999999997"/>
    <n v="68801.775199999989"/>
    <s v="OK"/>
    <s v="OK"/>
  </r>
  <r>
    <s v="ITEM-1398"/>
    <x v="3"/>
    <x v="2"/>
    <n v="364.66"/>
    <x v="3"/>
    <n v="4218.6400000000003"/>
    <n v="1538369.2624000001"/>
    <s v="Over Budget"/>
    <s v="OK"/>
  </r>
  <r>
    <s v="ITEM-1399"/>
    <x v="6"/>
    <x v="0"/>
    <n v="402.74"/>
    <x v="1"/>
    <n v="4722.6899999999996"/>
    <n v="1902016.1705999998"/>
    <s v="Over Budget"/>
    <s v="OK"/>
  </r>
  <r>
    <s v="ITEM-1400"/>
    <x v="7"/>
    <x v="1"/>
    <n v="151.11000000000001"/>
    <x v="2"/>
    <n v="1081.72"/>
    <n v="163458.70920000001"/>
    <s v="Over Budget"/>
    <s v="OK"/>
  </r>
  <r>
    <s v="ITEM-1401"/>
    <x v="7"/>
    <x v="2"/>
    <n v="225.07"/>
    <x v="4"/>
    <n v="665.55"/>
    <n v="149795.33849999998"/>
    <s v="Over Budget"/>
    <s v="OK"/>
  </r>
  <r>
    <s v="ITEM-1402"/>
    <x v="2"/>
    <x v="3"/>
    <n v="219.24"/>
    <x v="0"/>
    <n v="3900.75"/>
    <n v="855200.43"/>
    <s v="Over Budget"/>
    <s v="OK"/>
  </r>
  <r>
    <s v="ITEM-1403"/>
    <x v="7"/>
    <x v="1"/>
    <n v="16.16"/>
    <x v="1"/>
    <n v="494.95"/>
    <n v="7998.3919999999998"/>
    <s v="OK"/>
    <s v="OK"/>
  </r>
  <r>
    <s v="ITEM-1404"/>
    <x v="5"/>
    <x v="4"/>
    <n v="279.61"/>
    <x v="1"/>
    <n v="4611.6899999999996"/>
    <n v="1289474.6409"/>
    <s v="Over Budget"/>
    <s v="OK"/>
  </r>
  <r>
    <s v="ITEM-1405"/>
    <x v="8"/>
    <x v="4"/>
    <n v="438.4"/>
    <x v="2"/>
    <n v="706.25"/>
    <n v="309620"/>
    <s v="Over Budget"/>
    <s v="OK"/>
  </r>
  <r>
    <s v="ITEM-1406"/>
    <x v="3"/>
    <x v="1"/>
    <n v="405.82"/>
    <x v="2"/>
    <n v="4919.18"/>
    <n v="1996301.6276"/>
    <s v="Over Budget"/>
    <s v="OK"/>
  </r>
  <r>
    <s v="ITEM-1407"/>
    <x v="2"/>
    <x v="4"/>
    <n v="94.41"/>
    <x v="4"/>
    <n v="389.87"/>
    <n v="36807.626700000001"/>
    <s v="OK"/>
    <s v="OK"/>
  </r>
  <r>
    <s v="ITEM-1408"/>
    <x v="3"/>
    <x v="1"/>
    <n v="441.46"/>
    <x v="1"/>
    <n v="2107.31"/>
    <n v="930293.07259999996"/>
    <s v="Over Budget"/>
    <s v="OK"/>
  </r>
  <r>
    <s v="ITEM-1409"/>
    <x v="6"/>
    <x v="4"/>
    <n v="482.94"/>
    <x v="4"/>
    <n v="4188.5200000000004"/>
    <n v="2022803.8488000003"/>
    <s v="Over Budget"/>
    <s v="OK"/>
  </r>
  <r>
    <s v="ITEM-1410"/>
    <x v="2"/>
    <x v="3"/>
    <n v="234.42"/>
    <x v="2"/>
    <n v="568.32000000000005"/>
    <n v="133225.57440000001"/>
    <s v="Over Budget"/>
    <s v="OK"/>
  </r>
  <r>
    <s v="ITEM-1411"/>
    <x v="6"/>
    <x v="1"/>
    <n v="266.16000000000003"/>
    <x v="3"/>
    <n v="3141.29"/>
    <n v="836085.74640000006"/>
    <s v="Over Budget"/>
    <s v="OK"/>
  </r>
  <r>
    <s v="ITEM-1412"/>
    <x v="3"/>
    <x v="3"/>
    <n v="147.91"/>
    <x v="3"/>
    <n v="4856.46"/>
    <n v="718318.99859999993"/>
    <s v="Over Budget"/>
    <s v="OK"/>
  </r>
  <r>
    <s v="ITEM-1413"/>
    <x v="9"/>
    <x v="0"/>
    <n v="193.36"/>
    <x v="2"/>
    <n v="4283.54"/>
    <n v="828265.29440000001"/>
    <s v="Over Budget"/>
    <s v="OK"/>
  </r>
  <r>
    <s v="ITEM-1414"/>
    <x v="2"/>
    <x v="3"/>
    <n v="245.75"/>
    <x v="3"/>
    <n v="1612.08"/>
    <n v="396168.66"/>
    <s v="Over Budget"/>
    <s v="OK"/>
  </r>
  <r>
    <s v="ITEM-1415"/>
    <x v="1"/>
    <x v="1"/>
    <n v="119.04"/>
    <x v="2"/>
    <n v="499.19"/>
    <n v="59423.577600000004"/>
    <s v="OK"/>
    <s v="OK"/>
  </r>
  <r>
    <s v="ITEM-1416"/>
    <x v="6"/>
    <x v="1"/>
    <n v="487.82"/>
    <x v="0"/>
    <n v="1928.68"/>
    <n v="940848.67760000005"/>
    <s v="Over Budget"/>
    <s v="OK"/>
  </r>
  <r>
    <s v="ITEM-1417"/>
    <x v="1"/>
    <x v="4"/>
    <n v="301.13"/>
    <x v="2"/>
    <n v="2183.34"/>
    <n v="657469.17420000001"/>
    <s v="Over Budget"/>
    <s v="OK"/>
  </r>
  <r>
    <s v="ITEM-1418"/>
    <x v="0"/>
    <x v="4"/>
    <n v="249.38"/>
    <x v="2"/>
    <n v="3449.6"/>
    <n v="860261.24799999991"/>
    <s v="Over Budget"/>
    <s v="OK"/>
  </r>
  <r>
    <s v="ITEM-1419"/>
    <x v="7"/>
    <x v="0"/>
    <n v="172.6"/>
    <x v="4"/>
    <n v="3537.68"/>
    <n v="610603.56799999997"/>
    <s v="Over Budget"/>
    <s v="OK"/>
  </r>
  <r>
    <s v="ITEM-1420"/>
    <x v="9"/>
    <x v="0"/>
    <n v="42.8"/>
    <x v="4"/>
    <n v="88.06"/>
    <n v="3768.9679999999998"/>
    <s v="OK"/>
    <s v="OK"/>
  </r>
  <r>
    <s v="ITEM-1421"/>
    <x v="2"/>
    <x v="0"/>
    <n v="189.59"/>
    <x v="0"/>
    <n v="3138.17"/>
    <n v="594965.65029999998"/>
    <s v="Over Budget"/>
    <s v="OK"/>
  </r>
  <r>
    <s v="ITEM-1422"/>
    <x v="4"/>
    <x v="3"/>
    <n v="67.81"/>
    <x v="0"/>
    <n v="4842"/>
    <n v="328336.02"/>
    <s v="Over Budget"/>
    <s v="OK"/>
  </r>
  <r>
    <s v="ITEM-1423"/>
    <x v="2"/>
    <x v="3"/>
    <n v="184.15"/>
    <x v="1"/>
    <n v="4141.8"/>
    <n v="762712.47000000009"/>
    <s v="Over Budget"/>
    <s v="OK"/>
  </r>
  <r>
    <s v="ITEM-1424"/>
    <x v="7"/>
    <x v="2"/>
    <n v="74.28"/>
    <x v="4"/>
    <n v="3525.54"/>
    <n v="261877.11120000001"/>
    <s v="Over Budget"/>
    <s v="OK"/>
  </r>
  <r>
    <s v="ITEM-1425"/>
    <x v="6"/>
    <x v="3"/>
    <n v="186.46"/>
    <x v="2"/>
    <n v="1280.19"/>
    <n v="238704.22740000003"/>
    <s v="Over Budget"/>
    <s v="OK"/>
  </r>
  <r>
    <s v="ITEM-1426"/>
    <x v="4"/>
    <x v="2"/>
    <n v="259.3"/>
    <x v="4"/>
    <n v="811.61"/>
    <n v="210450.47300000003"/>
    <s v="Over Budget"/>
    <s v="OK"/>
  </r>
  <r>
    <s v="ITEM-1427"/>
    <x v="2"/>
    <x v="3"/>
    <n v="498.89"/>
    <x v="3"/>
    <n v="280.22000000000003"/>
    <n v="139798.9558"/>
    <s v="Over Budget"/>
    <s v="OK"/>
  </r>
  <r>
    <s v="ITEM-1428"/>
    <x v="5"/>
    <x v="1"/>
    <n v="188.71"/>
    <x v="4"/>
    <n v="1126.67"/>
    <n v="212613.89570000002"/>
    <s v="Over Budget"/>
    <s v="OK"/>
  </r>
  <r>
    <s v="ITEM-1429"/>
    <x v="5"/>
    <x v="1"/>
    <n v="191.12"/>
    <x v="1"/>
    <n v="3965.73"/>
    <n v="757930.31760000007"/>
    <s v="Over Budget"/>
    <s v="OK"/>
  </r>
  <r>
    <s v="ITEM-1430"/>
    <x v="8"/>
    <x v="1"/>
    <n v="382.53"/>
    <x v="2"/>
    <n v="1879.21"/>
    <n v="718854.20129999996"/>
    <s v="Over Budget"/>
    <s v="OK"/>
  </r>
  <r>
    <s v="ITEM-1431"/>
    <x v="0"/>
    <x v="0"/>
    <n v="185.55"/>
    <x v="2"/>
    <n v="4449.6899999999996"/>
    <n v="825639.97950000002"/>
    <s v="Over Budget"/>
    <s v="OK"/>
  </r>
  <r>
    <s v="ITEM-1432"/>
    <x v="6"/>
    <x v="0"/>
    <n v="373.84"/>
    <x v="2"/>
    <n v="1038.23"/>
    <n v="388131.9032"/>
    <s v="Over Budget"/>
    <s v="OK"/>
  </r>
  <r>
    <s v="ITEM-1433"/>
    <x v="4"/>
    <x v="3"/>
    <n v="187.19"/>
    <x v="0"/>
    <n v="2873.87"/>
    <n v="537959.72529999993"/>
    <s v="Over Budget"/>
    <s v="OK"/>
  </r>
  <r>
    <s v="ITEM-1434"/>
    <x v="3"/>
    <x v="0"/>
    <n v="25.03"/>
    <x v="4"/>
    <n v="4928.3100000000004"/>
    <n v="123355.59930000002"/>
    <s v="Over Budget"/>
    <s v="OK"/>
  </r>
  <r>
    <s v="ITEM-1435"/>
    <x v="8"/>
    <x v="2"/>
    <n v="116.91"/>
    <x v="4"/>
    <n v="4741.47"/>
    <n v="554325.25769999996"/>
    <s v="Over Budget"/>
    <s v="OK"/>
  </r>
  <r>
    <s v="ITEM-1436"/>
    <x v="0"/>
    <x v="1"/>
    <n v="123.59"/>
    <x v="4"/>
    <n v="764.68"/>
    <n v="94506.801200000002"/>
    <s v="OK"/>
    <s v="OK"/>
  </r>
  <r>
    <s v="ITEM-1437"/>
    <x v="9"/>
    <x v="0"/>
    <n v="129.88"/>
    <x v="3"/>
    <n v="1389.72"/>
    <n v="180496.83359999998"/>
    <s v="Over Budget"/>
    <s v="OK"/>
  </r>
  <r>
    <s v="ITEM-1438"/>
    <x v="5"/>
    <x v="1"/>
    <n v="220.79"/>
    <x v="3"/>
    <n v="2949.05"/>
    <n v="651120.74950000003"/>
    <s v="Over Budget"/>
    <s v="OK"/>
  </r>
  <r>
    <s v="ITEM-1439"/>
    <x v="5"/>
    <x v="4"/>
    <n v="251.13"/>
    <x v="3"/>
    <n v="2809.44"/>
    <n v="705534.66720000003"/>
    <s v="Over Budget"/>
    <s v="OK"/>
  </r>
  <r>
    <s v="ITEM-1440"/>
    <x v="0"/>
    <x v="1"/>
    <n v="223.64"/>
    <x v="2"/>
    <n v="354.39"/>
    <n v="79255.779599999994"/>
    <s v="OK"/>
    <s v="OK"/>
  </r>
  <r>
    <s v="ITEM-1441"/>
    <x v="2"/>
    <x v="2"/>
    <n v="76.239999999999995"/>
    <x v="3"/>
    <n v="1871.63"/>
    <n v="142693.07120000001"/>
    <s v="Over Budget"/>
    <s v="OK"/>
  </r>
  <r>
    <s v="ITEM-1442"/>
    <x v="6"/>
    <x v="2"/>
    <n v="487.68"/>
    <x v="1"/>
    <n v="2233.5"/>
    <n v="1089233.28"/>
    <s v="Over Budget"/>
    <s v="OK"/>
  </r>
  <r>
    <s v="ITEM-1443"/>
    <x v="3"/>
    <x v="4"/>
    <n v="403.35"/>
    <x v="0"/>
    <n v="1850.76"/>
    <n v="746504.04600000009"/>
    <s v="Over Budget"/>
    <s v="OK"/>
  </r>
  <r>
    <s v="ITEM-1444"/>
    <x v="0"/>
    <x v="0"/>
    <n v="215.24"/>
    <x v="2"/>
    <n v="95.93"/>
    <n v="20647.973200000004"/>
    <s v="OK"/>
    <s v="OK"/>
  </r>
  <r>
    <s v="ITEM-1445"/>
    <x v="2"/>
    <x v="2"/>
    <n v="432.11"/>
    <x v="1"/>
    <n v="3054.34"/>
    <n v="1319810.8574000001"/>
    <s v="Over Budget"/>
    <s v="OK"/>
  </r>
  <r>
    <s v="ITEM-1446"/>
    <x v="0"/>
    <x v="1"/>
    <n v="186.49"/>
    <x v="1"/>
    <n v="2791.96"/>
    <n v="520672.62040000001"/>
    <s v="Over Budget"/>
    <s v="OK"/>
  </r>
  <r>
    <s v="ITEM-1447"/>
    <x v="1"/>
    <x v="4"/>
    <n v="107.32"/>
    <x v="1"/>
    <n v="3381.3"/>
    <n v="362881.11599999998"/>
    <s v="Over Budget"/>
    <s v="OK"/>
  </r>
  <r>
    <s v="ITEM-1448"/>
    <x v="8"/>
    <x v="0"/>
    <n v="246.61"/>
    <x v="4"/>
    <n v="1880.42"/>
    <n v="463730.37620000006"/>
    <s v="Over Budget"/>
    <s v="OK"/>
  </r>
  <r>
    <s v="ITEM-1449"/>
    <x v="8"/>
    <x v="2"/>
    <n v="318.49"/>
    <x v="1"/>
    <n v="336.09"/>
    <n v="107041.30409999999"/>
    <s v="Over Budget"/>
    <s v="OK"/>
  </r>
  <r>
    <s v="ITEM-1450"/>
    <x v="0"/>
    <x v="4"/>
    <n v="219.38"/>
    <x v="0"/>
    <n v="4647.79"/>
    <n v="1019632.1701999999"/>
    <s v="Over Budget"/>
    <s v="OK"/>
  </r>
  <r>
    <s v="ITEM-1451"/>
    <x v="6"/>
    <x v="4"/>
    <n v="269.01"/>
    <x v="0"/>
    <n v="1451.86"/>
    <n v="390564.85859999998"/>
    <s v="Over Budget"/>
    <s v="OK"/>
  </r>
  <r>
    <s v="ITEM-1452"/>
    <x v="7"/>
    <x v="3"/>
    <n v="223.65"/>
    <x v="0"/>
    <n v="2813.63"/>
    <n v="629268.34950000001"/>
    <s v="Over Budget"/>
    <s v="OK"/>
  </r>
  <r>
    <s v="ITEM-1453"/>
    <x v="2"/>
    <x v="4"/>
    <n v="67.650000000000006"/>
    <x v="3"/>
    <n v="3743.14"/>
    <n v="253223.421"/>
    <s v="Over Budget"/>
    <s v="OK"/>
  </r>
  <r>
    <s v="ITEM-1454"/>
    <x v="4"/>
    <x v="3"/>
    <n v="407.06"/>
    <x v="3"/>
    <n v="3012.09"/>
    <n v="1226101.3554"/>
    <s v="Over Budget"/>
    <s v="OK"/>
  </r>
  <r>
    <s v="ITEM-1455"/>
    <x v="6"/>
    <x v="3"/>
    <n v="17.96"/>
    <x v="1"/>
    <n v="3873.7"/>
    <n v="69571.652000000002"/>
    <s v="OK"/>
    <s v="OK"/>
  </r>
  <r>
    <s v="ITEM-1456"/>
    <x v="8"/>
    <x v="4"/>
    <n v="344.36"/>
    <x v="3"/>
    <n v="4252.09"/>
    <n v="1464249.7124000001"/>
    <s v="Over Budget"/>
    <s v="OK"/>
  </r>
  <r>
    <s v="ITEM-1457"/>
    <x v="8"/>
    <x v="0"/>
    <n v="76.03"/>
    <x v="0"/>
    <n v="877.82"/>
    <n v="66740.654600000009"/>
    <s v="OK"/>
    <s v="OK"/>
  </r>
  <r>
    <s v="ITEM-1458"/>
    <x v="1"/>
    <x v="1"/>
    <n v="151.18"/>
    <x v="0"/>
    <n v="3627.01"/>
    <n v="548331.37180000008"/>
    <s v="Over Budget"/>
    <s v="OK"/>
  </r>
  <r>
    <s v="ITEM-1459"/>
    <x v="9"/>
    <x v="0"/>
    <n v="478.21"/>
    <x v="3"/>
    <n v="2185.81"/>
    <n v="1045276.2000999999"/>
    <s v="Over Budget"/>
    <s v="OK"/>
  </r>
  <r>
    <s v="ITEM-1460"/>
    <x v="7"/>
    <x v="3"/>
    <n v="84.66"/>
    <x v="1"/>
    <n v="3235.9"/>
    <n v="273951.29399999999"/>
    <s v="Over Budget"/>
    <s v="OK"/>
  </r>
  <r>
    <s v="ITEM-1461"/>
    <x v="6"/>
    <x v="0"/>
    <n v="39.21"/>
    <x v="4"/>
    <n v="4826.6899999999996"/>
    <n v="189254.51489999998"/>
    <s v="Over Budget"/>
    <s v="OK"/>
  </r>
  <r>
    <s v="ITEM-1462"/>
    <x v="1"/>
    <x v="4"/>
    <n v="293.10000000000002"/>
    <x v="1"/>
    <n v="1643.89"/>
    <n v="481824.15900000004"/>
    <s v="Over Budget"/>
    <s v="OK"/>
  </r>
  <r>
    <s v="ITEM-1463"/>
    <x v="5"/>
    <x v="0"/>
    <n v="232.8"/>
    <x v="2"/>
    <n v="2607.8200000000002"/>
    <n v="607100.49600000004"/>
    <s v="Over Budget"/>
    <s v="OK"/>
  </r>
  <r>
    <s v="ITEM-1464"/>
    <x v="3"/>
    <x v="0"/>
    <n v="335.91"/>
    <x v="0"/>
    <n v="4016.19"/>
    <n v="1349078.3829000001"/>
    <s v="Over Budget"/>
    <s v="OK"/>
  </r>
  <r>
    <s v="ITEM-1465"/>
    <x v="8"/>
    <x v="3"/>
    <n v="260.24"/>
    <x v="1"/>
    <n v="3249.93"/>
    <n v="845761.78319999995"/>
    <s v="Over Budget"/>
    <s v="OK"/>
  </r>
  <r>
    <s v="ITEM-1466"/>
    <x v="6"/>
    <x v="3"/>
    <n v="40.98"/>
    <x v="1"/>
    <n v="4585.34"/>
    <n v="187907.23319999999"/>
    <s v="Over Budget"/>
    <s v="OK"/>
  </r>
  <r>
    <s v="ITEM-1467"/>
    <x v="2"/>
    <x v="2"/>
    <n v="136.32"/>
    <x v="2"/>
    <n v="2103.29"/>
    <n v="286720.49280000001"/>
    <s v="Over Budget"/>
    <s v="OK"/>
  </r>
  <r>
    <s v="ITEM-1468"/>
    <x v="1"/>
    <x v="0"/>
    <n v="398.21"/>
    <x v="2"/>
    <n v="3685.13"/>
    <n v="1467455.6173"/>
    <s v="Over Budget"/>
    <s v="OK"/>
  </r>
  <r>
    <s v="ITEM-1469"/>
    <x v="1"/>
    <x v="1"/>
    <n v="152.13999999999999"/>
    <x v="3"/>
    <n v="4599.1499999999996"/>
    <n v="699714.68099999987"/>
    <s v="Over Budget"/>
    <s v="OK"/>
  </r>
  <r>
    <s v="ITEM-1470"/>
    <x v="3"/>
    <x v="1"/>
    <n v="364.47"/>
    <x v="3"/>
    <n v="3329.04"/>
    <n v="1213335.2088000001"/>
    <s v="Over Budget"/>
    <s v="OK"/>
  </r>
  <r>
    <s v="ITEM-1471"/>
    <x v="4"/>
    <x v="1"/>
    <n v="280.70999999999998"/>
    <x v="0"/>
    <n v="393.17"/>
    <n v="110366.75069999999"/>
    <s v="Over Budget"/>
    <s v="OK"/>
  </r>
  <r>
    <s v="ITEM-1472"/>
    <x v="1"/>
    <x v="1"/>
    <n v="154.53"/>
    <x v="4"/>
    <n v="4471.9799999999996"/>
    <n v="691055.06939999992"/>
    <s v="Over Budget"/>
    <s v="OK"/>
  </r>
  <r>
    <s v="ITEM-1473"/>
    <x v="4"/>
    <x v="3"/>
    <n v="106.76"/>
    <x v="4"/>
    <n v="3004.93"/>
    <n v="320806.32679999998"/>
    <s v="Over Budget"/>
    <s v="OK"/>
  </r>
  <r>
    <s v="ITEM-1474"/>
    <x v="9"/>
    <x v="4"/>
    <n v="473.91"/>
    <x v="3"/>
    <n v="828.94"/>
    <n v="392842.95540000004"/>
    <s v="Over Budget"/>
    <s v="OK"/>
  </r>
  <r>
    <s v="ITEM-1475"/>
    <x v="7"/>
    <x v="1"/>
    <n v="490.23"/>
    <x v="0"/>
    <n v="1868.97"/>
    <n v="916225.16310000001"/>
    <s v="Over Budget"/>
    <s v="OK"/>
  </r>
  <r>
    <s v="ITEM-1476"/>
    <x v="0"/>
    <x v="4"/>
    <n v="150.77000000000001"/>
    <x v="1"/>
    <n v="1773.44"/>
    <n v="267381.54880000005"/>
    <s v="Over Budget"/>
    <s v="OK"/>
  </r>
  <r>
    <s v="ITEM-1477"/>
    <x v="9"/>
    <x v="1"/>
    <n v="451.57"/>
    <x v="3"/>
    <n v="1382.47"/>
    <n v="624281.97790000006"/>
    <s v="Over Budget"/>
    <s v="OK"/>
  </r>
  <r>
    <s v="ITEM-1478"/>
    <x v="1"/>
    <x v="1"/>
    <n v="366.99"/>
    <x v="4"/>
    <n v="1969.98"/>
    <n v="722962.96019999997"/>
    <s v="Over Budget"/>
    <s v="OK"/>
  </r>
  <r>
    <s v="ITEM-1479"/>
    <x v="8"/>
    <x v="4"/>
    <n v="172.56"/>
    <x v="0"/>
    <n v="3539.14"/>
    <n v="610713.99840000004"/>
    <s v="Over Budget"/>
    <s v="OK"/>
  </r>
  <r>
    <s v="ITEM-1480"/>
    <x v="8"/>
    <x v="2"/>
    <n v="389.28"/>
    <x v="1"/>
    <n v="2669.21"/>
    <n v="1039070.0687999999"/>
    <s v="Over Budget"/>
    <s v="OK"/>
  </r>
  <r>
    <s v="ITEM-1481"/>
    <x v="5"/>
    <x v="4"/>
    <n v="332.65"/>
    <x v="2"/>
    <n v="995.23"/>
    <n v="331063.25949999999"/>
    <s v="Over Budget"/>
    <s v="OK"/>
  </r>
  <r>
    <s v="ITEM-1482"/>
    <x v="2"/>
    <x v="1"/>
    <n v="431.57"/>
    <x v="4"/>
    <n v="4546.37"/>
    <n v="1962076.9009"/>
    <s v="Over Budget"/>
    <s v="OK"/>
  </r>
  <r>
    <s v="ITEM-1483"/>
    <x v="4"/>
    <x v="1"/>
    <n v="185.68"/>
    <x v="2"/>
    <n v="401.43"/>
    <n v="74537.522400000002"/>
    <s v="OK"/>
    <s v="OK"/>
  </r>
  <r>
    <s v="ITEM-1484"/>
    <x v="0"/>
    <x v="4"/>
    <n v="8.8800000000000008"/>
    <x v="2"/>
    <n v="3583.14"/>
    <n v="31818.283200000002"/>
    <s v="OK"/>
    <s v="OK"/>
  </r>
  <r>
    <s v="ITEM-1485"/>
    <x v="6"/>
    <x v="1"/>
    <n v="36.299999999999997"/>
    <x v="1"/>
    <n v="4187.53"/>
    <n v="152007.33899999998"/>
    <s v="Over Budget"/>
    <s v="OK"/>
  </r>
  <r>
    <s v="ITEM-1486"/>
    <x v="4"/>
    <x v="1"/>
    <n v="381.06"/>
    <x v="4"/>
    <n v="4876.01"/>
    <n v="1858052.3706"/>
    <s v="Over Budget"/>
    <s v="OK"/>
  </r>
  <r>
    <s v="ITEM-1487"/>
    <x v="3"/>
    <x v="3"/>
    <n v="44.41"/>
    <x v="1"/>
    <n v="3249.32"/>
    <n v="144302.30119999999"/>
    <s v="Over Budget"/>
    <s v="OK"/>
  </r>
  <r>
    <s v="ITEM-1488"/>
    <x v="9"/>
    <x v="4"/>
    <n v="174"/>
    <x v="1"/>
    <n v="4091.58"/>
    <n v="711934.92"/>
    <s v="Over Budget"/>
    <s v="OK"/>
  </r>
  <r>
    <s v="ITEM-1489"/>
    <x v="1"/>
    <x v="1"/>
    <n v="115.37"/>
    <x v="0"/>
    <n v="4275.3500000000004"/>
    <n v="493247.12950000004"/>
    <s v="Over Budget"/>
    <s v="OK"/>
  </r>
  <r>
    <s v="ITEM-1490"/>
    <x v="4"/>
    <x v="3"/>
    <n v="95.36"/>
    <x v="3"/>
    <n v="4000.22"/>
    <n v="381460.9792"/>
    <s v="Over Budget"/>
    <s v="OK"/>
  </r>
  <r>
    <s v="ITEM-1491"/>
    <x v="1"/>
    <x v="0"/>
    <n v="55.13"/>
    <x v="1"/>
    <n v="1385.54"/>
    <n v="76384.820200000002"/>
    <s v="OK"/>
    <s v="OK"/>
  </r>
  <r>
    <s v="ITEM-1492"/>
    <x v="1"/>
    <x v="0"/>
    <n v="374.74"/>
    <x v="2"/>
    <n v="3534.15"/>
    <n v="1324387.371"/>
    <s v="Over Budget"/>
    <s v="OK"/>
  </r>
  <r>
    <s v="ITEM-1493"/>
    <x v="0"/>
    <x v="0"/>
    <n v="349.95"/>
    <x v="3"/>
    <n v="1638.4"/>
    <n v="573358.07999999996"/>
    <s v="Over Budget"/>
    <s v="OK"/>
  </r>
  <r>
    <s v="ITEM-1494"/>
    <x v="7"/>
    <x v="3"/>
    <n v="364.97"/>
    <x v="0"/>
    <n v="4420.38"/>
    <n v="1613306.0886000001"/>
    <s v="Over Budget"/>
    <s v="OK"/>
  </r>
  <r>
    <s v="ITEM-1495"/>
    <x v="2"/>
    <x v="1"/>
    <n v="206.97"/>
    <x v="3"/>
    <n v="4091.39"/>
    <n v="846794.98829999997"/>
    <s v="Over Budget"/>
    <s v="OK"/>
  </r>
  <r>
    <s v="ITEM-1496"/>
    <x v="5"/>
    <x v="1"/>
    <n v="390.29"/>
    <x v="3"/>
    <n v="4448.71"/>
    <n v="1736287.0259"/>
    <s v="Over Budget"/>
    <s v="OK"/>
  </r>
  <r>
    <s v="ITEM-1497"/>
    <x v="2"/>
    <x v="1"/>
    <n v="109.68"/>
    <x v="2"/>
    <n v="3700.26"/>
    <n v="405844.51680000004"/>
    <s v="Over Budget"/>
    <s v="OK"/>
  </r>
  <r>
    <s v="ITEM-1498"/>
    <x v="9"/>
    <x v="3"/>
    <n v="125.01"/>
    <x v="2"/>
    <n v="1488.79"/>
    <n v="186113.6379"/>
    <s v="Over Budget"/>
    <s v="OK"/>
  </r>
  <r>
    <s v="ITEM-1499"/>
    <x v="1"/>
    <x v="2"/>
    <n v="150.75"/>
    <x v="3"/>
    <n v="3742.88"/>
    <n v="564239.16"/>
    <s v="Over Budget"/>
    <s v="OK"/>
  </r>
  <r>
    <s v="ITEM-1500"/>
    <x v="0"/>
    <x v="4"/>
    <n v="108.75"/>
    <x v="0"/>
    <n v="4934.32"/>
    <n v="536607.29999999993"/>
    <s v="Over Budget"/>
    <s v="OK"/>
  </r>
  <r>
    <s v="ITEM-1501"/>
    <x v="3"/>
    <x v="3"/>
    <n v="344.81"/>
    <x v="4"/>
    <n v="4051.14"/>
    <n v="1396873.5833999999"/>
    <s v="Over Budget"/>
    <s v="OK"/>
  </r>
  <r>
    <s v="ITEM-1502"/>
    <x v="2"/>
    <x v="0"/>
    <n v="150.26"/>
    <x v="3"/>
    <n v="4232.93"/>
    <n v="636040.06180000002"/>
    <s v="Over Budget"/>
    <s v="OK"/>
  </r>
  <r>
    <s v="ITEM-1503"/>
    <x v="1"/>
    <x v="2"/>
    <n v="466.44"/>
    <x v="3"/>
    <n v="1654.63"/>
    <n v="771785.6172000001"/>
    <s v="Over Budget"/>
    <s v="OK"/>
  </r>
  <r>
    <s v="ITEM-1504"/>
    <x v="3"/>
    <x v="2"/>
    <n v="404.64"/>
    <x v="0"/>
    <n v="3097.82"/>
    <n v="1253501.8848000001"/>
    <s v="Over Budget"/>
    <s v="OK"/>
  </r>
  <r>
    <s v="ITEM-1505"/>
    <x v="3"/>
    <x v="0"/>
    <n v="2.61"/>
    <x v="2"/>
    <n v="980.55"/>
    <n v="2559.2354999999998"/>
    <s v="OK"/>
    <s v="OK"/>
  </r>
  <r>
    <s v="ITEM-1506"/>
    <x v="8"/>
    <x v="0"/>
    <n v="263.2"/>
    <x v="1"/>
    <n v="1390.37"/>
    <n v="365945.38399999996"/>
    <s v="Over Budget"/>
    <s v="OK"/>
  </r>
  <r>
    <s v="ITEM-1507"/>
    <x v="0"/>
    <x v="3"/>
    <n v="80.709999999999994"/>
    <x v="2"/>
    <n v="965.21"/>
    <n v="77902.099099999992"/>
    <s v="OK"/>
    <s v="OK"/>
  </r>
  <r>
    <s v="ITEM-1508"/>
    <x v="4"/>
    <x v="1"/>
    <n v="489.92"/>
    <x v="3"/>
    <n v="839.63"/>
    <n v="411351.52960000001"/>
    <s v="Over Budget"/>
    <s v="OK"/>
  </r>
  <r>
    <s v="ITEM-1509"/>
    <x v="8"/>
    <x v="1"/>
    <n v="59.63"/>
    <x v="3"/>
    <n v="4491.18"/>
    <n v="267809.06340000004"/>
    <s v="Over Budget"/>
    <s v="OK"/>
  </r>
  <r>
    <s v="ITEM-1510"/>
    <x v="3"/>
    <x v="1"/>
    <n v="461.66"/>
    <x v="0"/>
    <n v="4298.72"/>
    <n v="1984547.0752000003"/>
    <s v="Over Budget"/>
    <s v="OK"/>
  </r>
  <r>
    <s v="ITEM-1511"/>
    <x v="2"/>
    <x v="1"/>
    <n v="225.42"/>
    <x v="2"/>
    <n v="2043.01"/>
    <n v="460535.31419999996"/>
    <s v="Over Budget"/>
    <s v="OK"/>
  </r>
  <r>
    <s v="ITEM-1512"/>
    <x v="9"/>
    <x v="4"/>
    <n v="398.3"/>
    <x v="2"/>
    <n v="2570.25"/>
    <n v="1023730.5750000001"/>
    <s v="Over Budget"/>
    <s v="OK"/>
  </r>
  <r>
    <s v="ITEM-1513"/>
    <x v="8"/>
    <x v="2"/>
    <n v="477.99"/>
    <x v="2"/>
    <n v="3910.03"/>
    <n v="1868955.2397"/>
    <s v="Over Budget"/>
    <s v="OK"/>
  </r>
  <r>
    <s v="ITEM-1514"/>
    <x v="6"/>
    <x v="4"/>
    <n v="472.3"/>
    <x v="2"/>
    <n v="1939.68"/>
    <n v="916110.86400000006"/>
    <s v="Over Budget"/>
    <s v="OK"/>
  </r>
  <r>
    <s v="ITEM-1515"/>
    <x v="2"/>
    <x v="2"/>
    <n v="224.11"/>
    <x v="1"/>
    <n v="3924.45"/>
    <n v="879508.48950000003"/>
    <s v="Over Budget"/>
    <s v="OK"/>
  </r>
  <r>
    <s v="ITEM-1516"/>
    <x v="3"/>
    <x v="2"/>
    <n v="380.34"/>
    <x v="0"/>
    <n v="2029.5"/>
    <n v="771900.02999999991"/>
    <s v="Over Budget"/>
    <s v="OK"/>
  </r>
  <r>
    <s v="ITEM-1517"/>
    <x v="3"/>
    <x v="3"/>
    <n v="175.63"/>
    <x v="4"/>
    <n v="1960.67"/>
    <n v="344352.47210000001"/>
    <s v="Over Budget"/>
    <s v="OK"/>
  </r>
  <r>
    <s v="ITEM-1518"/>
    <x v="4"/>
    <x v="4"/>
    <n v="480.78"/>
    <x v="0"/>
    <n v="4535.9399999999996"/>
    <n v="2180789.2331999997"/>
    <s v="Over Budget"/>
    <s v="OK"/>
  </r>
  <r>
    <s v="ITEM-1519"/>
    <x v="8"/>
    <x v="4"/>
    <n v="302.70999999999998"/>
    <x v="4"/>
    <n v="4980.83"/>
    <n v="1507747.0492999998"/>
    <s v="Over Budget"/>
    <s v="OK"/>
  </r>
  <r>
    <s v="ITEM-1520"/>
    <x v="1"/>
    <x v="1"/>
    <n v="325.45"/>
    <x v="3"/>
    <n v="2448.29"/>
    <n v="796795.98049999995"/>
    <s v="Over Budget"/>
    <s v="OK"/>
  </r>
  <r>
    <s v="ITEM-1521"/>
    <x v="6"/>
    <x v="1"/>
    <n v="473.3"/>
    <x v="0"/>
    <n v="287.95"/>
    <n v="136286.73499999999"/>
    <s v="Over Budget"/>
    <s v="OK"/>
  </r>
  <r>
    <s v="ITEM-1522"/>
    <x v="9"/>
    <x v="3"/>
    <n v="390.19"/>
    <x v="0"/>
    <n v="2217.87"/>
    <n v="865390.6952999999"/>
    <s v="Over Budget"/>
    <s v="OK"/>
  </r>
  <r>
    <s v="ITEM-1523"/>
    <x v="8"/>
    <x v="1"/>
    <n v="264.23"/>
    <x v="1"/>
    <n v="3776.9"/>
    <n v="997970.28700000013"/>
    <s v="Over Budget"/>
    <s v="OK"/>
  </r>
  <r>
    <s v="ITEM-1524"/>
    <x v="8"/>
    <x v="2"/>
    <n v="170.85"/>
    <x v="4"/>
    <n v="176.64"/>
    <n v="30178.943999999996"/>
    <s v="OK"/>
    <s v="OK"/>
  </r>
  <r>
    <s v="ITEM-1525"/>
    <x v="0"/>
    <x v="3"/>
    <n v="218.31"/>
    <x v="0"/>
    <n v="2060.8000000000002"/>
    <n v="449893.24800000002"/>
    <s v="Over Budget"/>
    <s v="OK"/>
  </r>
  <r>
    <s v="ITEM-1526"/>
    <x v="2"/>
    <x v="3"/>
    <n v="9.89"/>
    <x v="2"/>
    <n v="202.58"/>
    <n v="2003.5162000000003"/>
    <s v="OK"/>
    <s v="OK"/>
  </r>
  <r>
    <s v="ITEM-1527"/>
    <x v="0"/>
    <x v="2"/>
    <n v="29.72"/>
    <x v="3"/>
    <n v="540.25"/>
    <n v="16056.23"/>
    <s v="OK"/>
    <s v="OK"/>
  </r>
  <r>
    <s v="ITEM-1528"/>
    <x v="0"/>
    <x v="4"/>
    <n v="29.65"/>
    <x v="4"/>
    <n v="432.72"/>
    <n v="12830.148000000001"/>
    <s v="OK"/>
    <s v="OK"/>
  </r>
  <r>
    <s v="ITEM-1529"/>
    <x v="7"/>
    <x v="2"/>
    <n v="291.73"/>
    <x v="0"/>
    <n v="3723.71"/>
    <n v="1086317.9183"/>
    <s v="Over Budget"/>
    <s v="OK"/>
  </r>
  <r>
    <s v="ITEM-1530"/>
    <x v="1"/>
    <x v="3"/>
    <n v="65.959999999999994"/>
    <x v="3"/>
    <n v="2915.57"/>
    <n v="192310.99719999998"/>
    <s v="Over Budget"/>
    <s v="OK"/>
  </r>
  <r>
    <s v="ITEM-1531"/>
    <x v="0"/>
    <x v="3"/>
    <n v="381.53"/>
    <x v="4"/>
    <n v="209.28"/>
    <n v="79846.598399999988"/>
    <s v="OK"/>
    <s v="OK"/>
  </r>
  <r>
    <s v="ITEM-1532"/>
    <x v="8"/>
    <x v="1"/>
    <n v="198.86"/>
    <x v="2"/>
    <n v="2972.87"/>
    <n v="591184.92819999997"/>
    <s v="Over Budget"/>
    <s v="OK"/>
  </r>
  <r>
    <s v="ITEM-1533"/>
    <x v="8"/>
    <x v="0"/>
    <n v="73.34"/>
    <x v="2"/>
    <n v="2515.23"/>
    <n v="184466.9682"/>
    <s v="Over Budget"/>
    <s v="OK"/>
  </r>
  <r>
    <s v="ITEM-1534"/>
    <x v="5"/>
    <x v="2"/>
    <n v="174.8"/>
    <x v="2"/>
    <n v="937.69"/>
    <n v="163908.21200000003"/>
    <s v="Over Budget"/>
    <s v="OK"/>
  </r>
  <r>
    <s v="ITEM-1535"/>
    <x v="2"/>
    <x v="0"/>
    <n v="352.07"/>
    <x v="2"/>
    <n v="2907.8"/>
    <n v="1023749.1460000001"/>
    <s v="Over Budget"/>
    <s v="OK"/>
  </r>
  <r>
    <s v="ITEM-1536"/>
    <x v="1"/>
    <x v="3"/>
    <n v="65.209999999999994"/>
    <x v="1"/>
    <n v="1907.31"/>
    <n v="124375.68509999999"/>
    <s v="Over Budget"/>
    <s v="OK"/>
  </r>
  <r>
    <s v="ITEM-1537"/>
    <x v="3"/>
    <x v="4"/>
    <n v="214.6"/>
    <x v="0"/>
    <n v="4936.3900000000003"/>
    <n v="1059349.294"/>
    <s v="Over Budget"/>
    <s v="OK"/>
  </r>
  <r>
    <s v="ITEM-1538"/>
    <x v="9"/>
    <x v="4"/>
    <n v="143.05000000000001"/>
    <x v="1"/>
    <n v="4506.5200000000004"/>
    <n v="644657.6860000001"/>
    <s v="Over Budget"/>
    <s v="OK"/>
  </r>
  <r>
    <s v="ITEM-1539"/>
    <x v="7"/>
    <x v="4"/>
    <n v="165.77"/>
    <x v="3"/>
    <n v="4217.88"/>
    <n v="699197.96760000009"/>
    <s v="Over Budget"/>
    <s v="OK"/>
  </r>
  <r>
    <s v="ITEM-1540"/>
    <x v="9"/>
    <x v="2"/>
    <n v="402.46"/>
    <x v="3"/>
    <n v="2468.4899999999998"/>
    <n v="993468.48539999989"/>
    <s v="Over Budget"/>
    <s v="OK"/>
  </r>
  <r>
    <s v="ITEM-1541"/>
    <x v="9"/>
    <x v="0"/>
    <n v="465.92"/>
    <x v="4"/>
    <n v="4675.8500000000004"/>
    <n v="2178572.0320000001"/>
    <s v="Over Budget"/>
    <s v="OK"/>
  </r>
  <r>
    <s v="ITEM-1542"/>
    <x v="1"/>
    <x v="3"/>
    <n v="341.71"/>
    <x v="0"/>
    <n v="4013.49"/>
    <n v="1371449.6678999998"/>
    <s v="Over Budget"/>
    <s v="OK"/>
  </r>
  <r>
    <s v="ITEM-1543"/>
    <x v="6"/>
    <x v="0"/>
    <n v="484.65"/>
    <x v="3"/>
    <n v="3066.31"/>
    <n v="1486087.1414999999"/>
    <s v="Over Budget"/>
    <s v="OK"/>
  </r>
  <r>
    <s v="ITEM-1544"/>
    <x v="5"/>
    <x v="4"/>
    <n v="179.45"/>
    <x v="0"/>
    <n v="3254.99"/>
    <n v="584107.95549999992"/>
    <s v="Over Budget"/>
    <s v="OK"/>
  </r>
  <r>
    <s v="ITEM-1545"/>
    <x v="5"/>
    <x v="3"/>
    <n v="178.41"/>
    <x v="4"/>
    <n v="1894.87"/>
    <n v="338063.75669999997"/>
    <s v="Over Budget"/>
    <s v="OK"/>
  </r>
  <r>
    <s v="ITEM-1546"/>
    <x v="3"/>
    <x v="1"/>
    <n v="51.79"/>
    <x v="1"/>
    <n v="1748.6"/>
    <n v="90559.993999999992"/>
    <s v="OK"/>
    <s v="OK"/>
  </r>
  <r>
    <s v="ITEM-1547"/>
    <x v="5"/>
    <x v="2"/>
    <n v="149.09"/>
    <x v="1"/>
    <n v="3924.46"/>
    <n v="585097.74140000006"/>
    <s v="Over Budget"/>
    <s v="OK"/>
  </r>
  <r>
    <s v="ITEM-1548"/>
    <x v="1"/>
    <x v="0"/>
    <n v="266.91000000000003"/>
    <x v="3"/>
    <n v="1593.84"/>
    <n v="425411.83439999999"/>
    <s v="Over Budget"/>
    <s v="OK"/>
  </r>
  <r>
    <s v="ITEM-1549"/>
    <x v="8"/>
    <x v="2"/>
    <n v="392.67"/>
    <x v="0"/>
    <n v="1065.78"/>
    <n v="418499.83260000002"/>
    <s v="Over Budget"/>
    <s v="OK"/>
  </r>
  <r>
    <s v="ITEM-1550"/>
    <x v="8"/>
    <x v="1"/>
    <n v="272.10000000000002"/>
    <x v="3"/>
    <n v="2158.81"/>
    <n v="587412.201"/>
    <s v="Over Budget"/>
    <s v="OK"/>
  </r>
  <r>
    <s v="ITEM-1551"/>
    <x v="1"/>
    <x v="1"/>
    <n v="388.1"/>
    <x v="4"/>
    <n v="4730.8500000000004"/>
    <n v="1836042.8850000002"/>
    <s v="Over Budget"/>
    <s v="OK"/>
  </r>
  <r>
    <s v="ITEM-1552"/>
    <x v="4"/>
    <x v="0"/>
    <n v="442.65"/>
    <x v="3"/>
    <n v="2544.38"/>
    <n v="1126269.807"/>
    <s v="Over Budget"/>
    <s v="OK"/>
  </r>
  <r>
    <s v="ITEM-1553"/>
    <x v="4"/>
    <x v="4"/>
    <n v="374.45"/>
    <x v="4"/>
    <n v="2902.81"/>
    <n v="1086957.2045"/>
    <s v="Over Budget"/>
    <s v="OK"/>
  </r>
  <r>
    <s v="ITEM-1554"/>
    <x v="9"/>
    <x v="4"/>
    <n v="241.94"/>
    <x v="2"/>
    <n v="1027.46"/>
    <n v="248583.67240000001"/>
    <s v="Over Budget"/>
    <s v="OK"/>
  </r>
  <r>
    <s v="ITEM-1555"/>
    <x v="0"/>
    <x v="0"/>
    <n v="424.13"/>
    <x v="4"/>
    <n v="170.75"/>
    <n v="72420.197499999995"/>
    <s v="OK"/>
    <s v="OK"/>
  </r>
  <r>
    <s v="ITEM-1556"/>
    <x v="2"/>
    <x v="2"/>
    <n v="20.86"/>
    <x v="4"/>
    <n v="1081.42"/>
    <n v="22558.421200000001"/>
    <s v="OK"/>
    <s v="OK"/>
  </r>
  <r>
    <s v="ITEM-1557"/>
    <x v="0"/>
    <x v="0"/>
    <n v="147"/>
    <x v="3"/>
    <n v="1903.6"/>
    <n v="279829.2"/>
    <s v="Over Budget"/>
    <s v="OK"/>
  </r>
  <r>
    <s v="ITEM-1558"/>
    <x v="3"/>
    <x v="4"/>
    <n v="33.47"/>
    <x v="0"/>
    <n v="3029.36"/>
    <n v="101392.6792"/>
    <s v="Over Budget"/>
    <s v="OK"/>
  </r>
  <r>
    <s v="ITEM-1559"/>
    <x v="3"/>
    <x v="1"/>
    <n v="426.24"/>
    <x v="3"/>
    <n v="1515.62"/>
    <n v="646017.86879999994"/>
    <s v="Over Budget"/>
    <s v="OK"/>
  </r>
  <r>
    <s v="ITEM-1560"/>
    <x v="2"/>
    <x v="0"/>
    <n v="283.97000000000003"/>
    <x v="2"/>
    <n v="328.58"/>
    <n v="93306.862600000008"/>
    <s v="OK"/>
    <s v="OK"/>
  </r>
  <r>
    <s v="ITEM-1561"/>
    <x v="3"/>
    <x v="2"/>
    <n v="227.71"/>
    <x v="2"/>
    <n v="2413.64"/>
    <n v="549609.96439999994"/>
    <s v="Over Budget"/>
    <s v="OK"/>
  </r>
  <r>
    <s v="ITEM-1562"/>
    <x v="6"/>
    <x v="1"/>
    <n v="165.38"/>
    <x v="0"/>
    <n v="2735.85"/>
    <n v="452454.87299999996"/>
    <s v="Over Budget"/>
    <s v="OK"/>
  </r>
  <r>
    <s v="ITEM-1563"/>
    <x v="2"/>
    <x v="4"/>
    <n v="175.63"/>
    <x v="3"/>
    <n v="2931.84"/>
    <n v="514919.05920000002"/>
    <s v="Over Budget"/>
    <s v="OK"/>
  </r>
  <r>
    <s v="ITEM-1564"/>
    <x v="6"/>
    <x v="2"/>
    <n v="289.44"/>
    <x v="1"/>
    <n v="2931.78"/>
    <n v="848574.40320000006"/>
    <s v="Over Budget"/>
    <s v="OK"/>
  </r>
  <r>
    <s v="ITEM-1565"/>
    <x v="4"/>
    <x v="0"/>
    <n v="376.91"/>
    <x v="0"/>
    <n v="2978.49"/>
    <n v="1122622.6658999999"/>
    <s v="Over Budget"/>
    <s v="OK"/>
  </r>
  <r>
    <s v="ITEM-1566"/>
    <x v="9"/>
    <x v="1"/>
    <n v="195.53"/>
    <x v="1"/>
    <n v="2491.59"/>
    <n v="487180.59270000004"/>
    <s v="Over Budget"/>
    <s v="OK"/>
  </r>
  <r>
    <s v="ITEM-1567"/>
    <x v="9"/>
    <x v="0"/>
    <n v="302.88"/>
    <x v="2"/>
    <n v="1179.07"/>
    <n v="357116.72159999999"/>
    <s v="Over Budget"/>
    <s v="OK"/>
  </r>
  <r>
    <s v="ITEM-1568"/>
    <x v="6"/>
    <x v="0"/>
    <n v="64.239999999999995"/>
    <x v="0"/>
    <n v="4986.3599999999997"/>
    <n v="320323.76639999996"/>
    <s v="Over Budget"/>
    <s v="OK"/>
  </r>
  <r>
    <s v="ITEM-1569"/>
    <x v="9"/>
    <x v="3"/>
    <n v="410.06"/>
    <x v="4"/>
    <n v="4379.66"/>
    <n v="1795923.3795999999"/>
    <s v="Over Budget"/>
    <s v="OK"/>
  </r>
  <r>
    <s v="ITEM-1570"/>
    <x v="9"/>
    <x v="3"/>
    <n v="82.73"/>
    <x v="4"/>
    <n v="4221.43"/>
    <n v="349238.90390000003"/>
    <s v="Over Budget"/>
    <s v="OK"/>
  </r>
  <r>
    <s v="ITEM-1571"/>
    <x v="0"/>
    <x v="4"/>
    <n v="271.10000000000002"/>
    <x v="3"/>
    <n v="1172.68"/>
    <n v="317913.54800000007"/>
    <s v="Over Budget"/>
    <s v="OK"/>
  </r>
  <r>
    <s v="ITEM-1572"/>
    <x v="1"/>
    <x v="0"/>
    <n v="453.02"/>
    <x v="0"/>
    <n v="3588.85"/>
    <n v="1625820.8269999998"/>
    <s v="Over Budget"/>
    <s v="OK"/>
  </r>
  <r>
    <s v="ITEM-1573"/>
    <x v="1"/>
    <x v="4"/>
    <n v="367.09"/>
    <x v="3"/>
    <n v="1607.78"/>
    <n v="590199.96019999997"/>
    <s v="Over Budget"/>
    <s v="OK"/>
  </r>
  <r>
    <s v="ITEM-1574"/>
    <x v="3"/>
    <x v="0"/>
    <n v="111.38"/>
    <x v="4"/>
    <n v="4222.8100000000004"/>
    <n v="470336.57780000003"/>
    <s v="Over Budget"/>
    <s v="OK"/>
  </r>
  <r>
    <s v="ITEM-1575"/>
    <x v="5"/>
    <x v="3"/>
    <n v="438.86"/>
    <x v="0"/>
    <n v="195.24"/>
    <n v="85683.026400000002"/>
    <s v="OK"/>
    <s v="OK"/>
  </r>
  <r>
    <s v="ITEM-1576"/>
    <x v="6"/>
    <x v="0"/>
    <n v="423.64"/>
    <x v="4"/>
    <n v="97.52"/>
    <n v="41313.372799999997"/>
    <s v="OK"/>
    <s v="OK"/>
  </r>
  <r>
    <s v="ITEM-1577"/>
    <x v="6"/>
    <x v="3"/>
    <n v="230.61"/>
    <x v="4"/>
    <n v="2882.14"/>
    <n v="664650.30539999995"/>
    <s v="Over Budget"/>
    <s v="OK"/>
  </r>
  <r>
    <s v="ITEM-1578"/>
    <x v="5"/>
    <x v="3"/>
    <n v="25.89"/>
    <x v="0"/>
    <n v="1808.5"/>
    <n v="46822.065000000002"/>
    <s v="OK"/>
    <s v="OK"/>
  </r>
  <r>
    <s v="ITEM-1579"/>
    <x v="5"/>
    <x v="4"/>
    <n v="374.82"/>
    <x v="3"/>
    <n v="2581.5"/>
    <n v="967597.83"/>
    <s v="Over Budget"/>
    <s v="OK"/>
  </r>
  <r>
    <s v="ITEM-1580"/>
    <x v="7"/>
    <x v="0"/>
    <n v="65.37"/>
    <x v="2"/>
    <n v="3644.51"/>
    <n v="238241.61870000002"/>
    <s v="Over Budget"/>
    <s v="OK"/>
  </r>
  <r>
    <s v="ITEM-1581"/>
    <x v="0"/>
    <x v="3"/>
    <n v="299.3"/>
    <x v="3"/>
    <n v="2370.5700000000002"/>
    <n v="709511.60100000002"/>
    <s v="Over Budget"/>
    <s v="OK"/>
  </r>
  <r>
    <s v="ITEM-1582"/>
    <x v="2"/>
    <x v="2"/>
    <n v="137.38"/>
    <x v="3"/>
    <n v="3568.37"/>
    <n v="490222.67059999995"/>
    <s v="Over Budget"/>
    <s v="OK"/>
  </r>
  <r>
    <s v="ITEM-1583"/>
    <x v="5"/>
    <x v="0"/>
    <n v="5.93"/>
    <x v="1"/>
    <n v="3312.34"/>
    <n v="19642.176200000002"/>
    <s v="OK"/>
    <s v="OK"/>
  </r>
  <r>
    <s v="ITEM-1584"/>
    <x v="5"/>
    <x v="2"/>
    <n v="15.06"/>
    <x v="4"/>
    <n v="1297.83"/>
    <n v="19545.319800000001"/>
    <s v="OK"/>
    <s v="OK"/>
  </r>
  <r>
    <s v="ITEM-1585"/>
    <x v="0"/>
    <x v="3"/>
    <n v="176.15"/>
    <x v="2"/>
    <n v="1443.22"/>
    <n v="254223.20300000001"/>
    <s v="Over Budget"/>
    <s v="OK"/>
  </r>
  <r>
    <s v="ITEM-1586"/>
    <x v="2"/>
    <x v="2"/>
    <n v="66.56"/>
    <x v="3"/>
    <n v="1453.64"/>
    <n v="96754.27840000001"/>
    <s v="OK"/>
    <s v="OK"/>
  </r>
  <r>
    <s v="ITEM-1587"/>
    <x v="2"/>
    <x v="0"/>
    <n v="254.28"/>
    <x v="1"/>
    <n v="1987.95"/>
    <n v="505495.92600000004"/>
    <s v="Over Budget"/>
    <s v="OK"/>
  </r>
  <r>
    <s v="ITEM-1588"/>
    <x v="4"/>
    <x v="1"/>
    <n v="455.69"/>
    <x v="0"/>
    <n v="3394.1"/>
    <n v="1546657.429"/>
    <s v="Over Budget"/>
    <s v="OK"/>
  </r>
  <r>
    <s v="ITEM-1589"/>
    <x v="0"/>
    <x v="2"/>
    <n v="84.53"/>
    <x v="4"/>
    <n v="2400.15"/>
    <n v="202884.6795"/>
    <s v="Over Budget"/>
    <s v="OK"/>
  </r>
  <r>
    <s v="ITEM-1590"/>
    <x v="6"/>
    <x v="1"/>
    <n v="102.52"/>
    <x v="4"/>
    <n v="4537.38"/>
    <n v="465172.19760000001"/>
    <s v="Over Budget"/>
    <s v="OK"/>
  </r>
  <r>
    <s v="ITEM-1591"/>
    <x v="4"/>
    <x v="1"/>
    <n v="328.72"/>
    <x v="3"/>
    <n v="3990.45"/>
    <n v="1311740.7240000002"/>
    <s v="Over Budget"/>
    <s v="OK"/>
  </r>
  <r>
    <s v="ITEM-1592"/>
    <x v="8"/>
    <x v="2"/>
    <n v="50.46"/>
    <x v="2"/>
    <n v="2314.38"/>
    <n v="116783.61480000001"/>
    <s v="Over Budget"/>
    <s v="OK"/>
  </r>
  <r>
    <s v="ITEM-1593"/>
    <x v="4"/>
    <x v="0"/>
    <n v="276.19"/>
    <x v="0"/>
    <n v="4358.18"/>
    <n v="1203685.7342000001"/>
    <s v="Over Budget"/>
    <s v="OK"/>
  </r>
  <r>
    <s v="ITEM-1594"/>
    <x v="2"/>
    <x v="1"/>
    <n v="300.61"/>
    <x v="1"/>
    <n v="968.34"/>
    <n v="291092.6874"/>
    <s v="Over Budget"/>
    <s v="OK"/>
  </r>
  <r>
    <s v="ITEM-1595"/>
    <x v="6"/>
    <x v="3"/>
    <n v="488.81"/>
    <x v="4"/>
    <n v="1592.19"/>
    <n v="778278.39390000002"/>
    <s v="Over Budget"/>
    <s v="OK"/>
  </r>
  <r>
    <s v="ITEM-1596"/>
    <x v="8"/>
    <x v="3"/>
    <n v="414.48"/>
    <x v="1"/>
    <n v="3461.14"/>
    <n v="1434573.3071999999"/>
    <s v="Over Budget"/>
    <s v="OK"/>
  </r>
  <r>
    <s v="ITEM-1597"/>
    <x v="1"/>
    <x v="1"/>
    <n v="349.43"/>
    <x v="2"/>
    <n v="2646.53"/>
    <n v="924776.97790000006"/>
    <s v="Over Budget"/>
    <s v="OK"/>
  </r>
  <r>
    <s v="ITEM-1598"/>
    <x v="0"/>
    <x v="0"/>
    <n v="112.61"/>
    <x v="3"/>
    <n v="4811.25"/>
    <n v="541794.86250000005"/>
    <s v="Over Budget"/>
    <s v="OK"/>
  </r>
  <r>
    <s v="ITEM-1599"/>
    <x v="8"/>
    <x v="4"/>
    <n v="452.2"/>
    <x v="2"/>
    <n v="192.49"/>
    <n v="87043.978000000003"/>
    <s v="OK"/>
    <s v="OK"/>
  </r>
  <r>
    <s v="ITEM-1600"/>
    <x v="8"/>
    <x v="1"/>
    <n v="13.76"/>
    <x v="1"/>
    <n v="4596.66"/>
    <n v="63250.041599999997"/>
    <s v="OK"/>
    <s v="OK"/>
  </r>
  <r>
    <s v="ITEM-1601"/>
    <x v="9"/>
    <x v="2"/>
    <n v="72.63"/>
    <x v="4"/>
    <n v="767.41"/>
    <n v="55736.988299999997"/>
    <s v="OK"/>
    <s v="OK"/>
  </r>
  <r>
    <s v="ITEM-1602"/>
    <x v="6"/>
    <x v="2"/>
    <n v="148.09"/>
    <x v="4"/>
    <n v="720.9"/>
    <n v="106758.08100000001"/>
    <s v="Over Budget"/>
    <s v="OK"/>
  </r>
  <r>
    <s v="ITEM-1603"/>
    <x v="4"/>
    <x v="1"/>
    <n v="300.05"/>
    <x v="4"/>
    <n v="2347.08"/>
    <n v="704241.35400000005"/>
    <s v="Over Budget"/>
    <s v="OK"/>
  </r>
  <r>
    <s v="ITEM-1604"/>
    <x v="6"/>
    <x v="4"/>
    <n v="269.8"/>
    <x v="3"/>
    <n v="840.46"/>
    <n v="226756.10800000001"/>
    <s v="Over Budget"/>
    <s v="OK"/>
  </r>
  <r>
    <s v="ITEM-1605"/>
    <x v="0"/>
    <x v="0"/>
    <n v="429.89"/>
    <x v="0"/>
    <n v="2771.2"/>
    <n v="1191311.1679999998"/>
    <s v="Over Budget"/>
    <s v="OK"/>
  </r>
  <r>
    <s v="ITEM-1606"/>
    <x v="3"/>
    <x v="0"/>
    <n v="83.31"/>
    <x v="4"/>
    <n v="143.56"/>
    <n v="11959.983600000001"/>
    <s v="OK"/>
    <s v="OK"/>
  </r>
  <r>
    <s v="ITEM-1607"/>
    <x v="3"/>
    <x v="0"/>
    <n v="253.75"/>
    <x v="0"/>
    <n v="3579.25"/>
    <n v="908234.6875"/>
    <s v="Over Budget"/>
    <s v="OK"/>
  </r>
  <r>
    <s v="ITEM-1608"/>
    <x v="5"/>
    <x v="2"/>
    <n v="263.27"/>
    <x v="0"/>
    <n v="3143.38"/>
    <n v="827557.65259999991"/>
    <s v="Over Budget"/>
    <s v="OK"/>
  </r>
  <r>
    <s v="ITEM-1609"/>
    <x v="4"/>
    <x v="2"/>
    <n v="312.5"/>
    <x v="4"/>
    <n v="2636.35"/>
    <n v="823859.375"/>
    <s v="Over Budget"/>
    <s v="OK"/>
  </r>
  <r>
    <s v="ITEM-1610"/>
    <x v="4"/>
    <x v="0"/>
    <n v="141.87"/>
    <x v="2"/>
    <n v="4598.4799999999996"/>
    <n v="652386.35759999999"/>
    <s v="Over Budget"/>
    <s v="OK"/>
  </r>
  <r>
    <s v="ITEM-1611"/>
    <x v="2"/>
    <x v="1"/>
    <n v="183.99"/>
    <x v="1"/>
    <n v="2265.58"/>
    <n v="416844.06420000002"/>
    <s v="Over Budget"/>
    <s v="OK"/>
  </r>
  <r>
    <s v="ITEM-1612"/>
    <x v="0"/>
    <x v="2"/>
    <n v="164.64"/>
    <x v="2"/>
    <n v="1128.25"/>
    <n v="185755.08"/>
    <s v="Over Budget"/>
    <s v="OK"/>
  </r>
  <r>
    <s v="ITEM-1613"/>
    <x v="0"/>
    <x v="3"/>
    <n v="188.91"/>
    <x v="1"/>
    <n v="2612.2399999999998"/>
    <n v="493478.25839999993"/>
    <s v="Over Budget"/>
    <s v="OK"/>
  </r>
  <r>
    <s v="ITEM-1614"/>
    <x v="9"/>
    <x v="2"/>
    <n v="408.35"/>
    <x v="1"/>
    <n v="3549.82"/>
    <n v="1449568.9970000002"/>
    <s v="Over Budget"/>
    <s v="OK"/>
  </r>
  <r>
    <s v="ITEM-1615"/>
    <x v="8"/>
    <x v="4"/>
    <n v="102.96"/>
    <x v="2"/>
    <n v="3366.85"/>
    <n v="346650.87599999999"/>
    <s v="Over Budget"/>
    <s v="OK"/>
  </r>
  <r>
    <s v="ITEM-1616"/>
    <x v="4"/>
    <x v="4"/>
    <n v="231.61"/>
    <x v="0"/>
    <n v="634.54"/>
    <n v="146965.8094"/>
    <s v="Over Budget"/>
    <s v="OK"/>
  </r>
  <r>
    <s v="ITEM-1617"/>
    <x v="2"/>
    <x v="4"/>
    <n v="147.21"/>
    <x v="3"/>
    <n v="4392.2"/>
    <n v="646575.76199999999"/>
    <s v="Over Budget"/>
    <s v="OK"/>
  </r>
  <r>
    <s v="ITEM-1618"/>
    <x v="3"/>
    <x v="1"/>
    <n v="332.48"/>
    <x v="2"/>
    <n v="3766.86"/>
    <n v="1252405.6128"/>
    <s v="Over Budget"/>
    <s v="OK"/>
  </r>
  <r>
    <s v="ITEM-1619"/>
    <x v="3"/>
    <x v="4"/>
    <n v="9.84"/>
    <x v="0"/>
    <n v="2201.46"/>
    <n v="21662.366399999999"/>
    <s v="OK"/>
    <s v="OK"/>
  </r>
  <r>
    <s v="ITEM-1620"/>
    <x v="0"/>
    <x v="4"/>
    <n v="275.89"/>
    <x v="4"/>
    <n v="1941.86"/>
    <n v="535739.75539999991"/>
    <s v="Over Budget"/>
    <s v="OK"/>
  </r>
  <r>
    <s v="ITEM-1621"/>
    <x v="2"/>
    <x v="0"/>
    <n v="320.02"/>
    <x v="1"/>
    <n v="4023.36"/>
    <n v="1287555.6672"/>
    <s v="Over Budget"/>
    <s v="OK"/>
  </r>
  <r>
    <s v="ITEM-1622"/>
    <x v="2"/>
    <x v="1"/>
    <n v="456.23"/>
    <x v="4"/>
    <n v="261.02999999999997"/>
    <n v="119089.7169"/>
    <s v="Over Budget"/>
    <s v="OK"/>
  </r>
  <r>
    <s v="ITEM-1623"/>
    <x v="6"/>
    <x v="1"/>
    <n v="335.83"/>
    <x v="1"/>
    <n v="3897.32"/>
    <n v="1308836.9756"/>
    <s v="Over Budget"/>
    <s v="OK"/>
  </r>
  <r>
    <s v="ITEM-1624"/>
    <x v="3"/>
    <x v="1"/>
    <n v="182.12"/>
    <x v="4"/>
    <n v="4670.59"/>
    <n v="850607.85080000001"/>
    <s v="Over Budget"/>
    <s v="OK"/>
  </r>
  <r>
    <s v="ITEM-1625"/>
    <x v="7"/>
    <x v="1"/>
    <n v="309.17"/>
    <x v="2"/>
    <n v="1265.93"/>
    <n v="391387.57810000004"/>
    <s v="Over Budget"/>
    <s v="OK"/>
  </r>
  <r>
    <s v="ITEM-1626"/>
    <x v="3"/>
    <x v="1"/>
    <n v="455.48"/>
    <x v="0"/>
    <n v="3924.62"/>
    <n v="1787585.9176"/>
    <s v="Over Budget"/>
    <s v="OK"/>
  </r>
  <r>
    <s v="ITEM-1627"/>
    <x v="1"/>
    <x v="2"/>
    <n v="227.84"/>
    <x v="2"/>
    <n v="2212.31"/>
    <n v="504052.71039999998"/>
    <s v="Over Budget"/>
    <s v="OK"/>
  </r>
  <r>
    <s v="ITEM-1628"/>
    <x v="0"/>
    <x v="1"/>
    <n v="44.09"/>
    <x v="0"/>
    <n v="4805.3"/>
    <n v="211865.67700000003"/>
    <s v="Over Budget"/>
    <s v="OK"/>
  </r>
  <r>
    <s v="ITEM-1629"/>
    <x v="8"/>
    <x v="1"/>
    <n v="25.79"/>
    <x v="0"/>
    <n v="4765.6400000000003"/>
    <n v="122905.85560000001"/>
    <s v="Over Budget"/>
    <s v="OK"/>
  </r>
  <r>
    <s v="ITEM-1630"/>
    <x v="9"/>
    <x v="4"/>
    <n v="36.15"/>
    <x v="1"/>
    <n v="3771.53"/>
    <n v="136340.8095"/>
    <s v="Over Budget"/>
    <s v="OK"/>
  </r>
  <r>
    <s v="ITEM-1631"/>
    <x v="8"/>
    <x v="1"/>
    <n v="363.57"/>
    <x v="4"/>
    <n v="1087.1099999999999"/>
    <n v="395240.58269999997"/>
    <s v="Over Budget"/>
    <s v="OK"/>
  </r>
  <r>
    <s v="ITEM-1632"/>
    <x v="9"/>
    <x v="2"/>
    <n v="445.9"/>
    <x v="0"/>
    <n v="1269.4000000000001"/>
    <n v="566025.46"/>
    <s v="Over Budget"/>
    <s v="OK"/>
  </r>
  <r>
    <s v="ITEM-1633"/>
    <x v="8"/>
    <x v="3"/>
    <n v="375.65"/>
    <x v="1"/>
    <n v="2060.67"/>
    <n v="774090.68550000002"/>
    <s v="Over Budget"/>
    <s v="OK"/>
  </r>
  <r>
    <s v="ITEM-1634"/>
    <x v="2"/>
    <x v="4"/>
    <n v="64.989999999999995"/>
    <x v="0"/>
    <n v="2053.12"/>
    <n v="133432.26879999999"/>
    <s v="Over Budget"/>
    <s v="OK"/>
  </r>
  <r>
    <s v="ITEM-1635"/>
    <x v="9"/>
    <x v="1"/>
    <n v="19.34"/>
    <x v="3"/>
    <n v="4461.43"/>
    <n v="86284.056200000006"/>
    <s v="OK"/>
    <s v="OK"/>
  </r>
  <r>
    <s v="ITEM-1636"/>
    <x v="2"/>
    <x v="2"/>
    <n v="345.39"/>
    <x v="3"/>
    <n v="4446.6000000000004"/>
    <n v="1535811.1740000001"/>
    <s v="Over Budget"/>
    <s v="OK"/>
  </r>
  <r>
    <s v="ITEM-1637"/>
    <x v="4"/>
    <x v="2"/>
    <n v="314.92"/>
    <x v="3"/>
    <n v="4523.3500000000004"/>
    <n v="1424493.3820000002"/>
    <s v="Over Budget"/>
    <s v="OK"/>
  </r>
  <r>
    <s v="ITEM-1638"/>
    <x v="6"/>
    <x v="4"/>
    <n v="314.49"/>
    <x v="4"/>
    <n v="2919.5"/>
    <n v="918153.55500000005"/>
    <s v="Over Budget"/>
    <s v="OK"/>
  </r>
  <r>
    <s v="ITEM-1639"/>
    <x v="6"/>
    <x v="4"/>
    <n v="220.45"/>
    <x v="0"/>
    <n v="1908.79"/>
    <n v="420792.75549999997"/>
    <s v="Over Budget"/>
    <s v="OK"/>
  </r>
  <r>
    <s v="ITEM-1640"/>
    <x v="5"/>
    <x v="2"/>
    <n v="498.69"/>
    <x v="0"/>
    <n v="1287.97"/>
    <n v="642297.75930000003"/>
    <s v="Over Budget"/>
    <s v="OK"/>
  </r>
  <r>
    <s v="ITEM-1641"/>
    <x v="2"/>
    <x v="4"/>
    <n v="184.33"/>
    <x v="0"/>
    <n v="3200.66"/>
    <n v="589977.65780000004"/>
    <s v="Over Budget"/>
    <s v="OK"/>
  </r>
  <r>
    <s v="ITEM-1642"/>
    <x v="5"/>
    <x v="1"/>
    <n v="427.47"/>
    <x v="1"/>
    <n v="643.4"/>
    <n v="275034.19800000003"/>
    <s v="Over Budget"/>
    <s v="OK"/>
  </r>
  <r>
    <s v="ITEM-1643"/>
    <x v="6"/>
    <x v="0"/>
    <n v="224.88"/>
    <x v="3"/>
    <n v="471.73"/>
    <n v="106082.6424"/>
    <s v="Over Budget"/>
    <s v="OK"/>
  </r>
  <r>
    <s v="ITEM-1644"/>
    <x v="8"/>
    <x v="2"/>
    <n v="57.67"/>
    <x v="3"/>
    <n v="4176.16"/>
    <n v="240839.14720000001"/>
    <s v="Over Budget"/>
    <s v="OK"/>
  </r>
  <r>
    <s v="ITEM-1645"/>
    <x v="4"/>
    <x v="1"/>
    <n v="240.12"/>
    <x v="2"/>
    <n v="4596.1400000000003"/>
    <n v="1103625.1368000002"/>
    <s v="Over Budget"/>
    <s v="OK"/>
  </r>
  <r>
    <s v="ITEM-1646"/>
    <x v="4"/>
    <x v="2"/>
    <n v="167.03"/>
    <x v="3"/>
    <n v="1260.97"/>
    <n v="210619.81909999999"/>
    <s v="Over Budget"/>
    <s v="OK"/>
  </r>
  <r>
    <s v="ITEM-1647"/>
    <x v="3"/>
    <x v="0"/>
    <n v="263.61"/>
    <x v="3"/>
    <n v="1880.23"/>
    <n v="495647.43030000001"/>
    <s v="Over Budget"/>
    <s v="OK"/>
  </r>
  <r>
    <s v="ITEM-1648"/>
    <x v="3"/>
    <x v="0"/>
    <n v="319.75"/>
    <x v="1"/>
    <n v="1524.44"/>
    <n v="487439.69"/>
    <s v="Over Budget"/>
    <s v="OK"/>
  </r>
  <r>
    <s v="ITEM-1649"/>
    <x v="6"/>
    <x v="0"/>
    <n v="12"/>
    <x v="3"/>
    <n v="120.51"/>
    <n v="1446.1200000000001"/>
    <s v="OK"/>
    <s v="OK"/>
  </r>
  <r>
    <s v="ITEM-1650"/>
    <x v="5"/>
    <x v="1"/>
    <n v="16.309999999999999"/>
    <x v="4"/>
    <n v="1073.43"/>
    <n v="17507.6433"/>
    <s v="OK"/>
    <s v="OK"/>
  </r>
  <r>
    <s v="ITEM-1651"/>
    <x v="0"/>
    <x v="1"/>
    <n v="107.96"/>
    <x v="1"/>
    <n v="4201.96"/>
    <n v="453643.60159999999"/>
    <s v="Over Budget"/>
    <s v="OK"/>
  </r>
  <r>
    <s v="ITEM-1652"/>
    <x v="9"/>
    <x v="1"/>
    <n v="478.43"/>
    <x v="4"/>
    <n v="4599.01"/>
    <n v="2200304.3543000002"/>
    <s v="Over Budget"/>
    <s v="OK"/>
  </r>
  <r>
    <s v="ITEM-1653"/>
    <x v="6"/>
    <x v="1"/>
    <n v="233.4"/>
    <x v="0"/>
    <n v="2353.88"/>
    <n v="549395.59200000006"/>
    <s v="Over Budget"/>
    <s v="OK"/>
  </r>
  <r>
    <s v="ITEM-1654"/>
    <x v="4"/>
    <x v="4"/>
    <n v="268.83"/>
    <x v="3"/>
    <n v="1909.96"/>
    <n v="513454.54679999995"/>
    <s v="Over Budget"/>
    <s v="OK"/>
  </r>
  <r>
    <s v="ITEM-1655"/>
    <x v="2"/>
    <x v="1"/>
    <n v="45.38"/>
    <x v="4"/>
    <n v="665.55"/>
    <n v="30202.659"/>
    <s v="OK"/>
    <s v="OK"/>
  </r>
  <r>
    <s v="ITEM-1656"/>
    <x v="0"/>
    <x v="0"/>
    <n v="82.45"/>
    <x v="0"/>
    <n v="4670.17"/>
    <n v="385055.51650000003"/>
    <s v="Over Budget"/>
    <s v="OK"/>
  </r>
  <r>
    <s v="ITEM-1657"/>
    <x v="9"/>
    <x v="2"/>
    <n v="252.94"/>
    <x v="3"/>
    <n v="382.88"/>
    <n v="96845.667199999996"/>
    <s v="OK"/>
    <s v="OK"/>
  </r>
  <r>
    <s v="ITEM-1658"/>
    <x v="5"/>
    <x v="4"/>
    <n v="305.73"/>
    <x v="2"/>
    <n v="4674.8599999999997"/>
    <n v="1429244.9478"/>
    <s v="Over Budget"/>
    <s v="OK"/>
  </r>
  <r>
    <s v="ITEM-1659"/>
    <x v="0"/>
    <x v="3"/>
    <n v="303.49"/>
    <x v="1"/>
    <n v="141.38999999999999"/>
    <n v="42910.451099999998"/>
    <s v="OK"/>
    <s v="OK"/>
  </r>
  <r>
    <s v="ITEM-1660"/>
    <x v="1"/>
    <x v="4"/>
    <n v="177.45"/>
    <x v="1"/>
    <n v="4935.33"/>
    <n v="875774.30849999993"/>
    <s v="Over Budget"/>
    <s v="OK"/>
  </r>
  <r>
    <s v="ITEM-1661"/>
    <x v="6"/>
    <x v="0"/>
    <n v="38.42"/>
    <x v="3"/>
    <n v="3955.04"/>
    <n v="151952.63680000001"/>
    <s v="Over Budget"/>
    <s v="OK"/>
  </r>
  <r>
    <s v="ITEM-1662"/>
    <x v="6"/>
    <x v="3"/>
    <n v="28.16"/>
    <x v="4"/>
    <n v="182.79"/>
    <n v="5147.3663999999999"/>
    <s v="OK"/>
    <s v="OK"/>
  </r>
  <r>
    <s v="ITEM-1663"/>
    <x v="3"/>
    <x v="2"/>
    <n v="60.92"/>
    <x v="3"/>
    <n v="2698.35"/>
    <n v="164383.48199999999"/>
    <s v="Over Budget"/>
    <s v="OK"/>
  </r>
  <r>
    <s v="ITEM-1664"/>
    <x v="9"/>
    <x v="4"/>
    <n v="433.14"/>
    <x v="3"/>
    <n v="732.08"/>
    <n v="317093.1312"/>
    <s v="Over Budget"/>
    <s v="OK"/>
  </r>
  <r>
    <s v="ITEM-1665"/>
    <x v="8"/>
    <x v="4"/>
    <n v="371.96"/>
    <x v="1"/>
    <n v="274.5"/>
    <n v="102103.01999999999"/>
    <s v="Over Budget"/>
    <s v="OK"/>
  </r>
  <r>
    <s v="ITEM-1666"/>
    <x v="9"/>
    <x v="3"/>
    <n v="248.61"/>
    <x v="1"/>
    <n v="4217.8599999999997"/>
    <n v="1048602.1746"/>
    <s v="Over Budget"/>
    <s v="OK"/>
  </r>
  <r>
    <s v="ITEM-1667"/>
    <x v="4"/>
    <x v="4"/>
    <n v="377.41"/>
    <x v="3"/>
    <n v="4451.6899999999996"/>
    <n v="1680112.3229"/>
    <s v="Over Budget"/>
    <s v="OK"/>
  </r>
  <r>
    <s v="ITEM-1668"/>
    <x v="2"/>
    <x v="1"/>
    <n v="44.95"/>
    <x v="3"/>
    <n v="1850.88"/>
    <n v="83197.056000000011"/>
    <s v="OK"/>
    <s v="OK"/>
  </r>
  <r>
    <s v="ITEM-1669"/>
    <x v="8"/>
    <x v="1"/>
    <n v="66.14"/>
    <x v="0"/>
    <n v="157.19"/>
    <n v="10396.5466"/>
    <s v="OK"/>
    <s v="OK"/>
  </r>
  <r>
    <s v="ITEM-1670"/>
    <x v="5"/>
    <x v="0"/>
    <n v="395.91"/>
    <x v="2"/>
    <n v="3089.82"/>
    <n v="1223290.6362000001"/>
    <s v="Over Budget"/>
    <s v="OK"/>
  </r>
  <r>
    <s v="ITEM-1671"/>
    <x v="8"/>
    <x v="4"/>
    <n v="118.54"/>
    <x v="2"/>
    <n v="213.82"/>
    <n v="25346.2228"/>
    <s v="OK"/>
    <s v="OK"/>
  </r>
  <r>
    <s v="ITEM-1672"/>
    <x v="9"/>
    <x v="0"/>
    <n v="460.26"/>
    <x v="2"/>
    <n v="4434.67"/>
    <n v="2041101.2142"/>
    <s v="Over Budget"/>
    <s v="OK"/>
  </r>
  <r>
    <s v="ITEM-1673"/>
    <x v="9"/>
    <x v="0"/>
    <n v="21.7"/>
    <x v="0"/>
    <n v="650.03"/>
    <n v="14105.651"/>
    <s v="OK"/>
    <s v="OK"/>
  </r>
  <r>
    <s v="ITEM-1674"/>
    <x v="2"/>
    <x v="4"/>
    <n v="441.92"/>
    <x v="4"/>
    <n v="1137.9000000000001"/>
    <n v="502860.76800000004"/>
    <s v="Over Budget"/>
    <s v="OK"/>
  </r>
  <r>
    <s v="ITEM-1675"/>
    <x v="7"/>
    <x v="0"/>
    <n v="55.7"/>
    <x v="2"/>
    <n v="4832.8599999999997"/>
    <n v="269190.30199999997"/>
    <s v="Over Budget"/>
    <s v="OK"/>
  </r>
  <r>
    <s v="ITEM-1676"/>
    <x v="7"/>
    <x v="3"/>
    <n v="6.57"/>
    <x v="2"/>
    <n v="210.27"/>
    <n v="1381.4739000000002"/>
    <s v="OK"/>
    <s v="OK"/>
  </r>
  <r>
    <s v="ITEM-1677"/>
    <x v="4"/>
    <x v="3"/>
    <n v="180.54"/>
    <x v="2"/>
    <n v="318.14999999999998"/>
    <n v="57438.800999999992"/>
    <s v="OK"/>
    <s v="OK"/>
  </r>
  <r>
    <s v="ITEM-1678"/>
    <x v="6"/>
    <x v="3"/>
    <n v="249.63"/>
    <x v="3"/>
    <n v="1112.68"/>
    <n v="277758.30840000004"/>
    <s v="Over Budget"/>
    <s v="OK"/>
  </r>
  <r>
    <s v="ITEM-1679"/>
    <x v="3"/>
    <x v="3"/>
    <n v="80.52"/>
    <x v="1"/>
    <n v="3009.67"/>
    <n v="242338.62839999999"/>
    <s v="Over Budget"/>
    <s v="OK"/>
  </r>
  <r>
    <s v="ITEM-1680"/>
    <x v="8"/>
    <x v="4"/>
    <n v="214.84"/>
    <x v="2"/>
    <n v="2973.91"/>
    <n v="638914.82439999992"/>
    <s v="Over Budget"/>
    <s v="OK"/>
  </r>
  <r>
    <s v="ITEM-1681"/>
    <x v="4"/>
    <x v="3"/>
    <n v="439.81"/>
    <x v="1"/>
    <n v="3271.94"/>
    <n v="1439031.9314000001"/>
    <s v="Over Budget"/>
    <s v="OK"/>
  </r>
  <r>
    <s v="ITEM-1682"/>
    <x v="9"/>
    <x v="0"/>
    <n v="405.32"/>
    <x v="0"/>
    <n v="2422.87"/>
    <n v="982037.66839999997"/>
    <s v="Over Budget"/>
    <s v="OK"/>
  </r>
  <r>
    <s v="ITEM-1683"/>
    <x v="2"/>
    <x v="3"/>
    <n v="418.83"/>
    <x v="3"/>
    <n v="711.17"/>
    <n v="297859.33109999995"/>
    <s v="Over Budget"/>
    <s v="OK"/>
  </r>
  <r>
    <s v="ITEM-1684"/>
    <x v="2"/>
    <x v="2"/>
    <n v="261.08999999999997"/>
    <x v="1"/>
    <n v="4074.75"/>
    <n v="1063876.4774999998"/>
    <s v="Over Budget"/>
    <s v="OK"/>
  </r>
  <r>
    <s v="ITEM-1685"/>
    <x v="0"/>
    <x v="0"/>
    <n v="42.83"/>
    <x v="0"/>
    <n v="3920.91"/>
    <n v="167932.5753"/>
    <s v="Over Budget"/>
    <s v="OK"/>
  </r>
  <r>
    <s v="ITEM-1686"/>
    <x v="0"/>
    <x v="0"/>
    <n v="377.05"/>
    <x v="4"/>
    <n v="4974.37"/>
    <n v="1875586.2084999999"/>
    <s v="Over Budget"/>
    <s v="OK"/>
  </r>
  <r>
    <s v="ITEM-1687"/>
    <x v="8"/>
    <x v="3"/>
    <n v="228.08"/>
    <x v="0"/>
    <n v="4690.46"/>
    <n v="1069800.1168"/>
    <s v="Over Budget"/>
    <s v="OK"/>
  </r>
  <r>
    <s v="ITEM-1688"/>
    <x v="7"/>
    <x v="3"/>
    <n v="213.46"/>
    <x v="0"/>
    <n v="4204.4799999999996"/>
    <n v="897488.30079999997"/>
    <s v="Over Budget"/>
    <s v="OK"/>
  </r>
  <r>
    <s v="ITEM-1689"/>
    <x v="1"/>
    <x v="0"/>
    <n v="187.23"/>
    <x v="4"/>
    <n v="4914.05"/>
    <n v="920057.58149999997"/>
    <s v="Over Budget"/>
    <s v="OK"/>
  </r>
  <r>
    <s v="ITEM-1690"/>
    <x v="3"/>
    <x v="2"/>
    <n v="307.24"/>
    <x v="3"/>
    <n v="3164.09"/>
    <n v="972135.01160000009"/>
    <s v="Over Budget"/>
    <s v="OK"/>
  </r>
  <r>
    <s v="ITEM-1691"/>
    <x v="9"/>
    <x v="3"/>
    <n v="32.049999999999997"/>
    <x v="4"/>
    <n v="370.87"/>
    <n v="11886.3835"/>
    <s v="OK"/>
    <s v="OK"/>
  </r>
  <r>
    <s v="ITEM-1692"/>
    <x v="3"/>
    <x v="1"/>
    <n v="297.38"/>
    <x v="0"/>
    <n v="4844.9399999999996"/>
    <n v="1440788.2571999999"/>
    <s v="Over Budget"/>
    <s v="OK"/>
  </r>
  <r>
    <s v="ITEM-1693"/>
    <x v="4"/>
    <x v="3"/>
    <n v="392.89"/>
    <x v="2"/>
    <n v="1652.18"/>
    <n v="649125.00020000001"/>
    <s v="Over Budget"/>
    <s v="OK"/>
  </r>
  <r>
    <s v="ITEM-1694"/>
    <x v="9"/>
    <x v="3"/>
    <n v="436.57"/>
    <x v="1"/>
    <n v="2581.4499999999998"/>
    <n v="1126983.6265"/>
    <s v="Over Budget"/>
    <s v="OK"/>
  </r>
  <r>
    <s v="ITEM-1695"/>
    <x v="6"/>
    <x v="1"/>
    <n v="160.15"/>
    <x v="0"/>
    <n v="752.54"/>
    <n v="120519.281"/>
    <s v="Over Budget"/>
    <s v="OK"/>
  </r>
  <r>
    <s v="ITEM-1696"/>
    <x v="0"/>
    <x v="0"/>
    <n v="27.75"/>
    <x v="4"/>
    <n v="1400.77"/>
    <n v="38871.3675"/>
    <s v="OK"/>
    <s v="OK"/>
  </r>
  <r>
    <s v="ITEM-1697"/>
    <x v="2"/>
    <x v="4"/>
    <n v="397.3"/>
    <x v="2"/>
    <n v="1947.06"/>
    <n v="773566.93799999997"/>
    <s v="Over Budget"/>
    <s v="OK"/>
  </r>
  <r>
    <s v="ITEM-1698"/>
    <x v="1"/>
    <x v="3"/>
    <n v="452.42"/>
    <x v="0"/>
    <n v="4988.04"/>
    <n v="2256689.0567999999"/>
    <s v="Over Budget"/>
    <s v="OK"/>
  </r>
  <r>
    <s v="ITEM-1699"/>
    <x v="8"/>
    <x v="0"/>
    <n v="427.54"/>
    <x v="0"/>
    <n v="439.63"/>
    <n v="187959.41020000001"/>
    <s v="Over Budget"/>
    <s v="OK"/>
  </r>
  <r>
    <s v="ITEM-1700"/>
    <x v="2"/>
    <x v="3"/>
    <n v="380.38"/>
    <x v="4"/>
    <n v="1293.3599999999999"/>
    <n v="491968.27679999993"/>
    <s v="Over Budget"/>
    <s v="OK"/>
  </r>
  <r>
    <s v="ITEM-1701"/>
    <x v="4"/>
    <x v="0"/>
    <n v="479.8"/>
    <x v="0"/>
    <n v="3096.97"/>
    <n v="1485926.206"/>
    <s v="Over Budget"/>
    <s v="OK"/>
  </r>
  <r>
    <s v="ITEM-1702"/>
    <x v="5"/>
    <x v="2"/>
    <n v="179.78"/>
    <x v="0"/>
    <n v="635.87"/>
    <n v="114316.7086"/>
    <s v="Over Budget"/>
    <s v="OK"/>
  </r>
  <r>
    <s v="ITEM-1703"/>
    <x v="7"/>
    <x v="4"/>
    <n v="363.47"/>
    <x v="2"/>
    <n v="419.13"/>
    <n v="152341.18110000002"/>
    <s v="Over Budget"/>
    <s v="OK"/>
  </r>
  <r>
    <s v="ITEM-1704"/>
    <x v="3"/>
    <x v="2"/>
    <n v="239.86"/>
    <x v="3"/>
    <n v="2400.52"/>
    <n v="575788.72720000008"/>
    <s v="Over Budget"/>
    <s v="OK"/>
  </r>
  <r>
    <s v="ITEM-1705"/>
    <x v="3"/>
    <x v="3"/>
    <n v="57.38"/>
    <x v="3"/>
    <n v="4006.09"/>
    <n v="229869.44420000003"/>
    <s v="Over Budget"/>
    <s v="OK"/>
  </r>
  <r>
    <s v="ITEM-1706"/>
    <x v="8"/>
    <x v="2"/>
    <n v="269.62"/>
    <x v="0"/>
    <n v="3888.32"/>
    <n v="1048368.8384"/>
    <s v="Over Budget"/>
    <s v="OK"/>
  </r>
  <r>
    <s v="ITEM-1707"/>
    <x v="8"/>
    <x v="4"/>
    <n v="86.24"/>
    <x v="4"/>
    <n v="2945.29"/>
    <n v="254001.80959999998"/>
    <s v="Over Budget"/>
    <s v="OK"/>
  </r>
  <r>
    <s v="ITEM-1708"/>
    <x v="9"/>
    <x v="0"/>
    <n v="373.89"/>
    <x v="3"/>
    <n v="4685.57"/>
    <n v="1751887.7672999997"/>
    <s v="Over Budget"/>
    <s v="OK"/>
  </r>
  <r>
    <s v="ITEM-1709"/>
    <x v="7"/>
    <x v="0"/>
    <n v="459.48"/>
    <x v="0"/>
    <n v="953.38"/>
    <n v="438059.04240000003"/>
    <s v="Over Budget"/>
    <s v="OK"/>
  </r>
  <r>
    <s v="ITEM-1710"/>
    <x v="4"/>
    <x v="3"/>
    <n v="47.79"/>
    <x v="3"/>
    <n v="4984.33"/>
    <n v="238201.13069999998"/>
    <s v="Over Budget"/>
    <s v="OK"/>
  </r>
  <r>
    <s v="ITEM-1711"/>
    <x v="0"/>
    <x v="0"/>
    <n v="485.7"/>
    <x v="3"/>
    <n v="1285.45"/>
    <n v="624343.06500000006"/>
    <s v="Over Budget"/>
    <s v="OK"/>
  </r>
  <r>
    <s v="ITEM-1712"/>
    <x v="2"/>
    <x v="3"/>
    <n v="22.79"/>
    <x v="3"/>
    <n v="1606.94"/>
    <n v="36622.162600000003"/>
    <s v="OK"/>
    <s v="OK"/>
  </r>
  <r>
    <s v="ITEM-1713"/>
    <x v="4"/>
    <x v="0"/>
    <n v="175.1"/>
    <x v="0"/>
    <n v="4064.71"/>
    <n v="711730.72100000002"/>
    <s v="Over Budget"/>
    <s v="OK"/>
  </r>
  <r>
    <s v="ITEM-1714"/>
    <x v="6"/>
    <x v="2"/>
    <n v="362.09"/>
    <x v="1"/>
    <n v="1969.09"/>
    <n v="712987.7980999999"/>
    <s v="Over Budget"/>
    <s v="OK"/>
  </r>
  <r>
    <s v="ITEM-1715"/>
    <x v="7"/>
    <x v="3"/>
    <n v="453.26"/>
    <x v="4"/>
    <n v="1460.89"/>
    <n v="662163.00140000007"/>
    <s v="Over Budget"/>
    <s v="OK"/>
  </r>
  <r>
    <s v="ITEM-1716"/>
    <x v="2"/>
    <x v="1"/>
    <n v="390.39"/>
    <x v="1"/>
    <n v="3730.99"/>
    <n v="1456541.1860999998"/>
    <s v="Over Budget"/>
    <s v="OK"/>
  </r>
  <r>
    <s v="ITEM-1717"/>
    <x v="2"/>
    <x v="3"/>
    <n v="237.76"/>
    <x v="3"/>
    <n v="3020.21"/>
    <n v="718085.12959999999"/>
    <s v="Over Budget"/>
    <s v="OK"/>
  </r>
  <r>
    <s v="ITEM-1718"/>
    <x v="1"/>
    <x v="1"/>
    <n v="86.86"/>
    <x v="0"/>
    <n v="3653.17"/>
    <n v="317314.34620000003"/>
    <s v="Over Budget"/>
    <s v="OK"/>
  </r>
  <r>
    <s v="ITEM-1719"/>
    <x v="2"/>
    <x v="2"/>
    <n v="109.79"/>
    <x v="3"/>
    <n v="3830.64"/>
    <n v="420565.9656"/>
    <s v="Over Budget"/>
    <s v="OK"/>
  </r>
  <r>
    <s v="ITEM-1720"/>
    <x v="5"/>
    <x v="3"/>
    <n v="120.93"/>
    <x v="2"/>
    <n v="1563.16"/>
    <n v="189032.93880000003"/>
    <s v="Over Budget"/>
    <s v="OK"/>
  </r>
  <r>
    <s v="ITEM-1721"/>
    <x v="8"/>
    <x v="3"/>
    <n v="479.51"/>
    <x v="3"/>
    <n v="1932.47"/>
    <n v="926638.68969999999"/>
    <s v="Over Budget"/>
    <s v="OK"/>
  </r>
  <r>
    <s v="ITEM-1722"/>
    <x v="4"/>
    <x v="3"/>
    <n v="173.18"/>
    <x v="1"/>
    <n v="1045.45"/>
    <n v="181051.03100000002"/>
    <s v="Over Budget"/>
    <s v="OK"/>
  </r>
  <r>
    <s v="ITEM-1723"/>
    <x v="6"/>
    <x v="0"/>
    <n v="361.07"/>
    <x v="0"/>
    <n v="3849.29"/>
    <n v="1389863.1402999999"/>
    <s v="Over Budget"/>
    <s v="OK"/>
  </r>
  <r>
    <s v="ITEM-1724"/>
    <x v="7"/>
    <x v="1"/>
    <n v="216.29"/>
    <x v="1"/>
    <n v="564.16"/>
    <n v="122022.16639999999"/>
    <s v="Over Budget"/>
    <s v="OK"/>
  </r>
  <r>
    <s v="ITEM-1725"/>
    <x v="2"/>
    <x v="4"/>
    <n v="281.23"/>
    <x v="1"/>
    <n v="568.63"/>
    <n v="159915.8149"/>
    <s v="Over Budget"/>
    <s v="OK"/>
  </r>
  <r>
    <s v="ITEM-1726"/>
    <x v="7"/>
    <x v="1"/>
    <n v="265.60000000000002"/>
    <x v="4"/>
    <n v="1197.94"/>
    <n v="318172.86400000006"/>
    <s v="Over Budget"/>
    <s v="OK"/>
  </r>
  <r>
    <s v="ITEM-1727"/>
    <x v="1"/>
    <x v="3"/>
    <n v="398.46"/>
    <x v="4"/>
    <n v="302.31"/>
    <n v="120458.44259999999"/>
    <s v="Over Budget"/>
    <s v="OK"/>
  </r>
  <r>
    <s v="ITEM-1728"/>
    <x v="3"/>
    <x v="2"/>
    <n v="59.45"/>
    <x v="1"/>
    <n v="1763.2"/>
    <n v="104822.24"/>
    <s v="Over Budget"/>
    <s v="OK"/>
  </r>
  <r>
    <s v="ITEM-1729"/>
    <x v="2"/>
    <x v="2"/>
    <n v="76.94"/>
    <x v="4"/>
    <n v="1853.5"/>
    <n v="142608.29"/>
    <s v="Over Budget"/>
    <s v="OK"/>
  </r>
  <r>
    <s v="ITEM-1730"/>
    <x v="3"/>
    <x v="4"/>
    <n v="6.32"/>
    <x v="4"/>
    <n v="4667.47"/>
    <n v="29498.410400000004"/>
    <s v="OK"/>
    <s v="OK"/>
  </r>
  <r>
    <s v="ITEM-1731"/>
    <x v="4"/>
    <x v="2"/>
    <n v="62.58"/>
    <x v="4"/>
    <n v="4165.51"/>
    <n v="260677.6158"/>
    <s v="Over Budget"/>
    <s v="OK"/>
  </r>
  <r>
    <s v="ITEM-1732"/>
    <x v="6"/>
    <x v="0"/>
    <n v="225.78"/>
    <x v="1"/>
    <n v="2011.82"/>
    <n v="454228.71960000001"/>
    <s v="Over Budget"/>
    <s v="OK"/>
  </r>
  <r>
    <s v="ITEM-1733"/>
    <x v="0"/>
    <x v="1"/>
    <n v="391.83"/>
    <x v="4"/>
    <n v="612.4"/>
    <n v="239956.69199999998"/>
    <s v="Over Budget"/>
    <s v="OK"/>
  </r>
  <r>
    <s v="ITEM-1734"/>
    <x v="9"/>
    <x v="1"/>
    <n v="203.27"/>
    <x v="3"/>
    <n v="3438.15"/>
    <n v="698872.75050000008"/>
    <s v="Over Budget"/>
    <s v="OK"/>
  </r>
  <r>
    <s v="ITEM-1735"/>
    <x v="9"/>
    <x v="2"/>
    <n v="455.55"/>
    <x v="4"/>
    <n v="1627.86"/>
    <n v="741571.62300000002"/>
    <s v="Over Budget"/>
    <s v="OK"/>
  </r>
  <r>
    <s v="ITEM-1736"/>
    <x v="8"/>
    <x v="3"/>
    <n v="181.45"/>
    <x v="0"/>
    <n v="1101.8399999999999"/>
    <n v="199928.86799999996"/>
    <s v="Over Budget"/>
    <s v="OK"/>
  </r>
  <r>
    <s v="ITEM-1737"/>
    <x v="6"/>
    <x v="4"/>
    <n v="446.74"/>
    <x v="4"/>
    <n v="1773.71"/>
    <n v="792387.20539999998"/>
    <s v="Over Budget"/>
    <s v="OK"/>
  </r>
  <r>
    <s v="ITEM-1738"/>
    <x v="9"/>
    <x v="3"/>
    <n v="168.99"/>
    <x v="2"/>
    <n v="1941.24"/>
    <n v="328050.14760000003"/>
    <s v="Over Budget"/>
    <s v="OK"/>
  </r>
  <r>
    <s v="ITEM-1739"/>
    <x v="9"/>
    <x v="4"/>
    <n v="250.84"/>
    <x v="4"/>
    <n v="4174.79"/>
    <n v="1047204.3236"/>
    <s v="Over Budget"/>
    <s v="OK"/>
  </r>
  <r>
    <s v="ITEM-1740"/>
    <x v="3"/>
    <x v="1"/>
    <n v="155.65"/>
    <x v="1"/>
    <n v="1002.39"/>
    <n v="156022.00349999999"/>
    <s v="Over Budget"/>
    <s v="OK"/>
  </r>
  <r>
    <s v="ITEM-1741"/>
    <x v="3"/>
    <x v="0"/>
    <n v="212.47"/>
    <x v="0"/>
    <n v="4987.7"/>
    <n v="1059736.6189999999"/>
    <s v="Over Budget"/>
    <s v="OK"/>
  </r>
  <r>
    <s v="ITEM-1742"/>
    <x v="6"/>
    <x v="1"/>
    <n v="119.1"/>
    <x v="0"/>
    <n v="4432.28"/>
    <n v="527884.54799999995"/>
    <s v="Over Budget"/>
    <s v="OK"/>
  </r>
  <r>
    <s v="ITEM-1743"/>
    <x v="4"/>
    <x v="2"/>
    <n v="269.44"/>
    <x v="3"/>
    <n v="1006.84"/>
    <n v="271282.96960000001"/>
    <s v="Over Budget"/>
    <s v="OK"/>
  </r>
  <r>
    <s v="ITEM-1744"/>
    <x v="5"/>
    <x v="4"/>
    <n v="249.84"/>
    <x v="3"/>
    <n v="3387.72"/>
    <n v="846387.96479999996"/>
    <s v="Over Budget"/>
    <s v="OK"/>
  </r>
  <r>
    <s v="ITEM-1745"/>
    <x v="6"/>
    <x v="1"/>
    <n v="235.82"/>
    <x v="4"/>
    <n v="4260.75"/>
    <n v="1004770.0649999999"/>
    <s v="Over Budget"/>
    <s v="OK"/>
  </r>
  <r>
    <s v="ITEM-1746"/>
    <x v="1"/>
    <x v="3"/>
    <n v="392.65"/>
    <x v="1"/>
    <n v="3697.45"/>
    <n v="1451803.7424999999"/>
    <s v="Over Budget"/>
    <s v="OK"/>
  </r>
  <r>
    <s v="ITEM-1747"/>
    <x v="2"/>
    <x v="3"/>
    <n v="223.81"/>
    <x v="2"/>
    <n v="2087.5"/>
    <n v="467203.375"/>
    <s v="Over Budget"/>
    <s v="OK"/>
  </r>
  <r>
    <s v="ITEM-1748"/>
    <x v="9"/>
    <x v="1"/>
    <n v="105.4"/>
    <x v="0"/>
    <n v="1890.46"/>
    <n v="199254.48400000003"/>
    <s v="Over Budget"/>
    <s v="OK"/>
  </r>
  <r>
    <s v="ITEM-1749"/>
    <x v="6"/>
    <x v="2"/>
    <n v="167.29"/>
    <x v="4"/>
    <n v="3894.12"/>
    <n v="651447.33479999995"/>
    <s v="Over Budget"/>
    <s v="OK"/>
  </r>
  <r>
    <s v="ITEM-1750"/>
    <x v="9"/>
    <x v="2"/>
    <n v="302.18"/>
    <x v="2"/>
    <n v="3640.31"/>
    <n v="1100028.8758"/>
    <s v="Over Budget"/>
    <s v="OK"/>
  </r>
  <r>
    <s v="ITEM-1751"/>
    <x v="6"/>
    <x v="1"/>
    <n v="473.78"/>
    <x v="1"/>
    <n v="1393.79"/>
    <n v="660349.82619999989"/>
    <s v="Over Budget"/>
    <s v="OK"/>
  </r>
  <r>
    <s v="ITEM-1752"/>
    <x v="2"/>
    <x v="1"/>
    <n v="13.38"/>
    <x v="2"/>
    <n v="2697"/>
    <n v="36085.86"/>
    <s v="OK"/>
    <s v="OK"/>
  </r>
  <r>
    <s v="ITEM-1753"/>
    <x v="2"/>
    <x v="0"/>
    <n v="456.03"/>
    <x v="0"/>
    <n v="1300.1199999999999"/>
    <n v="592893.72359999991"/>
    <s v="Over Budget"/>
    <s v="OK"/>
  </r>
  <r>
    <s v="ITEM-1754"/>
    <x v="7"/>
    <x v="0"/>
    <n v="325.11"/>
    <x v="2"/>
    <n v="2923.09"/>
    <n v="950325.78990000009"/>
    <s v="Over Budget"/>
    <s v="OK"/>
  </r>
  <r>
    <s v="ITEM-1755"/>
    <x v="2"/>
    <x v="1"/>
    <n v="116.86"/>
    <x v="3"/>
    <n v="3212.9"/>
    <n v="375459.49400000001"/>
    <s v="Over Budget"/>
    <s v="OK"/>
  </r>
  <r>
    <s v="ITEM-1756"/>
    <x v="2"/>
    <x v="3"/>
    <n v="146.68"/>
    <x v="1"/>
    <n v="3219.08"/>
    <n v="472174.6544"/>
    <s v="Over Budget"/>
    <s v="OK"/>
  </r>
  <r>
    <s v="ITEM-1757"/>
    <x v="3"/>
    <x v="1"/>
    <n v="349.38"/>
    <x v="2"/>
    <n v="4501.9399999999996"/>
    <n v="1572887.7971999999"/>
    <s v="Over Budget"/>
    <s v="OK"/>
  </r>
  <r>
    <s v="ITEM-1758"/>
    <x v="8"/>
    <x v="3"/>
    <n v="397.58"/>
    <x v="1"/>
    <n v="1090.3499999999999"/>
    <n v="433501.35299999994"/>
    <s v="Over Budget"/>
    <s v="OK"/>
  </r>
  <r>
    <s v="ITEM-1759"/>
    <x v="6"/>
    <x v="3"/>
    <n v="56.22"/>
    <x v="1"/>
    <n v="2898.68"/>
    <n v="162963.78959999999"/>
    <s v="Over Budget"/>
    <s v="OK"/>
  </r>
  <r>
    <s v="ITEM-1760"/>
    <x v="2"/>
    <x v="1"/>
    <n v="230.65"/>
    <x v="3"/>
    <n v="493.6"/>
    <n v="113848.84000000001"/>
    <s v="Over Budget"/>
    <s v="OK"/>
  </r>
  <r>
    <s v="ITEM-1761"/>
    <x v="1"/>
    <x v="2"/>
    <n v="109.75"/>
    <x v="1"/>
    <n v="4898.21"/>
    <n v="537578.54749999999"/>
    <s v="Over Budget"/>
    <s v="OK"/>
  </r>
  <r>
    <s v="ITEM-1762"/>
    <x v="0"/>
    <x v="2"/>
    <n v="318.27999999999997"/>
    <x v="0"/>
    <n v="3734.47"/>
    <n v="1188607.1115999999"/>
    <s v="Over Budget"/>
    <s v="OK"/>
  </r>
  <r>
    <s v="ITEM-1763"/>
    <x v="4"/>
    <x v="1"/>
    <n v="267.58999999999997"/>
    <x v="2"/>
    <n v="3462.17"/>
    <n v="926442.0702999999"/>
    <s v="Over Budget"/>
    <s v="OK"/>
  </r>
  <r>
    <s v="ITEM-1764"/>
    <x v="5"/>
    <x v="1"/>
    <n v="406.78"/>
    <x v="4"/>
    <n v="4129"/>
    <n v="1679594.6199999999"/>
    <s v="Over Budget"/>
    <s v="OK"/>
  </r>
  <r>
    <s v="ITEM-1765"/>
    <x v="3"/>
    <x v="1"/>
    <n v="119.5"/>
    <x v="1"/>
    <n v="4059.08"/>
    <n v="485060.06"/>
    <s v="Over Budget"/>
    <s v="OK"/>
  </r>
  <r>
    <s v="ITEM-1766"/>
    <x v="0"/>
    <x v="0"/>
    <n v="151.16"/>
    <x v="3"/>
    <n v="4838.66"/>
    <n v="731411.8456"/>
    <s v="Over Budget"/>
    <s v="OK"/>
  </r>
  <r>
    <s v="ITEM-1767"/>
    <x v="5"/>
    <x v="1"/>
    <n v="207.15"/>
    <x v="1"/>
    <n v="1838.23"/>
    <n v="380789.34450000001"/>
    <s v="Over Budget"/>
    <s v="OK"/>
  </r>
  <r>
    <s v="ITEM-1768"/>
    <x v="6"/>
    <x v="1"/>
    <n v="453.9"/>
    <x v="3"/>
    <n v="1958.03"/>
    <n v="888749.81699999992"/>
    <s v="Over Budget"/>
    <s v="OK"/>
  </r>
  <r>
    <s v="ITEM-1769"/>
    <x v="6"/>
    <x v="1"/>
    <n v="130.6"/>
    <x v="2"/>
    <n v="4892.5200000000004"/>
    <n v="638963.11200000008"/>
    <s v="Over Budget"/>
    <s v="OK"/>
  </r>
  <r>
    <s v="ITEM-1770"/>
    <x v="5"/>
    <x v="4"/>
    <n v="369.47"/>
    <x v="0"/>
    <n v="602.28"/>
    <n v="222524.3916"/>
    <s v="Over Budget"/>
    <s v="OK"/>
  </r>
  <r>
    <s v="ITEM-1771"/>
    <x v="6"/>
    <x v="2"/>
    <n v="461.75"/>
    <x v="4"/>
    <n v="2232.62"/>
    <n v="1030912.2849999999"/>
    <s v="Over Budget"/>
    <s v="OK"/>
  </r>
  <r>
    <s v="ITEM-1772"/>
    <x v="1"/>
    <x v="0"/>
    <n v="446.19"/>
    <x v="0"/>
    <n v="3513.5"/>
    <n v="1567688.5649999999"/>
    <s v="Over Budget"/>
    <s v="OK"/>
  </r>
  <r>
    <s v="ITEM-1773"/>
    <x v="7"/>
    <x v="4"/>
    <n v="396.62"/>
    <x v="0"/>
    <n v="1553.96"/>
    <n v="616331.6152"/>
    <s v="Over Budget"/>
    <s v="OK"/>
  </r>
  <r>
    <s v="ITEM-1774"/>
    <x v="8"/>
    <x v="2"/>
    <n v="28.51"/>
    <x v="2"/>
    <n v="2628.52"/>
    <n v="74939.105200000005"/>
    <s v="OK"/>
    <s v="OK"/>
  </r>
  <r>
    <s v="ITEM-1775"/>
    <x v="8"/>
    <x v="4"/>
    <n v="359.11"/>
    <x v="4"/>
    <n v="2083.85"/>
    <n v="748331.37349999999"/>
    <s v="Over Budget"/>
    <s v="OK"/>
  </r>
  <r>
    <s v="ITEM-1776"/>
    <x v="9"/>
    <x v="1"/>
    <n v="328.95"/>
    <x v="1"/>
    <n v="2199.0100000000002"/>
    <n v="723364.3395"/>
    <s v="Over Budget"/>
    <s v="OK"/>
  </r>
  <r>
    <s v="ITEM-1777"/>
    <x v="4"/>
    <x v="1"/>
    <n v="460.76"/>
    <x v="4"/>
    <n v="104.31"/>
    <n v="48061.875599999999"/>
    <s v="OK"/>
    <s v="OK"/>
  </r>
  <r>
    <s v="ITEM-1778"/>
    <x v="3"/>
    <x v="4"/>
    <n v="356.14"/>
    <x v="3"/>
    <n v="4521.95"/>
    <n v="1610447.2729999998"/>
    <s v="Over Budget"/>
    <s v="OK"/>
  </r>
  <r>
    <s v="ITEM-1779"/>
    <x v="6"/>
    <x v="0"/>
    <n v="111.34"/>
    <x v="4"/>
    <n v="3697.49"/>
    <n v="411678.53659999999"/>
    <s v="Over Budget"/>
    <s v="OK"/>
  </r>
  <r>
    <s v="ITEM-1780"/>
    <x v="9"/>
    <x v="1"/>
    <n v="218"/>
    <x v="4"/>
    <n v="2925.51"/>
    <n v="637761.18000000005"/>
    <s v="Over Budget"/>
    <s v="OK"/>
  </r>
  <r>
    <s v="ITEM-1781"/>
    <x v="5"/>
    <x v="3"/>
    <n v="327.75"/>
    <x v="1"/>
    <n v="3827.92"/>
    <n v="1254600.78"/>
    <s v="Over Budget"/>
    <s v="OK"/>
  </r>
  <r>
    <s v="ITEM-1782"/>
    <x v="8"/>
    <x v="0"/>
    <n v="444.19"/>
    <x v="4"/>
    <n v="2092.11"/>
    <n v="929294.34090000007"/>
    <s v="Over Budget"/>
    <s v="OK"/>
  </r>
  <r>
    <s v="ITEM-1783"/>
    <x v="3"/>
    <x v="1"/>
    <n v="367.6"/>
    <x v="1"/>
    <n v="931.64"/>
    <n v="342470.864"/>
    <s v="Over Budget"/>
    <s v="OK"/>
  </r>
  <r>
    <s v="ITEM-1784"/>
    <x v="9"/>
    <x v="3"/>
    <n v="357.27"/>
    <x v="0"/>
    <n v="2157.2600000000002"/>
    <n v="770724.28020000004"/>
    <s v="Over Budget"/>
    <s v="OK"/>
  </r>
  <r>
    <s v="ITEM-1785"/>
    <x v="3"/>
    <x v="1"/>
    <n v="483.94"/>
    <x v="1"/>
    <n v="1427.14"/>
    <n v="690650.13160000008"/>
    <s v="Over Budget"/>
    <s v="OK"/>
  </r>
  <r>
    <s v="ITEM-1786"/>
    <x v="7"/>
    <x v="2"/>
    <n v="386.8"/>
    <x v="4"/>
    <n v="282.87"/>
    <n v="109414.11600000001"/>
    <s v="Over Budget"/>
    <s v="OK"/>
  </r>
  <r>
    <s v="ITEM-1787"/>
    <x v="7"/>
    <x v="3"/>
    <n v="150.91999999999999"/>
    <x v="0"/>
    <n v="1512.5"/>
    <n v="228266.49999999997"/>
    <s v="Over Budget"/>
    <s v="OK"/>
  </r>
  <r>
    <s v="ITEM-1788"/>
    <x v="9"/>
    <x v="3"/>
    <n v="440.62"/>
    <x v="1"/>
    <n v="3029.68"/>
    <n v="1334937.6015999999"/>
    <s v="Over Budget"/>
    <s v="OK"/>
  </r>
  <r>
    <s v="ITEM-1789"/>
    <x v="4"/>
    <x v="2"/>
    <n v="196.65"/>
    <x v="3"/>
    <n v="96.65"/>
    <n v="19006.2225"/>
    <s v="OK"/>
    <s v="OK"/>
  </r>
  <r>
    <s v="ITEM-1790"/>
    <x v="3"/>
    <x v="0"/>
    <n v="468.26"/>
    <x v="1"/>
    <n v="4851.7"/>
    <n v="2271857.0419999999"/>
    <s v="Over Budget"/>
    <s v="OK"/>
  </r>
  <r>
    <s v="ITEM-1791"/>
    <x v="9"/>
    <x v="1"/>
    <n v="451.84"/>
    <x v="4"/>
    <n v="4558.1000000000004"/>
    <n v="2059531.9040000001"/>
    <s v="Over Budget"/>
    <s v="OK"/>
  </r>
  <r>
    <s v="ITEM-1792"/>
    <x v="7"/>
    <x v="4"/>
    <n v="417.06"/>
    <x v="3"/>
    <n v="931.37"/>
    <n v="388437.17220000003"/>
    <s v="Over Budget"/>
    <s v="OK"/>
  </r>
  <r>
    <s v="ITEM-1793"/>
    <x v="9"/>
    <x v="3"/>
    <n v="21.63"/>
    <x v="1"/>
    <n v="722.12"/>
    <n v="15619.455599999999"/>
    <s v="OK"/>
    <s v="OK"/>
  </r>
  <r>
    <s v="ITEM-1794"/>
    <x v="5"/>
    <x v="0"/>
    <n v="50.26"/>
    <x v="3"/>
    <n v="2644.38"/>
    <n v="132906.53880000001"/>
    <s v="Over Budget"/>
    <s v="OK"/>
  </r>
  <r>
    <s v="ITEM-1795"/>
    <x v="7"/>
    <x v="4"/>
    <n v="61.16"/>
    <x v="1"/>
    <n v="1282.3399999999999"/>
    <n v="78427.914399999994"/>
    <s v="OK"/>
    <s v="OK"/>
  </r>
  <r>
    <s v="ITEM-1796"/>
    <x v="2"/>
    <x v="3"/>
    <n v="417.86"/>
    <x v="2"/>
    <n v="4278.3999999999996"/>
    <n v="1787772.2239999999"/>
    <s v="Over Budget"/>
    <s v="OK"/>
  </r>
  <r>
    <s v="ITEM-1797"/>
    <x v="4"/>
    <x v="4"/>
    <n v="433.27"/>
    <x v="1"/>
    <n v="221.19"/>
    <n v="95834.991299999994"/>
    <s v="OK"/>
    <s v="OK"/>
  </r>
  <r>
    <s v="ITEM-1798"/>
    <x v="5"/>
    <x v="1"/>
    <n v="426.34"/>
    <x v="4"/>
    <n v="2021.43"/>
    <n v="861816.46620000002"/>
    <s v="Over Budget"/>
    <s v="OK"/>
  </r>
  <r>
    <s v="ITEM-1799"/>
    <x v="2"/>
    <x v="0"/>
    <n v="167.1"/>
    <x v="0"/>
    <n v="1293.3599999999999"/>
    <n v="216120.45599999998"/>
    <s v="Over Budget"/>
    <s v="OK"/>
  </r>
  <r>
    <s v="ITEM-1800"/>
    <x v="0"/>
    <x v="1"/>
    <n v="84.29"/>
    <x v="0"/>
    <n v="2986.24"/>
    <n v="251710.16959999999"/>
    <s v="Over Budget"/>
    <s v="OK"/>
  </r>
  <r>
    <s v="ITEM-1801"/>
    <x v="4"/>
    <x v="3"/>
    <n v="306.14"/>
    <x v="2"/>
    <n v="3502.7"/>
    <n v="1072316.578"/>
    <s v="Over Budget"/>
    <s v="OK"/>
  </r>
  <r>
    <s v="ITEM-1802"/>
    <x v="4"/>
    <x v="1"/>
    <n v="223.16"/>
    <x v="1"/>
    <n v="327.06"/>
    <n v="72986.709600000002"/>
    <s v="OK"/>
    <s v="OK"/>
  </r>
  <r>
    <s v="ITEM-1803"/>
    <x v="6"/>
    <x v="3"/>
    <n v="407.9"/>
    <x v="2"/>
    <n v="4257.13"/>
    <n v="1736483.327"/>
    <s v="Over Budget"/>
    <s v="OK"/>
  </r>
  <r>
    <s v="ITEM-1804"/>
    <x v="1"/>
    <x v="1"/>
    <n v="7.68"/>
    <x v="3"/>
    <n v="925.95"/>
    <n v="7111.2960000000003"/>
    <s v="OK"/>
    <s v="OK"/>
  </r>
  <r>
    <s v="ITEM-1805"/>
    <x v="0"/>
    <x v="4"/>
    <n v="451.13"/>
    <x v="2"/>
    <n v="4854.83"/>
    <n v="2190159.4578999998"/>
    <s v="Over Budget"/>
    <s v="OK"/>
  </r>
  <r>
    <s v="ITEM-1806"/>
    <x v="8"/>
    <x v="2"/>
    <n v="412.72"/>
    <x v="1"/>
    <n v="2302.0300000000002"/>
    <n v="950093.82160000014"/>
    <s v="Over Budget"/>
    <s v="OK"/>
  </r>
  <r>
    <s v="ITEM-1807"/>
    <x v="7"/>
    <x v="0"/>
    <n v="482.58"/>
    <x v="2"/>
    <n v="1485.18"/>
    <n v="716718.16440000001"/>
    <s v="Over Budget"/>
    <s v="OK"/>
  </r>
  <r>
    <s v="ITEM-1808"/>
    <x v="4"/>
    <x v="4"/>
    <n v="467.88"/>
    <x v="2"/>
    <n v="2570.7800000000002"/>
    <n v="1202816.5464000001"/>
    <s v="Over Budget"/>
    <s v="OK"/>
  </r>
  <r>
    <s v="ITEM-1809"/>
    <x v="3"/>
    <x v="2"/>
    <n v="288.14999999999998"/>
    <x v="0"/>
    <n v="4251.51"/>
    <n v="1225072.6065"/>
    <s v="Over Budget"/>
    <s v="OK"/>
  </r>
  <r>
    <s v="ITEM-1810"/>
    <x v="4"/>
    <x v="0"/>
    <n v="47.61"/>
    <x v="4"/>
    <n v="376.18"/>
    <n v="17909.929800000002"/>
    <s v="OK"/>
    <s v="OK"/>
  </r>
  <r>
    <s v="ITEM-1811"/>
    <x v="9"/>
    <x v="3"/>
    <n v="119.93"/>
    <x v="3"/>
    <n v="3860.06"/>
    <n v="462936.99580000003"/>
    <s v="Over Budget"/>
    <s v="OK"/>
  </r>
  <r>
    <s v="ITEM-1812"/>
    <x v="8"/>
    <x v="3"/>
    <n v="405.94"/>
    <x v="4"/>
    <n v="865.02"/>
    <n v="351146.21879999997"/>
    <s v="Over Budget"/>
    <s v="OK"/>
  </r>
  <r>
    <s v="ITEM-1813"/>
    <x v="4"/>
    <x v="4"/>
    <n v="11.49"/>
    <x v="3"/>
    <n v="3403.37"/>
    <n v="39104.721299999997"/>
    <s v="OK"/>
    <s v="OK"/>
  </r>
  <r>
    <s v="ITEM-1814"/>
    <x v="4"/>
    <x v="4"/>
    <n v="235.05"/>
    <x v="1"/>
    <n v="3744.52"/>
    <n v="880149.42600000009"/>
    <s v="Over Budget"/>
    <s v="OK"/>
  </r>
  <r>
    <s v="ITEM-1815"/>
    <x v="0"/>
    <x v="2"/>
    <n v="23.25"/>
    <x v="1"/>
    <n v="3806.51"/>
    <n v="88501.357499999998"/>
    <s v="OK"/>
    <s v="OK"/>
  </r>
  <r>
    <s v="ITEM-1816"/>
    <x v="2"/>
    <x v="4"/>
    <n v="88.68"/>
    <x v="3"/>
    <n v="1547.71"/>
    <n v="137250.9228"/>
    <s v="Over Budget"/>
    <s v="OK"/>
  </r>
  <r>
    <s v="ITEM-1817"/>
    <x v="3"/>
    <x v="2"/>
    <n v="79.27"/>
    <x v="0"/>
    <n v="3731.28"/>
    <n v="295778.56559999997"/>
    <s v="Over Budget"/>
    <s v="OK"/>
  </r>
  <r>
    <s v="ITEM-1818"/>
    <x v="1"/>
    <x v="0"/>
    <n v="305.12"/>
    <x v="0"/>
    <n v="251.78"/>
    <n v="76823.113599999997"/>
    <s v="OK"/>
    <s v="OK"/>
  </r>
  <r>
    <s v="ITEM-1819"/>
    <x v="6"/>
    <x v="1"/>
    <n v="423.08"/>
    <x v="1"/>
    <n v="236.58"/>
    <n v="100092.26640000001"/>
    <s v="Over Budget"/>
    <s v="OK"/>
  </r>
  <r>
    <s v="ITEM-1820"/>
    <x v="8"/>
    <x v="0"/>
    <n v="412.04"/>
    <x v="3"/>
    <n v="2462.84"/>
    <n v="1014788.5936000001"/>
    <s v="Over Budget"/>
    <s v="OK"/>
  </r>
  <r>
    <s v="ITEM-1821"/>
    <x v="8"/>
    <x v="2"/>
    <n v="299.14999999999998"/>
    <x v="0"/>
    <n v="537.92999999999995"/>
    <n v="160921.75949999999"/>
    <s v="Over Budget"/>
    <s v="OK"/>
  </r>
  <r>
    <s v="ITEM-1822"/>
    <x v="8"/>
    <x v="1"/>
    <n v="245.14"/>
    <x v="3"/>
    <n v="1126.74"/>
    <n v="276209.04359999998"/>
    <s v="Over Budget"/>
    <s v="OK"/>
  </r>
  <r>
    <s v="ITEM-1823"/>
    <x v="2"/>
    <x v="0"/>
    <n v="335.49"/>
    <x v="1"/>
    <n v="2546"/>
    <n v="854157.54"/>
    <s v="Over Budget"/>
    <s v="OK"/>
  </r>
  <r>
    <s v="ITEM-1824"/>
    <x v="8"/>
    <x v="1"/>
    <n v="115.71"/>
    <x v="3"/>
    <n v="1546.83"/>
    <n v="178983.69929999998"/>
    <s v="Over Budget"/>
    <s v="OK"/>
  </r>
  <r>
    <s v="ITEM-1825"/>
    <x v="7"/>
    <x v="3"/>
    <n v="303.63"/>
    <x v="4"/>
    <n v="560.89"/>
    <n v="170303.0307"/>
    <s v="Over Budget"/>
    <s v="OK"/>
  </r>
  <r>
    <s v="ITEM-1826"/>
    <x v="8"/>
    <x v="1"/>
    <n v="62.71"/>
    <x v="2"/>
    <n v="1898.45"/>
    <n v="119051.79950000001"/>
    <s v="Over Budget"/>
    <s v="OK"/>
  </r>
  <r>
    <s v="ITEM-1827"/>
    <x v="8"/>
    <x v="3"/>
    <n v="68.14"/>
    <x v="2"/>
    <n v="1591.41"/>
    <n v="108438.6774"/>
    <s v="Over Budget"/>
    <s v="OK"/>
  </r>
  <r>
    <s v="ITEM-1828"/>
    <x v="4"/>
    <x v="2"/>
    <n v="42.11"/>
    <x v="2"/>
    <n v="4890.99"/>
    <n v="205959.5889"/>
    <s v="Over Budget"/>
    <s v="OK"/>
  </r>
  <r>
    <s v="ITEM-1829"/>
    <x v="2"/>
    <x v="3"/>
    <n v="474.56"/>
    <x v="4"/>
    <n v="4970.24"/>
    <n v="2358677.0943999998"/>
    <s v="Over Budget"/>
    <s v="OK"/>
  </r>
  <r>
    <s v="ITEM-1830"/>
    <x v="2"/>
    <x v="3"/>
    <n v="184.96"/>
    <x v="4"/>
    <n v="3676.9"/>
    <n v="680079.424"/>
    <s v="Over Budget"/>
    <s v="OK"/>
  </r>
  <r>
    <s v="ITEM-1831"/>
    <x v="4"/>
    <x v="4"/>
    <n v="491.24"/>
    <x v="1"/>
    <n v="735.46"/>
    <n v="361287.37040000001"/>
    <s v="Over Budget"/>
    <s v="OK"/>
  </r>
  <r>
    <s v="ITEM-1832"/>
    <x v="8"/>
    <x v="2"/>
    <n v="248.44"/>
    <x v="3"/>
    <n v="1893.3"/>
    <n v="470371.45199999999"/>
    <s v="Over Budget"/>
    <s v="OK"/>
  </r>
  <r>
    <s v="ITEM-1833"/>
    <x v="4"/>
    <x v="2"/>
    <n v="291.42"/>
    <x v="3"/>
    <n v="2375.5500000000002"/>
    <n v="692282.78100000008"/>
    <s v="Over Budget"/>
    <s v="OK"/>
  </r>
  <r>
    <s v="ITEM-1834"/>
    <x v="7"/>
    <x v="3"/>
    <n v="468.52"/>
    <x v="0"/>
    <n v="3191.99"/>
    <n v="1495511.1547999999"/>
    <s v="Over Budget"/>
    <s v="OK"/>
  </r>
  <r>
    <s v="ITEM-1835"/>
    <x v="4"/>
    <x v="3"/>
    <n v="258.69"/>
    <x v="0"/>
    <n v="4449.17"/>
    <n v="1150955.7873"/>
    <s v="Over Budget"/>
    <s v="OK"/>
  </r>
  <r>
    <s v="ITEM-1836"/>
    <x v="2"/>
    <x v="3"/>
    <n v="126.26"/>
    <x v="3"/>
    <n v="3656.09"/>
    <n v="461617.92340000003"/>
    <s v="Over Budget"/>
    <s v="OK"/>
  </r>
  <r>
    <s v="ITEM-1837"/>
    <x v="4"/>
    <x v="4"/>
    <n v="119.22"/>
    <x v="1"/>
    <n v="4753.58"/>
    <n v="566721.80759999994"/>
    <s v="Over Budget"/>
    <s v="OK"/>
  </r>
  <r>
    <s v="ITEM-1838"/>
    <x v="9"/>
    <x v="0"/>
    <n v="417.11"/>
    <x v="4"/>
    <n v="3518.33"/>
    <n v="1467530.6263000001"/>
    <s v="Over Budget"/>
    <s v="OK"/>
  </r>
  <r>
    <s v="ITEM-1839"/>
    <x v="5"/>
    <x v="1"/>
    <n v="334.95"/>
    <x v="0"/>
    <n v="3478.77"/>
    <n v="1165214.0115"/>
    <s v="Over Budget"/>
    <s v="OK"/>
  </r>
  <r>
    <s v="ITEM-1840"/>
    <x v="0"/>
    <x v="0"/>
    <n v="180.57"/>
    <x v="3"/>
    <n v="2804.09"/>
    <n v="506334.53130000003"/>
    <s v="Over Budget"/>
    <s v="OK"/>
  </r>
  <r>
    <s v="ITEM-1841"/>
    <x v="0"/>
    <x v="4"/>
    <n v="439.02"/>
    <x v="3"/>
    <n v="3029.7"/>
    <n v="1330098.8939999999"/>
    <s v="Over Budget"/>
    <s v="OK"/>
  </r>
  <r>
    <s v="ITEM-1842"/>
    <x v="4"/>
    <x v="1"/>
    <n v="392.99"/>
    <x v="4"/>
    <n v="1139.75"/>
    <n v="447910.35250000004"/>
    <s v="Over Budget"/>
    <s v="OK"/>
  </r>
  <r>
    <s v="ITEM-1843"/>
    <x v="2"/>
    <x v="4"/>
    <n v="380.07"/>
    <x v="1"/>
    <n v="1748.52"/>
    <n v="664559.99639999995"/>
    <s v="Over Budget"/>
    <s v="OK"/>
  </r>
  <r>
    <s v="ITEM-1844"/>
    <x v="8"/>
    <x v="2"/>
    <n v="337.09"/>
    <x v="1"/>
    <n v="1770.61"/>
    <n v="596854.92489999987"/>
    <s v="Over Budget"/>
    <s v="OK"/>
  </r>
  <r>
    <s v="ITEM-1845"/>
    <x v="5"/>
    <x v="2"/>
    <n v="190.67"/>
    <x v="1"/>
    <n v="348.33"/>
    <n v="66416.081099999996"/>
    <s v="OK"/>
    <s v="OK"/>
  </r>
  <r>
    <s v="ITEM-1846"/>
    <x v="5"/>
    <x v="4"/>
    <n v="451.46"/>
    <x v="4"/>
    <n v="4947.49"/>
    <n v="2233593.8353999997"/>
    <s v="Over Budget"/>
    <s v="OK"/>
  </r>
  <r>
    <s v="ITEM-1847"/>
    <x v="4"/>
    <x v="4"/>
    <n v="228.27"/>
    <x v="2"/>
    <n v="278.64"/>
    <n v="63605.152799999996"/>
    <s v="OK"/>
    <s v="OK"/>
  </r>
  <r>
    <s v="ITEM-1848"/>
    <x v="2"/>
    <x v="1"/>
    <n v="330.08"/>
    <x v="0"/>
    <n v="3423.4"/>
    <n v="1129995.872"/>
    <s v="Over Budget"/>
    <s v="OK"/>
  </r>
  <r>
    <s v="ITEM-1849"/>
    <x v="1"/>
    <x v="2"/>
    <n v="453.37"/>
    <x v="4"/>
    <n v="229.15"/>
    <n v="103889.73550000001"/>
    <s v="Over Budget"/>
    <s v="OK"/>
  </r>
  <r>
    <s v="ITEM-1850"/>
    <x v="7"/>
    <x v="1"/>
    <n v="21.12"/>
    <x v="1"/>
    <n v="3611.02"/>
    <n v="76264.742400000003"/>
    <s v="OK"/>
    <s v="OK"/>
  </r>
  <r>
    <s v="ITEM-1851"/>
    <x v="7"/>
    <x v="1"/>
    <n v="431.72"/>
    <x v="2"/>
    <n v="1889.05"/>
    <n v="815540.66600000008"/>
    <s v="Over Budget"/>
    <s v="OK"/>
  </r>
  <r>
    <s v="ITEM-1852"/>
    <x v="6"/>
    <x v="4"/>
    <n v="495.23"/>
    <x v="2"/>
    <n v="3029.11"/>
    <n v="1500106.1453000002"/>
    <s v="Over Budget"/>
    <s v="OK"/>
  </r>
  <r>
    <s v="ITEM-1853"/>
    <x v="1"/>
    <x v="4"/>
    <n v="454.67"/>
    <x v="1"/>
    <n v="1578.24"/>
    <n v="717578.38080000004"/>
    <s v="Over Budget"/>
    <s v="OK"/>
  </r>
  <r>
    <s v="ITEM-1854"/>
    <x v="9"/>
    <x v="3"/>
    <n v="49.09"/>
    <x v="2"/>
    <n v="3717.33"/>
    <n v="182483.7297"/>
    <s v="Over Budget"/>
    <s v="OK"/>
  </r>
  <r>
    <s v="ITEM-1855"/>
    <x v="5"/>
    <x v="2"/>
    <n v="405.64"/>
    <x v="2"/>
    <n v="1721.6"/>
    <n v="698349.82399999991"/>
    <s v="Over Budget"/>
    <s v="OK"/>
  </r>
  <r>
    <s v="ITEM-1856"/>
    <x v="9"/>
    <x v="0"/>
    <n v="389.75"/>
    <x v="4"/>
    <n v="4176.9399999999996"/>
    <n v="1627962.3649999998"/>
    <s v="Over Budget"/>
    <s v="OK"/>
  </r>
  <r>
    <s v="ITEM-1857"/>
    <x v="4"/>
    <x v="1"/>
    <n v="276.42"/>
    <x v="1"/>
    <n v="1025.57"/>
    <n v="283488.05940000003"/>
    <s v="Over Budget"/>
    <s v="OK"/>
  </r>
  <r>
    <s v="ITEM-1858"/>
    <x v="0"/>
    <x v="4"/>
    <n v="390.17"/>
    <x v="1"/>
    <n v="3414.46"/>
    <n v="1332219.8582000001"/>
    <s v="Over Budget"/>
    <s v="OK"/>
  </r>
  <r>
    <s v="ITEM-1859"/>
    <x v="3"/>
    <x v="0"/>
    <n v="132.66"/>
    <x v="4"/>
    <n v="3882.43"/>
    <n v="515043.16379999998"/>
    <s v="Over Budget"/>
    <s v="OK"/>
  </r>
  <r>
    <s v="ITEM-1860"/>
    <x v="2"/>
    <x v="4"/>
    <n v="277.19"/>
    <x v="1"/>
    <n v="4354.97"/>
    <n v="1207154.1343"/>
    <s v="Over Budget"/>
    <s v="OK"/>
  </r>
  <r>
    <s v="ITEM-1861"/>
    <x v="2"/>
    <x v="3"/>
    <n v="494.04"/>
    <x v="1"/>
    <n v="4048.7"/>
    <n v="2000219.7479999999"/>
    <s v="Over Budget"/>
    <s v="OK"/>
  </r>
  <r>
    <s v="ITEM-1862"/>
    <x v="7"/>
    <x v="2"/>
    <n v="221.74"/>
    <x v="1"/>
    <n v="3516.38"/>
    <n v="779722.10120000003"/>
    <s v="Over Budget"/>
    <s v="OK"/>
  </r>
  <r>
    <s v="ITEM-1863"/>
    <x v="6"/>
    <x v="1"/>
    <n v="105.74"/>
    <x v="4"/>
    <n v="1642.36"/>
    <n v="173663.14639999997"/>
    <s v="Over Budget"/>
    <s v="OK"/>
  </r>
  <r>
    <s v="ITEM-1864"/>
    <x v="2"/>
    <x v="0"/>
    <n v="2.2000000000000002"/>
    <x v="0"/>
    <n v="4046.54"/>
    <n v="8902.3880000000008"/>
    <s v="OK"/>
    <s v="OK"/>
  </r>
  <r>
    <s v="ITEM-1865"/>
    <x v="8"/>
    <x v="1"/>
    <n v="448.62"/>
    <x v="4"/>
    <n v="330.02"/>
    <n v="148053.5724"/>
    <s v="Over Budget"/>
    <s v="OK"/>
  </r>
  <r>
    <s v="ITEM-1866"/>
    <x v="2"/>
    <x v="2"/>
    <n v="120.18"/>
    <x v="2"/>
    <n v="87.84"/>
    <n v="10556.611200000001"/>
    <s v="OK"/>
    <s v="OK"/>
  </r>
  <r>
    <s v="ITEM-1867"/>
    <x v="7"/>
    <x v="0"/>
    <n v="358.97"/>
    <x v="2"/>
    <n v="1261.7"/>
    <n v="452912.44900000002"/>
    <s v="Over Budget"/>
    <s v="OK"/>
  </r>
  <r>
    <s v="ITEM-1868"/>
    <x v="5"/>
    <x v="3"/>
    <n v="73.7"/>
    <x v="4"/>
    <n v="3390.73"/>
    <n v="249896.80100000001"/>
    <s v="Over Budget"/>
    <s v="OK"/>
  </r>
  <r>
    <s v="ITEM-1869"/>
    <x v="6"/>
    <x v="0"/>
    <n v="233.9"/>
    <x v="4"/>
    <n v="3610.26"/>
    <n v="844439.81400000013"/>
    <s v="Over Budget"/>
    <s v="OK"/>
  </r>
  <r>
    <s v="ITEM-1870"/>
    <x v="3"/>
    <x v="4"/>
    <n v="362.29"/>
    <x v="4"/>
    <n v="3782.72"/>
    <n v="1370441.6288000001"/>
    <s v="Over Budget"/>
    <s v="OK"/>
  </r>
  <r>
    <s v="ITEM-1871"/>
    <x v="0"/>
    <x v="2"/>
    <n v="153.38"/>
    <x v="4"/>
    <n v="4291.4399999999996"/>
    <n v="658221.06719999993"/>
    <s v="Over Budget"/>
    <s v="OK"/>
  </r>
  <r>
    <s v="ITEM-1872"/>
    <x v="5"/>
    <x v="0"/>
    <n v="497.95"/>
    <x v="0"/>
    <n v="3482.68"/>
    <n v="1734200.5059999998"/>
    <s v="Over Budget"/>
    <s v="OK"/>
  </r>
  <r>
    <s v="ITEM-1873"/>
    <x v="9"/>
    <x v="1"/>
    <n v="221.69"/>
    <x v="0"/>
    <n v="4397.8"/>
    <n v="974948.28200000001"/>
    <s v="Over Budget"/>
    <s v="OK"/>
  </r>
  <r>
    <s v="ITEM-1874"/>
    <x v="3"/>
    <x v="4"/>
    <n v="133.61000000000001"/>
    <x v="4"/>
    <n v="2900.63"/>
    <n v="387553.17430000007"/>
    <s v="Over Budget"/>
    <s v="OK"/>
  </r>
  <r>
    <s v="ITEM-1875"/>
    <x v="9"/>
    <x v="2"/>
    <n v="406.34"/>
    <x v="4"/>
    <n v="1169.01"/>
    <n v="475015.52339999995"/>
    <s v="Over Budget"/>
    <s v="OK"/>
  </r>
  <r>
    <s v="ITEM-1876"/>
    <x v="4"/>
    <x v="3"/>
    <n v="396.97"/>
    <x v="2"/>
    <n v="1061.0899999999999"/>
    <n v="421220.89730000001"/>
    <s v="Over Budget"/>
    <s v="OK"/>
  </r>
  <r>
    <s v="ITEM-1877"/>
    <x v="1"/>
    <x v="0"/>
    <n v="263.5"/>
    <x v="0"/>
    <n v="1246.79"/>
    <n v="328529.16499999998"/>
    <s v="Over Budget"/>
    <s v="OK"/>
  </r>
  <r>
    <s v="ITEM-1878"/>
    <x v="3"/>
    <x v="3"/>
    <n v="184.63"/>
    <x v="4"/>
    <n v="3896.81"/>
    <n v="719468.03029999998"/>
    <s v="Over Budget"/>
    <s v="OK"/>
  </r>
  <r>
    <s v="ITEM-1879"/>
    <x v="7"/>
    <x v="4"/>
    <n v="156.06"/>
    <x v="3"/>
    <n v="1010.98"/>
    <n v="157773.53880000001"/>
    <s v="Over Budget"/>
    <s v="OK"/>
  </r>
  <r>
    <s v="ITEM-1880"/>
    <x v="7"/>
    <x v="0"/>
    <n v="19.98"/>
    <x v="0"/>
    <n v="3132.42"/>
    <n v="62585.751600000003"/>
    <s v="OK"/>
    <s v="OK"/>
  </r>
  <r>
    <s v="ITEM-1881"/>
    <x v="1"/>
    <x v="2"/>
    <n v="93.57"/>
    <x v="4"/>
    <n v="3202.1"/>
    <n v="299620.49699999997"/>
    <s v="Over Budget"/>
    <s v="OK"/>
  </r>
  <r>
    <s v="ITEM-1882"/>
    <x v="3"/>
    <x v="4"/>
    <n v="52.96"/>
    <x v="3"/>
    <n v="4269.0200000000004"/>
    <n v="226087.29920000004"/>
    <s v="Over Budget"/>
    <s v="OK"/>
  </r>
  <r>
    <s v="ITEM-1883"/>
    <x v="0"/>
    <x v="1"/>
    <n v="234.03"/>
    <x v="0"/>
    <n v="1592.2"/>
    <n v="372622.56599999999"/>
    <s v="Over Budget"/>
    <s v="OK"/>
  </r>
  <r>
    <s v="ITEM-1884"/>
    <x v="1"/>
    <x v="4"/>
    <n v="102.63"/>
    <x v="2"/>
    <n v="1033.8"/>
    <n v="106098.89399999999"/>
    <s v="Over Budget"/>
    <s v="OK"/>
  </r>
  <r>
    <s v="ITEM-1885"/>
    <x v="8"/>
    <x v="0"/>
    <n v="349.31"/>
    <x v="1"/>
    <n v="2272.6"/>
    <n v="793841.90599999996"/>
    <s v="Over Budget"/>
    <s v="OK"/>
  </r>
  <r>
    <s v="ITEM-1886"/>
    <x v="9"/>
    <x v="0"/>
    <n v="39.33"/>
    <x v="0"/>
    <n v="1966.28"/>
    <n v="77333.792399999991"/>
    <s v="OK"/>
    <s v="OK"/>
  </r>
  <r>
    <s v="ITEM-1887"/>
    <x v="0"/>
    <x v="2"/>
    <n v="275.38"/>
    <x v="4"/>
    <n v="2711.79"/>
    <n v="746772.73019999999"/>
    <s v="Over Budget"/>
    <s v="OK"/>
  </r>
  <r>
    <s v="ITEM-1888"/>
    <x v="9"/>
    <x v="4"/>
    <n v="168.36"/>
    <x v="4"/>
    <n v="3275.04"/>
    <n v="551385.73440000007"/>
    <s v="Over Budget"/>
    <s v="OK"/>
  </r>
  <r>
    <s v="ITEM-1889"/>
    <x v="3"/>
    <x v="2"/>
    <n v="149.58000000000001"/>
    <x v="3"/>
    <n v="3171.35"/>
    <n v="474370.53300000005"/>
    <s v="Over Budget"/>
    <s v="OK"/>
  </r>
  <r>
    <s v="ITEM-1890"/>
    <x v="9"/>
    <x v="1"/>
    <n v="218.16"/>
    <x v="2"/>
    <n v="1944.32"/>
    <n v="424172.85119999998"/>
    <s v="Over Budget"/>
    <s v="OK"/>
  </r>
  <r>
    <s v="ITEM-1891"/>
    <x v="7"/>
    <x v="4"/>
    <n v="386.39"/>
    <x v="1"/>
    <n v="2069.8200000000002"/>
    <n v="799757.74979999999"/>
    <s v="Over Budget"/>
    <s v="OK"/>
  </r>
  <r>
    <s v="ITEM-1892"/>
    <x v="1"/>
    <x v="2"/>
    <n v="223.65"/>
    <x v="4"/>
    <n v="914.88"/>
    <n v="204612.91200000001"/>
    <s v="Over Budget"/>
    <s v="OK"/>
  </r>
  <r>
    <s v="ITEM-1893"/>
    <x v="9"/>
    <x v="0"/>
    <n v="126.76"/>
    <x v="2"/>
    <n v="2069.54"/>
    <n v="262334.89040000003"/>
    <s v="Over Budget"/>
    <s v="OK"/>
  </r>
  <r>
    <s v="ITEM-1894"/>
    <x v="3"/>
    <x v="1"/>
    <n v="420.16"/>
    <x v="0"/>
    <n v="1695.92"/>
    <n v="712557.7472000001"/>
    <s v="Over Budget"/>
    <s v="OK"/>
  </r>
  <r>
    <s v="ITEM-1895"/>
    <x v="6"/>
    <x v="0"/>
    <n v="233.19"/>
    <x v="0"/>
    <n v="2572.88"/>
    <n v="599969.8872"/>
    <s v="Over Budget"/>
    <s v="OK"/>
  </r>
  <r>
    <s v="ITEM-1896"/>
    <x v="3"/>
    <x v="1"/>
    <n v="465.25"/>
    <x v="0"/>
    <n v="1760.12"/>
    <n v="818895.83"/>
    <s v="Over Budget"/>
    <s v="OK"/>
  </r>
  <r>
    <s v="ITEM-1897"/>
    <x v="4"/>
    <x v="0"/>
    <n v="223.41"/>
    <x v="2"/>
    <n v="4262.16"/>
    <n v="952209.16559999995"/>
    <s v="Over Budget"/>
    <s v="OK"/>
  </r>
  <r>
    <s v="ITEM-1898"/>
    <x v="5"/>
    <x v="4"/>
    <n v="360.45"/>
    <x v="4"/>
    <n v="373.45"/>
    <n v="134610.05249999999"/>
    <s v="Over Budget"/>
    <s v="OK"/>
  </r>
  <r>
    <s v="ITEM-1899"/>
    <x v="1"/>
    <x v="1"/>
    <n v="133.57"/>
    <x v="4"/>
    <n v="1263.9100000000001"/>
    <n v="168820.45869999999"/>
    <s v="Over Budget"/>
    <s v="OK"/>
  </r>
  <r>
    <s v="ITEM-1900"/>
    <x v="5"/>
    <x v="1"/>
    <n v="394.63"/>
    <x v="0"/>
    <n v="4732.37"/>
    <n v="1867535.1731"/>
    <s v="Over Budget"/>
    <s v="OK"/>
  </r>
  <r>
    <s v="ITEM-1901"/>
    <x v="5"/>
    <x v="0"/>
    <n v="446.6"/>
    <x v="1"/>
    <n v="3048.79"/>
    <n v="1361589.6140000001"/>
    <s v="Over Budget"/>
    <s v="OK"/>
  </r>
  <r>
    <s v="ITEM-1902"/>
    <x v="6"/>
    <x v="2"/>
    <n v="104.54"/>
    <x v="3"/>
    <n v="2457.7199999999998"/>
    <n v="256930.04879999999"/>
    <s v="Over Budget"/>
    <s v="OK"/>
  </r>
  <r>
    <s v="ITEM-1903"/>
    <x v="4"/>
    <x v="3"/>
    <n v="225.37"/>
    <x v="4"/>
    <n v="471.38"/>
    <n v="106234.9106"/>
    <s v="Over Budget"/>
    <s v="OK"/>
  </r>
  <r>
    <s v="ITEM-1904"/>
    <x v="0"/>
    <x v="2"/>
    <n v="350.8"/>
    <x v="2"/>
    <n v="2633.68"/>
    <n v="923894.94400000002"/>
    <s v="Over Budget"/>
    <s v="OK"/>
  </r>
  <r>
    <s v="ITEM-1905"/>
    <x v="6"/>
    <x v="1"/>
    <n v="28.02"/>
    <x v="1"/>
    <n v="4860.93"/>
    <n v="136203.2586"/>
    <s v="Over Budget"/>
    <s v="OK"/>
  </r>
  <r>
    <s v="ITEM-1906"/>
    <x v="8"/>
    <x v="4"/>
    <n v="492.29"/>
    <x v="3"/>
    <n v="1141.8"/>
    <n v="562096.72199999995"/>
    <s v="Over Budget"/>
    <s v="OK"/>
  </r>
  <r>
    <s v="ITEM-1907"/>
    <x v="0"/>
    <x v="4"/>
    <n v="27.9"/>
    <x v="4"/>
    <n v="3283.34"/>
    <n v="91605.186000000002"/>
    <s v="OK"/>
    <s v="OK"/>
  </r>
  <r>
    <s v="ITEM-1908"/>
    <x v="6"/>
    <x v="4"/>
    <n v="480.29"/>
    <x v="4"/>
    <n v="2795.27"/>
    <n v="1342540.2283000001"/>
    <s v="Over Budget"/>
    <s v="OK"/>
  </r>
  <r>
    <s v="ITEM-1909"/>
    <x v="1"/>
    <x v="1"/>
    <n v="477.74"/>
    <x v="2"/>
    <n v="4350.5600000000004"/>
    <n v="2078436.5344000002"/>
    <s v="Over Budget"/>
    <s v="OK"/>
  </r>
  <r>
    <s v="ITEM-1910"/>
    <x v="6"/>
    <x v="3"/>
    <n v="240.43"/>
    <x v="1"/>
    <n v="3174.38"/>
    <n v="763216.1834000001"/>
    <s v="Over Budget"/>
    <s v="OK"/>
  </r>
  <r>
    <s v="ITEM-1911"/>
    <x v="5"/>
    <x v="0"/>
    <n v="60.88"/>
    <x v="3"/>
    <n v="4588.37"/>
    <n v="279339.9656"/>
    <s v="Over Budget"/>
    <s v="OK"/>
  </r>
  <r>
    <s v="ITEM-1912"/>
    <x v="4"/>
    <x v="1"/>
    <n v="376.77"/>
    <x v="2"/>
    <n v="4437.6499999999996"/>
    <n v="1671973.3904999997"/>
    <s v="Over Budget"/>
    <s v="OK"/>
  </r>
  <r>
    <s v="ITEM-1913"/>
    <x v="7"/>
    <x v="0"/>
    <n v="285.68"/>
    <x v="2"/>
    <n v="2806.96"/>
    <n v="801892.33279999997"/>
    <s v="Over Budget"/>
    <s v="OK"/>
  </r>
  <r>
    <s v="ITEM-1914"/>
    <x v="4"/>
    <x v="1"/>
    <n v="440.39"/>
    <x v="0"/>
    <n v="2673.7"/>
    <n v="1177470.7429999998"/>
    <s v="Over Budget"/>
    <s v="OK"/>
  </r>
  <r>
    <s v="ITEM-1915"/>
    <x v="5"/>
    <x v="0"/>
    <n v="160.99"/>
    <x v="4"/>
    <n v="3348.16"/>
    <n v="539020.27839999995"/>
    <s v="Over Budget"/>
    <s v="OK"/>
  </r>
  <r>
    <s v="ITEM-1916"/>
    <x v="8"/>
    <x v="1"/>
    <n v="24.68"/>
    <x v="4"/>
    <n v="2075.63"/>
    <n v="51226.5484"/>
    <s v="OK"/>
    <s v="OK"/>
  </r>
  <r>
    <s v="ITEM-1917"/>
    <x v="9"/>
    <x v="1"/>
    <n v="381.88"/>
    <x v="1"/>
    <n v="4169.04"/>
    <n v="1592072.9952"/>
    <s v="Over Budget"/>
    <s v="OK"/>
  </r>
  <r>
    <s v="ITEM-1918"/>
    <x v="7"/>
    <x v="3"/>
    <n v="281.86"/>
    <x v="4"/>
    <n v="2759.41"/>
    <n v="777767.30260000005"/>
    <s v="Over Budget"/>
    <s v="OK"/>
  </r>
  <r>
    <s v="ITEM-1919"/>
    <x v="7"/>
    <x v="1"/>
    <n v="143.94"/>
    <x v="1"/>
    <n v="937.67"/>
    <n v="134968.21979999999"/>
    <s v="Over Budget"/>
    <s v="OK"/>
  </r>
  <r>
    <s v="ITEM-1920"/>
    <x v="5"/>
    <x v="4"/>
    <n v="389.36"/>
    <x v="3"/>
    <n v="3820.25"/>
    <n v="1487452.54"/>
    <s v="Over Budget"/>
    <s v="OK"/>
  </r>
  <r>
    <s v="ITEM-1921"/>
    <x v="4"/>
    <x v="3"/>
    <n v="32.85"/>
    <x v="0"/>
    <n v="3490.91"/>
    <n v="114676.39350000001"/>
    <s v="Over Budget"/>
    <s v="OK"/>
  </r>
  <r>
    <s v="ITEM-1922"/>
    <x v="3"/>
    <x v="1"/>
    <n v="477.55"/>
    <x v="2"/>
    <n v="4462.2299999999996"/>
    <n v="2130937.9364999998"/>
    <s v="Over Budget"/>
    <s v="OK"/>
  </r>
  <r>
    <s v="ITEM-1923"/>
    <x v="8"/>
    <x v="0"/>
    <n v="463.95"/>
    <x v="0"/>
    <n v="1314.32"/>
    <n v="609778.76399999997"/>
    <s v="Over Budget"/>
    <s v="OK"/>
  </r>
  <r>
    <s v="ITEM-1924"/>
    <x v="7"/>
    <x v="3"/>
    <n v="113.92"/>
    <x v="2"/>
    <n v="1881.42"/>
    <n v="214331.3664"/>
    <s v="Over Budget"/>
    <s v="OK"/>
  </r>
  <r>
    <s v="ITEM-1925"/>
    <x v="6"/>
    <x v="3"/>
    <n v="116.44"/>
    <x v="1"/>
    <n v="607.64"/>
    <n v="70753.601599999995"/>
    <s v="OK"/>
    <s v="OK"/>
  </r>
  <r>
    <s v="ITEM-1926"/>
    <x v="5"/>
    <x v="0"/>
    <n v="332.67"/>
    <x v="2"/>
    <n v="4743.34"/>
    <n v="1577966.9178000002"/>
    <s v="Over Budget"/>
    <s v="OK"/>
  </r>
  <r>
    <s v="ITEM-1927"/>
    <x v="4"/>
    <x v="0"/>
    <n v="336.99"/>
    <x v="2"/>
    <n v="2661.06"/>
    <n v="896750.60939999996"/>
    <s v="Over Budget"/>
    <s v="OK"/>
  </r>
  <r>
    <s v="ITEM-1928"/>
    <x v="7"/>
    <x v="0"/>
    <n v="32.54"/>
    <x v="3"/>
    <n v="4860.4399999999996"/>
    <n v="158158.71759999997"/>
    <s v="Over Budget"/>
    <s v="OK"/>
  </r>
  <r>
    <s v="ITEM-1929"/>
    <x v="4"/>
    <x v="4"/>
    <n v="324.08"/>
    <x v="4"/>
    <n v="838.83"/>
    <n v="271848.02639999997"/>
    <s v="Over Budget"/>
    <s v="OK"/>
  </r>
  <r>
    <s v="ITEM-1930"/>
    <x v="9"/>
    <x v="2"/>
    <n v="380.96"/>
    <x v="0"/>
    <n v="4212.53"/>
    <n v="1604805.4287999999"/>
    <s v="Over Budget"/>
    <s v="OK"/>
  </r>
  <r>
    <s v="ITEM-1931"/>
    <x v="6"/>
    <x v="1"/>
    <n v="336.94"/>
    <x v="1"/>
    <n v="2264.63"/>
    <n v="763044.43220000004"/>
    <s v="Over Budget"/>
    <s v="OK"/>
  </r>
  <r>
    <s v="ITEM-1932"/>
    <x v="6"/>
    <x v="2"/>
    <n v="386.22"/>
    <x v="1"/>
    <n v="3124.15"/>
    <n v="1206609.2130000002"/>
    <s v="Over Budget"/>
    <s v="OK"/>
  </r>
  <r>
    <s v="ITEM-1933"/>
    <x v="1"/>
    <x v="3"/>
    <n v="145.63"/>
    <x v="0"/>
    <n v="4975.75"/>
    <n v="724618.47250000003"/>
    <s v="Over Budget"/>
    <s v="OK"/>
  </r>
  <r>
    <s v="ITEM-1934"/>
    <x v="2"/>
    <x v="0"/>
    <n v="347.3"/>
    <x v="3"/>
    <n v="3863.06"/>
    <n v="1341640.7380000001"/>
    <s v="Over Budget"/>
    <s v="OK"/>
  </r>
  <r>
    <s v="ITEM-1935"/>
    <x v="5"/>
    <x v="4"/>
    <n v="292.05"/>
    <x v="3"/>
    <n v="4020.42"/>
    <n v="1174163.6610000001"/>
    <s v="Over Budget"/>
    <s v="OK"/>
  </r>
  <r>
    <s v="ITEM-1936"/>
    <x v="8"/>
    <x v="3"/>
    <n v="355.92"/>
    <x v="3"/>
    <n v="3398.19"/>
    <n v="1209483.7848"/>
    <s v="Over Budget"/>
    <s v="OK"/>
  </r>
  <r>
    <s v="ITEM-1937"/>
    <x v="8"/>
    <x v="0"/>
    <n v="17.649999999999999"/>
    <x v="3"/>
    <n v="523.02"/>
    <n v="9231.3029999999981"/>
    <s v="OK"/>
    <s v="OK"/>
  </r>
  <r>
    <s v="ITEM-1938"/>
    <x v="5"/>
    <x v="0"/>
    <n v="198.7"/>
    <x v="2"/>
    <n v="646.65"/>
    <n v="128489.35499999998"/>
    <s v="Over Budget"/>
    <s v="OK"/>
  </r>
  <r>
    <s v="ITEM-1939"/>
    <x v="9"/>
    <x v="1"/>
    <n v="334.87"/>
    <x v="3"/>
    <n v="3379.85"/>
    <n v="1131810.3695"/>
    <s v="Over Budget"/>
    <s v="OK"/>
  </r>
  <r>
    <s v="ITEM-1940"/>
    <x v="1"/>
    <x v="0"/>
    <n v="418.3"/>
    <x v="0"/>
    <n v="149.32"/>
    <n v="62460.555999999997"/>
    <s v="OK"/>
    <s v="OK"/>
  </r>
  <r>
    <s v="ITEM-1941"/>
    <x v="1"/>
    <x v="3"/>
    <n v="33.78"/>
    <x v="4"/>
    <n v="2015.34"/>
    <n v="68078.185199999993"/>
    <s v="OK"/>
    <s v="OK"/>
  </r>
  <r>
    <s v="ITEM-1942"/>
    <x v="2"/>
    <x v="4"/>
    <n v="487.84"/>
    <x v="1"/>
    <n v="2350.1999999999998"/>
    <n v="1146521.5679999997"/>
    <s v="Over Budget"/>
    <s v="OK"/>
  </r>
  <r>
    <s v="ITEM-1943"/>
    <x v="9"/>
    <x v="2"/>
    <n v="421.6"/>
    <x v="2"/>
    <n v="2923.7"/>
    <n v="1232631.92"/>
    <s v="Over Budget"/>
    <s v="OK"/>
  </r>
  <r>
    <s v="ITEM-1944"/>
    <x v="4"/>
    <x v="1"/>
    <n v="301.25"/>
    <x v="2"/>
    <n v="2586.62"/>
    <n v="779219.27500000002"/>
    <s v="Over Budget"/>
    <s v="OK"/>
  </r>
  <r>
    <s v="ITEM-1945"/>
    <x v="6"/>
    <x v="3"/>
    <n v="284.79000000000002"/>
    <x v="0"/>
    <n v="647.22"/>
    <n v="184321.78380000003"/>
    <s v="Over Budget"/>
    <s v="OK"/>
  </r>
  <r>
    <s v="ITEM-1946"/>
    <x v="2"/>
    <x v="1"/>
    <n v="39.03"/>
    <x v="1"/>
    <n v="968.86"/>
    <n v="37814.605800000005"/>
    <s v="OK"/>
    <s v="OK"/>
  </r>
  <r>
    <s v="ITEM-1947"/>
    <x v="5"/>
    <x v="2"/>
    <n v="5.73"/>
    <x v="3"/>
    <n v="2166.88"/>
    <n v="12416.222400000002"/>
    <s v="OK"/>
    <s v="OK"/>
  </r>
  <r>
    <s v="ITEM-1948"/>
    <x v="4"/>
    <x v="0"/>
    <n v="232.14"/>
    <x v="3"/>
    <n v="1076.74"/>
    <n v="249954.42359999998"/>
    <s v="Over Budget"/>
    <s v="OK"/>
  </r>
  <r>
    <s v="ITEM-1949"/>
    <x v="1"/>
    <x v="4"/>
    <n v="344.92"/>
    <x v="1"/>
    <n v="3697.36"/>
    <n v="1275293.4112000002"/>
    <s v="Over Budget"/>
    <s v="OK"/>
  </r>
  <r>
    <s v="ITEM-1950"/>
    <x v="1"/>
    <x v="3"/>
    <n v="222.49"/>
    <x v="4"/>
    <n v="1641.28"/>
    <n v="365168.3872"/>
    <s v="Over Budget"/>
    <s v="OK"/>
  </r>
  <r>
    <s v="ITEM-1951"/>
    <x v="4"/>
    <x v="1"/>
    <n v="433.13"/>
    <x v="2"/>
    <n v="1929.07"/>
    <n v="835538.08909999998"/>
    <s v="Over Budget"/>
    <s v="OK"/>
  </r>
  <r>
    <s v="ITEM-1952"/>
    <x v="6"/>
    <x v="3"/>
    <n v="445.59"/>
    <x v="3"/>
    <n v="4693.7"/>
    <n v="2091465.7829999998"/>
    <s v="Over Budget"/>
    <s v="OK"/>
  </r>
  <r>
    <s v="ITEM-1953"/>
    <x v="0"/>
    <x v="4"/>
    <n v="220.89"/>
    <x v="3"/>
    <n v="3039.78"/>
    <n v="671457.00419999997"/>
    <s v="Over Budget"/>
    <s v="OK"/>
  </r>
  <r>
    <s v="ITEM-1954"/>
    <x v="9"/>
    <x v="0"/>
    <n v="475.54"/>
    <x v="3"/>
    <n v="2716.55"/>
    <n v="1291828.1870000002"/>
    <s v="Over Budget"/>
    <s v="OK"/>
  </r>
  <r>
    <s v="ITEM-1955"/>
    <x v="9"/>
    <x v="4"/>
    <n v="349.75"/>
    <x v="2"/>
    <n v="4385.9799999999996"/>
    <n v="1533996.5049999999"/>
    <s v="Over Budget"/>
    <s v="OK"/>
  </r>
  <r>
    <s v="ITEM-1956"/>
    <x v="9"/>
    <x v="1"/>
    <n v="459.15"/>
    <x v="4"/>
    <n v="3119.31"/>
    <n v="1432231.1864999998"/>
    <s v="Over Budget"/>
    <s v="OK"/>
  </r>
  <r>
    <s v="ITEM-1957"/>
    <x v="5"/>
    <x v="1"/>
    <n v="108.29"/>
    <x v="1"/>
    <n v="4589.04"/>
    <n v="496947.14160000003"/>
    <s v="Over Budget"/>
    <s v="OK"/>
  </r>
  <r>
    <s v="ITEM-1958"/>
    <x v="9"/>
    <x v="3"/>
    <n v="381.28"/>
    <x v="1"/>
    <n v="606.11"/>
    <n v="231097.62079999998"/>
    <s v="Over Budget"/>
    <s v="OK"/>
  </r>
  <r>
    <s v="ITEM-1959"/>
    <x v="7"/>
    <x v="0"/>
    <n v="336.21"/>
    <x v="0"/>
    <n v="4739.6099999999997"/>
    <n v="1593504.2780999998"/>
    <s v="Over Budget"/>
    <s v="OK"/>
  </r>
  <r>
    <s v="ITEM-1960"/>
    <x v="2"/>
    <x v="4"/>
    <n v="499.58"/>
    <x v="2"/>
    <n v="4173.24"/>
    <n v="2084867.2391999997"/>
    <s v="Over Budget"/>
    <s v="OK"/>
  </r>
  <r>
    <s v="ITEM-1961"/>
    <x v="4"/>
    <x v="3"/>
    <n v="409.43"/>
    <x v="3"/>
    <n v="2856.29"/>
    <n v="1169450.8147"/>
    <s v="Over Budget"/>
    <s v="OK"/>
  </r>
  <r>
    <s v="ITEM-1962"/>
    <x v="5"/>
    <x v="3"/>
    <n v="447.26"/>
    <x v="3"/>
    <n v="2893.51"/>
    <n v="1294151.2826"/>
    <s v="Over Budget"/>
    <s v="OK"/>
  </r>
  <r>
    <s v="ITEM-1963"/>
    <x v="7"/>
    <x v="2"/>
    <n v="207.57"/>
    <x v="3"/>
    <n v="2866.5"/>
    <n v="594999.40500000003"/>
    <s v="Over Budget"/>
    <s v="OK"/>
  </r>
  <r>
    <s v="ITEM-1964"/>
    <x v="0"/>
    <x v="4"/>
    <n v="329.4"/>
    <x v="2"/>
    <n v="192.13"/>
    <n v="63287.621999999996"/>
    <s v="OK"/>
    <s v="OK"/>
  </r>
  <r>
    <s v="ITEM-1965"/>
    <x v="1"/>
    <x v="4"/>
    <n v="215.52"/>
    <x v="4"/>
    <n v="1752.5"/>
    <n v="377698.80000000005"/>
    <s v="Over Budget"/>
    <s v="OK"/>
  </r>
  <r>
    <s v="ITEM-1966"/>
    <x v="2"/>
    <x v="2"/>
    <n v="352.67"/>
    <x v="2"/>
    <n v="4655.92"/>
    <n v="1642003.3064000001"/>
    <s v="Over Budget"/>
    <s v="OK"/>
  </r>
  <r>
    <s v="ITEM-1967"/>
    <x v="9"/>
    <x v="3"/>
    <n v="126.43"/>
    <x v="3"/>
    <n v="3804.02"/>
    <n v="480942.24860000005"/>
    <s v="Over Budget"/>
    <s v="OK"/>
  </r>
  <r>
    <s v="ITEM-1968"/>
    <x v="9"/>
    <x v="3"/>
    <n v="87.7"/>
    <x v="4"/>
    <n v="4731.97"/>
    <n v="414993.76900000003"/>
    <s v="Over Budget"/>
    <s v="OK"/>
  </r>
  <r>
    <s v="ITEM-1969"/>
    <x v="4"/>
    <x v="2"/>
    <n v="141.44"/>
    <x v="4"/>
    <n v="1938.86"/>
    <n v="274232.35839999997"/>
    <s v="Over Budget"/>
    <s v="OK"/>
  </r>
  <r>
    <s v="ITEM-1970"/>
    <x v="8"/>
    <x v="4"/>
    <n v="292.94"/>
    <x v="4"/>
    <n v="3788.98"/>
    <n v="1109943.8012000001"/>
    <s v="Over Budget"/>
    <s v="OK"/>
  </r>
  <r>
    <s v="ITEM-1971"/>
    <x v="2"/>
    <x v="0"/>
    <n v="485.85"/>
    <x v="2"/>
    <n v="4705.16"/>
    <n v="2286001.986"/>
    <s v="Over Budget"/>
    <s v="OK"/>
  </r>
  <r>
    <s v="ITEM-1972"/>
    <x v="5"/>
    <x v="2"/>
    <n v="381.66"/>
    <x v="2"/>
    <n v="3650.88"/>
    <n v="1393394.8608000001"/>
    <s v="Over Budget"/>
    <s v="OK"/>
  </r>
  <r>
    <s v="ITEM-1973"/>
    <x v="6"/>
    <x v="2"/>
    <n v="260.64"/>
    <x v="1"/>
    <n v="862.07"/>
    <n v="224689.92480000001"/>
    <s v="Over Budget"/>
    <s v="OK"/>
  </r>
  <r>
    <s v="ITEM-1974"/>
    <x v="9"/>
    <x v="4"/>
    <n v="197.78"/>
    <x v="2"/>
    <n v="4342.92"/>
    <n v="858942.71759999997"/>
    <s v="Over Budget"/>
    <s v="OK"/>
  </r>
  <r>
    <s v="ITEM-1975"/>
    <x v="7"/>
    <x v="0"/>
    <n v="302.41000000000003"/>
    <x v="4"/>
    <n v="1635.84"/>
    <n v="494694.37440000003"/>
    <s v="Over Budget"/>
    <s v="OK"/>
  </r>
  <r>
    <s v="ITEM-1976"/>
    <x v="7"/>
    <x v="4"/>
    <n v="289.89"/>
    <x v="3"/>
    <n v="3106.22"/>
    <n v="900462.11579999991"/>
    <s v="Over Budget"/>
    <s v="OK"/>
  </r>
  <r>
    <s v="ITEM-1977"/>
    <x v="3"/>
    <x v="0"/>
    <n v="264.5"/>
    <x v="0"/>
    <n v="4099.6400000000003"/>
    <n v="1084354.78"/>
    <s v="Over Budget"/>
    <s v="OK"/>
  </r>
  <r>
    <s v="ITEM-1978"/>
    <x v="6"/>
    <x v="2"/>
    <n v="400.12"/>
    <x v="1"/>
    <n v="3714.04"/>
    <n v="1486061.6847999999"/>
    <s v="Over Budget"/>
    <s v="OK"/>
  </r>
  <r>
    <s v="ITEM-1979"/>
    <x v="3"/>
    <x v="2"/>
    <n v="123.08"/>
    <x v="3"/>
    <n v="2987.42"/>
    <n v="367691.65360000002"/>
    <s v="Over Budget"/>
    <s v="OK"/>
  </r>
  <r>
    <s v="ITEM-1980"/>
    <x v="8"/>
    <x v="3"/>
    <n v="493.41"/>
    <x v="2"/>
    <n v="4102.7"/>
    <n v="2024313.2069999999"/>
    <s v="Over Budget"/>
    <s v="OK"/>
  </r>
  <r>
    <s v="ITEM-1981"/>
    <x v="3"/>
    <x v="1"/>
    <n v="176.64"/>
    <x v="4"/>
    <n v="508.91"/>
    <n v="89893.862399999998"/>
    <s v="OK"/>
    <s v="OK"/>
  </r>
  <r>
    <s v="ITEM-1982"/>
    <x v="7"/>
    <x v="1"/>
    <n v="347.35"/>
    <x v="3"/>
    <n v="4557.7700000000004"/>
    <n v="1583141.4095000003"/>
    <s v="Over Budget"/>
    <s v="OK"/>
  </r>
  <r>
    <s v="ITEM-1983"/>
    <x v="2"/>
    <x v="0"/>
    <n v="167.94"/>
    <x v="1"/>
    <n v="273.17"/>
    <n v="45876.169800000003"/>
    <s v="OK"/>
    <s v="OK"/>
  </r>
  <r>
    <s v="ITEM-1984"/>
    <x v="3"/>
    <x v="2"/>
    <n v="11.87"/>
    <x v="0"/>
    <n v="2903.93"/>
    <n v="34469.649099999995"/>
    <s v="OK"/>
    <s v="OK"/>
  </r>
  <r>
    <s v="ITEM-1985"/>
    <x v="7"/>
    <x v="0"/>
    <n v="26.46"/>
    <x v="4"/>
    <n v="4285.91"/>
    <n v="113405.1786"/>
    <s v="Over Budget"/>
    <s v="OK"/>
  </r>
  <r>
    <s v="ITEM-1986"/>
    <x v="6"/>
    <x v="2"/>
    <n v="319.2"/>
    <x v="0"/>
    <n v="4147.9799999999996"/>
    <n v="1324035.2159999998"/>
    <s v="Over Budget"/>
    <s v="OK"/>
  </r>
  <r>
    <s v="ITEM-1987"/>
    <x v="2"/>
    <x v="2"/>
    <n v="218.43"/>
    <x v="2"/>
    <n v="208.26"/>
    <n v="45490.231800000001"/>
    <s v="OK"/>
    <s v="OK"/>
  </r>
  <r>
    <s v="ITEM-1988"/>
    <x v="5"/>
    <x v="1"/>
    <n v="395.53"/>
    <x v="1"/>
    <n v="3803.36"/>
    <n v="1504342.9808"/>
    <s v="Over Budget"/>
    <s v="OK"/>
  </r>
  <r>
    <s v="ITEM-1989"/>
    <x v="5"/>
    <x v="3"/>
    <n v="86.25"/>
    <x v="4"/>
    <n v="3550.21"/>
    <n v="306205.61249999999"/>
    <s v="Over Budget"/>
    <s v="OK"/>
  </r>
  <r>
    <s v="ITEM-1990"/>
    <x v="2"/>
    <x v="3"/>
    <n v="131.02000000000001"/>
    <x v="4"/>
    <n v="3196.12"/>
    <n v="418755.64240000001"/>
    <s v="Over Budget"/>
    <s v="OK"/>
  </r>
  <r>
    <s v="ITEM-1991"/>
    <x v="5"/>
    <x v="2"/>
    <n v="230.15"/>
    <x v="3"/>
    <n v="4554.62"/>
    <n v="1048245.7929999999"/>
    <s v="Over Budget"/>
    <s v="OK"/>
  </r>
  <r>
    <s v="ITEM-1992"/>
    <x v="0"/>
    <x v="2"/>
    <n v="218.17"/>
    <x v="1"/>
    <n v="152.87"/>
    <n v="33351.647899999996"/>
    <s v="OK"/>
    <s v="OK"/>
  </r>
  <r>
    <s v="ITEM-1993"/>
    <x v="0"/>
    <x v="0"/>
    <n v="418.08"/>
    <x v="0"/>
    <n v="1550.68"/>
    <n v="648308.29440000001"/>
    <s v="Over Budget"/>
    <s v="OK"/>
  </r>
  <r>
    <s v="ITEM-1994"/>
    <x v="1"/>
    <x v="1"/>
    <n v="198.2"/>
    <x v="2"/>
    <n v="2967.93"/>
    <n v="588243.72599999991"/>
    <s v="Over Budget"/>
    <s v="OK"/>
  </r>
  <r>
    <s v="ITEM-1995"/>
    <x v="1"/>
    <x v="4"/>
    <n v="46.09"/>
    <x v="1"/>
    <n v="4683.95"/>
    <n v="215883.2555"/>
    <s v="Over Budget"/>
    <s v="OK"/>
  </r>
  <r>
    <s v="ITEM-1996"/>
    <x v="0"/>
    <x v="1"/>
    <n v="18.329999999999998"/>
    <x v="2"/>
    <n v="3506.86"/>
    <n v="64280.743799999997"/>
    <s v="OK"/>
    <s v="OK"/>
  </r>
  <r>
    <s v="ITEM-1997"/>
    <x v="2"/>
    <x v="4"/>
    <n v="290.73"/>
    <x v="4"/>
    <n v="1926.86"/>
    <n v="560196.00780000002"/>
    <s v="Over Budget"/>
    <s v="OK"/>
  </r>
  <r>
    <s v="ITEM-1998"/>
    <x v="2"/>
    <x v="4"/>
    <n v="25.33"/>
    <x v="1"/>
    <n v="1390.68"/>
    <n v="35225.924399999996"/>
    <s v="OK"/>
    <s v="OK"/>
  </r>
  <r>
    <s v="ITEM-1999"/>
    <x v="9"/>
    <x v="3"/>
    <n v="394.12"/>
    <x v="4"/>
    <n v="2886.74"/>
    <n v="1137721.9687999999"/>
    <s v="Over Budget"/>
    <s v="OK"/>
  </r>
  <r>
    <s v="ITEM-2000"/>
    <x v="5"/>
    <x v="0"/>
    <n v="429.64"/>
    <x v="0"/>
    <n v="4723.8999999999996"/>
    <n v="2029576.3959999997"/>
    <s v="Over Budget"/>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A91576-E469-493D-9FB1-BEDC75704BB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8" firstHeaderRow="1" firstDataRow="1" firstDataCol="1"/>
  <pivotFields count="9">
    <pivotField showAll="0"/>
    <pivotField showAll="0">
      <items count="11">
        <item x="3"/>
        <item x="9"/>
        <item x="5"/>
        <item x="8"/>
        <item x="0"/>
        <item x="2"/>
        <item x="7"/>
        <item x="6"/>
        <item x="1"/>
        <item x="4"/>
        <item t="default"/>
      </items>
    </pivotField>
    <pivotField axis="axisRow" showAll="0">
      <items count="6">
        <item x="2"/>
        <item x="1"/>
        <item x="4"/>
        <item x="3"/>
        <item x="0"/>
        <item t="default"/>
      </items>
    </pivotField>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Amount" fld="6" baseField="0" baseItem="0"/>
  </dataField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90DC7-BA8D-444B-9E71-992EE232399C}" name="PivotTable4"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35:D41" firstHeaderRow="1" firstDataRow="1" firstDataCol="1"/>
  <pivotFields count="9">
    <pivotField showAll="0"/>
    <pivotField axis="axisRow" showAll="0" measureFilter="1">
      <items count="11">
        <item x="3"/>
        <item x="9"/>
        <item x="5"/>
        <item x="8"/>
        <item x="0"/>
        <item x="2"/>
        <item x="7"/>
        <item x="6"/>
        <item x="1"/>
        <item x="4"/>
        <item t="default"/>
      </items>
    </pivotField>
    <pivotField showAll="0">
      <items count="6">
        <item x="2"/>
        <item x="1"/>
        <item x="4"/>
        <item x="3"/>
        <item x="0"/>
        <item t="default"/>
      </items>
    </pivotField>
    <pivotField showAll="0"/>
    <pivotField showAll="0"/>
    <pivotField showAll="0"/>
    <pivotField dataField="1" showAll="0"/>
    <pivotField showAll="0"/>
    <pivotField showAll="0"/>
  </pivotFields>
  <rowFields count="1">
    <field x="1"/>
  </rowFields>
  <rowItems count="6">
    <i>
      <x v="1"/>
    </i>
    <i>
      <x v="3"/>
    </i>
    <i>
      <x v="5"/>
    </i>
    <i>
      <x v="7"/>
    </i>
    <i>
      <x v="9"/>
    </i>
    <i t="grand">
      <x/>
    </i>
  </rowItems>
  <colItems count="1">
    <i/>
  </colItems>
  <dataFields count="1">
    <dataField name="Sum of Amount"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Dark6" showRowHeaders="1" showColHeaders="1" showRowStripes="1" showColStripes="1"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F0A697-6CC8-45EB-BA3F-E8EAC02F0D8C}" name="PivotTable3"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C9:D15" firstHeaderRow="1" firstDataRow="1" firstDataCol="1"/>
  <pivotFields count="9">
    <pivotField showAll="0"/>
    <pivotField showAll="0">
      <items count="11">
        <item x="3"/>
        <item x="9"/>
        <item x="5"/>
        <item x="8"/>
        <item x="0"/>
        <item x="2"/>
        <item x="7"/>
        <item x="6"/>
        <item x="1"/>
        <item x="4"/>
        <item t="default"/>
      </items>
    </pivotField>
    <pivotField axis="axisRow" showAll="0">
      <items count="6">
        <item x="2"/>
        <item x="1"/>
        <item x="4"/>
        <item x="3"/>
        <item x="0"/>
        <item t="default"/>
      </items>
    </pivotField>
    <pivotField showAll="0"/>
    <pivotField showAll="0">
      <items count="6">
        <item x="4"/>
        <item x="1"/>
        <item x="3"/>
        <item x="2"/>
        <item x="0"/>
        <item t="default"/>
      </items>
    </pivotField>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Amount" fld="6" baseField="0" baseItem="0"/>
  </dataFields>
  <chartFormats count="7">
    <chartFormat chart="3"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8" format="5">
      <pivotArea type="data" outline="0" fieldPosition="0">
        <references count="2">
          <reference field="4294967294" count="1" selected="0">
            <x v="0"/>
          </reference>
          <reference field="2" count="1" selected="0">
            <x v="4"/>
          </reference>
        </references>
      </pivotArea>
    </chartFormat>
  </chartFormats>
  <pivotTableStyleInfo name="PivotStyleDark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9892E3-CF24-4728-8A73-D58CF7140C6C}" sourceName="Category">
  <pivotTables>
    <pivotTable tabId="5" name="PivotTable3"/>
    <pivotTable tabId="1" name="PivotTable1"/>
    <pivotTable tabId="5" name="PivotTable4"/>
  </pivotTables>
  <data>
    <tabular pivotCacheId="1193776046">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89A26EA1-D439-4D79-BF54-192FB444A167}" sourceName="Unit">
  <pivotTables>
    <pivotTable tabId="5" name="PivotTable3"/>
  </pivotTables>
  <data>
    <tabular pivotCacheId="119377604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96CB49AB-5C93-456E-AFD1-CE60589A58A0}" sourceName="Description">
  <pivotTables>
    <pivotTable tabId="5" name="PivotTable4"/>
    <pivotTable tabId="1" name="PivotTable1"/>
    <pivotTable tabId="5" name="PivotTable3"/>
  </pivotTables>
  <data>
    <tabular pivotCacheId="1193776046">
      <items count="10">
        <i x="3" s="1"/>
        <i x="9" s="1"/>
        <i x="5" s="1"/>
        <i x="8" s="1"/>
        <i x="0" s="1"/>
        <i x="2" s="1"/>
        <i x="7" s="1"/>
        <i x="6"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D46B8A-991A-4149-AB8C-864359C68362}" cache="Slicer_Category" caption="Category" style="SlicerStyleDark5" rowHeight="241300"/>
  <slicer name="Unit" xr10:uid="{20A53449-C449-413A-9E46-FF3EE7F737C3}" cache="Slicer_Unit" caption="Unit" style="SlicerStyleDark5" rowHeight="241300"/>
  <slicer name="Description" xr10:uid="{37DDBBC2-32DC-49CA-8F03-A0FCFA9484BD}" cache="Slicer_Description" caption="Descript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093BCB-0C1C-49F1-B62D-9A651C2AC34B}" name="BOQ_Table" displayName="BOQ_Table" ref="A1:I2001" totalsRowShown="0">
  <autoFilter ref="A1:I2001" xr:uid="{BA093BCB-0C1C-49F1-B62D-9A651C2AC34B}"/>
  <tableColumns count="9">
    <tableColumn id="1" xr3:uid="{1D2630D4-47F5-44FC-99B6-E58DD89364FB}" name="Item ID"/>
    <tableColumn id="2" xr3:uid="{21043E64-A29D-441B-BB54-74D57589B00D}" name="Description"/>
    <tableColumn id="3" xr3:uid="{178C1B69-E3E3-4352-B0D7-31E34DB65562}" name="Category"/>
    <tableColumn id="4" xr3:uid="{B6F97FCB-4307-4CC6-B525-57800E1EC249}" name="Quantity"/>
    <tableColumn id="5" xr3:uid="{982AC5A5-EF93-4D55-A6BC-4EBC1D53A8B6}" name="Unit"/>
    <tableColumn id="6" xr3:uid="{952F8DBF-FC5D-44C8-A5C0-9B388109E9A3}" name="Rate"/>
    <tableColumn id="7" xr3:uid="{E5B12A5D-8042-473C-A002-5D05DA8BD246}" name="Amount">
      <calculatedColumnFormula>D2*F2</calculatedColumnFormula>
    </tableColumn>
    <tableColumn id="10" xr3:uid="{466B346C-A95F-4A9B-B457-FE35E325D769}" name="Budget Status" dataDxfId="1">
      <calculatedColumnFormula>IF(BOQ_Table[[#This Row],[Amount]]&gt;100000,"Over Budget","OK")</calculatedColumnFormula>
    </tableColumn>
    <tableColumn id="11" xr3:uid="{22262F76-E033-4807-B4D3-035E657491F1}" name="Data Status" dataDxfId="0">
      <calculatedColumnFormula>IF(OR(BOQ_Table[[#This Row],[Quantity]]="",BOQ_Table[[#This Row],[Rate]]=""),"Missing","OK")</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4534BE-B844-43FB-AB96-F7EE22E1F5C6}" name="Table4" displayName="Table4" ref="B5:D6" totalsRowShown="0" headerRowDxfId="5">
  <autoFilter ref="B5:D6" xr:uid="{2E4534BE-B844-43FB-AB96-F7EE22E1F5C6}"/>
  <tableColumns count="3">
    <tableColumn id="1" xr3:uid="{14AE231A-D224-4BD5-8A88-2994A14B3C2A}" name="TOTAL PROJECT COST" dataDxfId="4">
      <calculatedColumnFormula>SUM(BOQ_Table[Amount])</calculatedColumnFormula>
    </tableColumn>
    <tableColumn id="2" xr3:uid="{5237892C-CDE8-49D8-A3A1-E34855241517}" name="COUNT OF OVERRUNS" dataDxfId="3">
      <calculatedColumnFormula>COUNTIF(BOQ_Table[Budget Status],"Over Budget")</calculatedColumnFormula>
    </tableColumn>
    <tableColumn id="3" xr3:uid="{0954EE61-CF83-4E04-801D-7484199FEE48}" name="COUNT OF MISSING DATA" dataDxfId="2">
      <calculatedColumnFormula>COUNTIF(BOQ_Table[Data Status],"Missing")</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topLeftCell="A5" zoomScaleNormal="100" workbookViewId="0">
      <selection activeCell="K18" sqref="K18"/>
    </sheetView>
  </sheetViews>
  <sheetFormatPr defaultRowHeight="14.5" x14ac:dyDescent="0.35"/>
  <cols>
    <col min="1" max="1" width="11.26953125" customWidth="1"/>
    <col min="2" max="2" width="20" customWidth="1"/>
    <col min="3" max="3" width="16.26953125" customWidth="1"/>
    <col min="4" max="4" width="11.6328125" customWidth="1"/>
    <col min="6" max="6" width="16.453125" customWidth="1"/>
    <col min="7" max="7" width="13.6328125" customWidth="1"/>
    <col min="8" max="8" width="17.1796875" customWidth="1"/>
    <col min="9" max="9" width="13.1796875" customWidth="1"/>
    <col min="11" max="11" width="12.36328125" bestFit="1" customWidth="1"/>
    <col min="12" max="12" width="14" bestFit="1" customWidth="1"/>
    <col min="14" max="14" width="12.36328125" bestFit="1" customWidth="1"/>
    <col min="15" max="15" width="14" bestFit="1" customWidth="1"/>
  </cols>
  <sheetData>
    <row r="1" spans="1:12" x14ac:dyDescent="0.35">
      <c r="A1" t="s">
        <v>0</v>
      </c>
      <c r="B1" t="s">
        <v>1</v>
      </c>
      <c r="C1" t="s">
        <v>2</v>
      </c>
      <c r="D1" t="s">
        <v>3</v>
      </c>
      <c r="E1" t="s">
        <v>4</v>
      </c>
      <c r="F1" t="s">
        <v>2035</v>
      </c>
      <c r="G1" t="s">
        <v>5</v>
      </c>
      <c r="H1" t="s">
        <v>2029</v>
      </c>
      <c r="I1" t="s">
        <v>2030</v>
      </c>
    </row>
    <row r="2" spans="1:12" x14ac:dyDescent="0.35">
      <c r="A2" t="s">
        <v>6</v>
      </c>
      <c r="B2" t="s">
        <v>7</v>
      </c>
      <c r="C2" t="s">
        <v>8</v>
      </c>
      <c r="D2">
        <v>209.98</v>
      </c>
      <c r="E2" t="s">
        <v>9</v>
      </c>
      <c r="F2">
        <v>1658.4</v>
      </c>
      <c r="G2">
        <f>D2*F2</f>
        <v>348230.83199999999</v>
      </c>
      <c r="H2" t="str">
        <f>IF(BOQ_Table[[#This Row],[Amount]]&gt;100000,"Over Budget","OK")</f>
        <v>Over Budget</v>
      </c>
      <c r="I2" t="str">
        <f>IF(OR(BOQ_Table[[#This Row],[Quantity]]="",BOQ_Table[[#This Row],[Rate]]=""),"Missing","OK")</f>
        <v>OK</v>
      </c>
      <c r="K2" s="1" t="s">
        <v>2026</v>
      </c>
      <c r="L2" t="s">
        <v>2028</v>
      </c>
    </row>
    <row r="3" spans="1:12" x14ac:dyDescent="0.35">
      <c r="A3" t="s">
        <v>10</v>
      </c>
      <c r="B3" t="s">
        <v>11</v>
      </c>
      <c r="C3" t="s">
        <v>12</v>
      </c>
      <c r="D3">
        <v>394.28</v>
      </c>
      <c r="E3" t="s">
        <v>9</v>
      </c>
      <c r="F3">
        <v>1481.36</v>
      </c>
      <c r="G3">
        <f t="shared" ref="G3:G10" si="0">D3*F3</f>
        <v>584070.62079999992</v>
      </c>
      <c r="H3" t="str">
        <f>IF(BOQ_Table[[#This Row],[Amount]]&gt;100000,"Over Budget","OK")</f>
        <v>Over Budget</v>
      </c>
      <c r="I3" t="str">
        <f>IF(OR(BOQ_Table[[#This Row],[Quantity]]="",BOQ_Table[[#This Row],[Rate]]=""),"Missing","OK")</f>
        <v>OK</v>
      </c>
      <c r="K3" s="2" t="s">
        <v>17</v>
      </c>
      <c r="L3" s="8">
        <v>244600334.86069989</v>
      </c>
    </row>
    <row r="4" spans="1:12" x14ac:dyDescent="0.35">
      <c r="A4" t="s">
        <v>13</v>
      </c>
      <c r="B4" t="s">
        <v>7</v>
      </c>
      <c r="C4" t="s">
        <v>8</v>
      </c>
      <c r="D4">
        <v>459.9</v>
      </c>
      <c r="E4" t="s">
        <v>14</v>
      </c>
      <c r="F4">
        <v>4409.72</v>
      </c>
      <c r="G4">
        <f t="shared" si="0"/>
        <v>2028030.2280000001</v>
      </c>
      <c r="H4" t="str">
        <f>IF(BOQ_Table[[#This Row],[Amount]]&gt;100000,"Over Budget","OK")</f>
        <v>Over Budget</v>
      </c>
      <c r="I4" t="str">
        <f>IF(OR(BOQ_Table[[#This Row],[Quantity]]="",BOQ_Table[[#This Row],[Rate]]=""),"Missing","OK")</f>
        <v>OK</v>
      </c>
      <c r="K4" s="2" t="s">
        <v>12</v>
      </c>
      <c r="L4" s="8">
        <v>286001720.8785001</v>
      </c>
    </row>
    <row r="5" spans="1:12" x14ac:dyDescent="0.35">
      <c r="A5" t="s">
        <v>15</v>
      </c>
      <c r="B5" t="s">
        <v>16</v>
      </c>
      <c r="C5" t="s">
        <v>17</v>
      </c>
      <c r="D5">
        <v>149.6</v>
      </c>
      <c r="E5" t="s">
        <v>18</v>
      </c>
      <c r="F5">
        <v>981.67</v>
      </c>
      <c r="G5">
        <f t="shared" si="0"/>
        <v>146857.83199999999</v>
      </c>
      <c r="H5" t="str">
        <f>IF(BOQ_Table[[#This Row],[Amount]]&gt;100000,"Over Budget","OK")</f>
        <v>Over Budget</v>
      </c>
      <c r="I5" t="str">
        <f>IF(OR(BOQ_Table[[#This Row],[Quantity]]="",BOQ_Table[[#This Row],[Rate]]=""),"Missing","OK")</f>
        <v>OK</v>
      </c>
      <c r="K5" s="2" t="s">
        <v>38</v>
      </c>
      <c r="L5" s="8">
        <v>236313085.3807998</v>
      </c>
    </row>
    <row r="6" spans="1:12" x14ac:dyDescent="0.35">
      <c r="A6" t="s">
        <v>19</v>
      </c>
      <c r="B6" t="s">
        <v>20</v>
      </c>
      <c r="C6" t="s">
        <v>21</v>
      </c>
      <c r="D6">
        <v>342.48</v>
      </c>
      <c r="E6" t="s">
        <v>22</v>
      </c>
      <c r="F6">
        <v>4704.45</v>
      </c>
      <c r="G6">
        <f t="shared" si="0"/>
        <v>1611180.0360000001</v>
      </c>
      <c r="H6" t="str">
        <f>IF(BOQ_Table[[#This Row],[Amount]]&gt;100000,"Over Budget","OK")</f>
        <v>Over Budget</v>
      </c>
      <c r="I6" t="str">
        <f>IF(OR(BOQ_Table[[#This Row],[Quantity]]="",BOQ_Table[[#This Row],[Rate]]=""),"Missing","OK")</f>
        <v>OK</v>
      </c>
      <c r="K6" s="2" t="s">
        <v>21</v>
      </c>
      <c r="L6" s="8">
        <v>244604068.93390009</v>
      </c>
    </row>
    <row r="7" spans="1:12" x14ac:dyDescent="0.35">
      <c r="A7" t="s">
        <v>23</v>
      </c>
      <c r="B7" t="s">
        <v>20</v>
      </c>
      <c r="C7" t="s">
        <v>12</v>
      </c>
      <c r="D7">
        <v>164.89</v>
      </c>
      <c r="E7" t="s">
        <v>9</v>
      </c>
      <c r="F7">
        <v>1540.86</v>
      </c>
      <c r="G7">
        <f t="shared" si="0"/>
        <v>254072.40539999996</v>
      </c>
      <c r="H7" t="str">
        <f>IF(BOQ_Table[[#This Row],[Amount]]&gt;100000,"Over Budget","OK")</f>
        <v>Over Budget</v>
      </c>
      <c r="I7" t="str">
        <f>IF(OR(BOQ_Table[[#This Row],[Quantity]]="",BOQ_Table[[#This Row],[Rate]]=""),"Missing","OK")</f>
        <v>OK</v>
      </c>
      <c r="K7" s="2" t="s">
        <v>8</v>
      </c>
      <c r="L7" s="8">
        <v>249644856.5077</v>
      </c>
    </row>
    <row r="8" spans="1:12" x14ac:dyDescent="0.35">
      <c r="A8" t="s">
        <v>24</v>
      </c>
      <c r="B8" t="s">
        <v>11</v>
      </c>
      <c r="C8" t="s">
        <v>12</v>
      </c>
      <c r="D8">
        <v>211.24</v>
      </c>
      <c r="E8" t="s">
        <v>9</v>
      </c>
      <c r="F8">
        <v>4608.0200000000004</v>
      </c>
      <c r="G8">
        <f t="shared" si="0"/>
        <v>973398.14480000013</v>
      </c>
      <c r="H8" t="str">
        <f>IF(BOQ_Table[[#This Row],[Amount]]&gt;100000,"Over Budget","OK")</f>
        <v>Over Budget</v>
      </c>
      <c r="I8" t="str">
        <f>IF(OR(BOQ_Table[[#This Row],[Quantity]]="",BOQ_Table[[#This Row],[Rate]]=""),"Missing","OK")</f>
        <v>OK</v>
      </c>
      <c r="K8" s="2" t="s">
        <v>2027</v>
      </c>
      <c r="L8" s="8">
        <v>1261164066.5616</v>
      </c>
    </row>
    <row r="9" spans="1:12" x14ac:dyDescent="0.35">
      <c r="A9" t="s">
        <v>25</v>
      </c>
      <c r="B9" t="s">
        <v>16</v>
      </c>
      <c r="C9" t="s">
        <v>21</v>
      </c>
      <c r="D9">
        <v>295.5</v>
      </c>
      <c r="E9" t="s">
        <v>14</v>
      </c>
      <c r="F9">
        <v>4789.1000000000004</v>
      </c>
      <c r="G9">
        <f t="shared" si="0"/>
        <v>1415179.05</v>
      </c>
      <c r="H9" t="str">
        <f>IF(BOQ_Table[[#This Row],[Amount]]&gt;100000,"Over Budget","OK")</f>
        <v>Over Budget</v>
      </c>
      <c r="I9" t="str">
        <f>IF(OR(BOQ_Table[[#This Row],[Quantity]]="",BOQ_Table[[#This Row],[Rate]]=""),"Missing","OK")</f>
        <v>OK</v>
      </c>
    </row>
    <row r="10" spans="1:12" x14ac:dyDescent="0.35">
      <c r="A10" t="s">
        <v>26</v>
      </c>
      <c r="B10" t="s">
        <v>11</v>
      </c>
      <c r="C10" t="s">
        <v>8</v>
      </c>
      <c r="D10">
        <v>453.38</v>
      </c>
      <c r="E10" t="s">
        <v>27</v>
      </c>
      <c r="F10">
        <v>587.14</v>
      </c>
      <c r="G10">
        <f t="shared" si="0"/>
        <v>266197.53320000001</v>
      </c>
      <c r="H10" t="str">
        <f>IF(BOQ_Table[[#This Row],[Amount]]&gt;100000,"Over Budget","OK")</f>
        <v>Over Budget</v>
      </c>
      <c r="I10" t="str">
        <f>IF(OR(BOQ_Table[[#This Row],[Quantity]]="",BOQ_Table[[#This Row],[Rate]]=""),"Missing","OK")</f>
        <v>OK</v>
      </c>
    </row>
    <row r="11" spans="1:12" x14ac:dyDescent="0.35">
      <c r="A11" t="s">
        <v>28</v>
      </c>
      <c r="B11" t="s">
        <v>20</v>
      </c>
      <c r="C11" t="s">
        <v>12</v>
      </c>
      <c r="D11">
        <v>99.56</v>
      </c>
      <c r="E11" t="s">
        <v>27</v>
      </c>
      <c r="F11">
        <v>4682.3900000000003</v>
      </c>
      <c r="G11">
        <f t="shared" ref="G11:G61" si="1">D11*F11</f>
        <v>466178.74840000004</v>
      </c>
      <c r="H11" t="str">
        <f>IF(BOQ_Table[[#This Row],[Amount]]&gt;100000,"Over Budget","OK")</f>
        <v>Over Budget</v>
      </c>
      <c r="I11" t="str">
        <f>IF(OR(BOQ_Table[[#This Row],[Quantity]]="",BOQ_Table[[#This Row],[Rate]]=""),"Missing","OK")</f>
        <v>OK</v>
      </c>
    </row>
    <row r="12" spans="1:12" x14ac:dyDescent="0.35">
      <c r="A12" t="s">
        <v>29</v>
      </c>
      <c r="B12" t="s">
        <v>30</v>
      </c>
      <c r="C12" t="s">
        <v>12</v>
      </c>
      <c r="D12">
        <v>86.4</v>
      </c>
      <c r="E12" t="s">
        <v>22</v>
      </c>
      <c r="F12">
        <v>2052.09</v>
      </c>
      <c r="G12">
        <f t="shared" si="1"/>
        <v>177300.57600000003</v>
      </c>
      <c r="H12" t="str">
        <f>IF(BOQ_Table[[#This Row],[Amount]]&gt;100000,"Over Budget","OK")</f>
        <v>Over Budget</v>
      </c>
      <c r="I12" t="str">
        <f>IF(OR(BOQ_Table[[#This Row],[Quantity]]="",BOQ_Table[[#This Row],[Rate]]=""),"Missing","OK")</f>
        <v>OK</v>
      </c>
    </row>
    <row r="13" spans="1:12" x14ac:dyDescent="0.35">
      <c r="A13" t="s">
        <v>31</v>
      </c>
      <c r="B13" t="s">
        <v>32</v>
      </c>
      <c r="C13" t="s">
        <v>8</v>
      </c>
      <c r="D13">
        <v>464.05</v>
      </c>
      <c r="E13" t="s">
        <v>27</v>
      </c>
      <c r="F13">
        <v>3650.83</v>
      </c>
      <c r="G13">
        <f t="shared" si="1"/>
        <v>1694167.6614999999</v>
      </c>
      <c r="H13" t="str">
        <f>IF(BOQ_Table[[#This Row],[Amount]]&gt;100000,"Over Budget","OK")</f>
        <v>Over Budget</v>
      </c>
      <c r="I13" t="str">
        <f>IF(OR(BOQ_Table[[#This Row],[Quantity]]="",BOQ_Table[[#This Row],[Rate]]=""),"Missing","OK")</f>
        <v>OK</v>
      </c>
      <c r="J13" t="s">
        <v>2036</v>
      </c>
      <c r="K13">
        <f>VLOOKUP("ITEM-0012",A:I,4,FALSE)</f>
        <v>464.05</v>
      </c>
    </row>
    <row r="14" spans="1:12" x14ac:dyDescent="0.35">
      <c r="A14" t="s">
        <v>33</v>
      </c>
      <c r="B14" t="s">
        <v>11</v>
      </c>
      <c r="C14" t="s">
        <v>8</v>
      </c>
      <c r="D14">
        <v>366.28</v>
      </c>
      <c r="E14" t="s">
        <v>14</v>
      </c>
      <c r="F14">
        <v>3401.61</v>
      </c>
      <c r="G14">
        <f t="shared" si="1"/>
        <v>1245941.7108</v>
      </c>
      <c r="H14" t="str">
        <f>IF(BOQ_Table[[#This Row],[Amount]]&gt;100000,"Over Budget","OK")</f>
        <v>Over Budget</v>
      </c>
      <c r="I14" t="str">
        <f>IF(OR(BOQ_Table[[#This Row],[Quantity]]="",BOQ_Table[[#This Row],[Rate]]=""),"Missing","OK")</f>
        <v>OK</v>
      </c>
      <c r="J14" t="s">
        <v>2037</v>
      </c>
      <c r="K14">
        <f>HLOOKUP("Quantity",A1:I18,12,FALSE)</f>
        <v>86.4</v>
      </c>
    </row>
    <row r="15" spans="1:12" x14ac:dyDescent="0.35">
      <c r="A15" t="s">
        <v>34</v>
      </c>
      <c r="B15" t="s">
        <v>11</v>
      </c>
      <c r="C15" t="s">
        <v>8</v>
      </c>
      <c r="D15">
        <v>215.76</v>
      </c>
      <c r="E15" t="s">
        <v>18</v>
      </c>
      <c r="F15">
        <v>3610.78</v>
      </c>
      <c r="G15">
        <f t="shared" si="1"/>
        <v>779061.89280000003</v>
      </c>
      <c r="H15" t="str">
        <f>IF(BOQ_Table[[#This Row],[Amount]]&gt;100000,"Over Budget","OK")</f>
        <v>Over Budget</v>
      </c>
      <c r="I15" t="str">
        <f>IF(OR(BOQ_Table[[#This Row],[Quantity]]="",BOQ_Table[[#This Row],[Rate]]=""),"Missing","OK")</f>
        <v>OK</v>
      </c>
    </row>
    <row r="16" spans="1:12" x14ac:dyDescent="0.35">
      <c r="A16" t="s">
        <v>35</v>
      </c>
      <c r="B16" t="s">
        <v>20</v>
      </c>
      <c r="C16" t="s">
        <v>12</v>
      </c>
      <c r="D16">
        <v>136.03</v>
      </c>
      <c r="E16" t="s">
        <v>22</v>
      </c>
      <c r="F16">
        <v>4797.09</v>
      </c>
      <c r="G16">
        <f t="shared" si="1"/>
        <v>652548.15269999998</v>
      </c>
      <c r="H16" t="str">
        <f>IF(BOQ_Table[[#This Row],[Amount]]&gt;100000,"Over Budget","OK")</f>
        <v>Over Budget</v>
      </c>
      <c r="I16" t="str">
        <f>IF(OR(BOQ_Table[[#This Row],[Quantity]]="",BOQ_Table[[#This Row],[Rate]]=""),"Missing","OK")</f>
        <v>OK</v>
      </c>
    </row>
    <row r="17" spans="1:9" x14ac:dyDescent="0.35">
      <c r="A17" t="s">
        <v>36</v>
      </c>
      <c r="B17" t="s">
        <v>30</v>
      </c>
      <c r="C17" t="s">
        <v>21</v>
      </c>
      <c r="D17">
        <v>17.690000000000001</v>
      </c>
      <c r="E17" t="s">
        <v>9</v>
      </c>
      <c r="F17">
        <v>3827.43</v>
      </c>
      <c r="G17">
        <f t="shared" si="1"/>
        <v>67707.236700000009</v>
      </c>
      <c r="H17" t="str">
        <f>IF(BOQ_Table[[#This Row],[Amount]]&gt;100000,"Over Budget","OK")</f>
        <v>OK</v>
      </c>
      <c r="I17" t="str">
        <f>IF(OR(BOQ_Table[[#This Row],[Quantity]]="",BOQ_Table[[#This Row],[Rate]]=""),"Missing","OK")</f>
        <v>OK</v>
      </c>
    </row>
    <row r="18" spans="1:9" x14ac:dyDescent="0.35">
      <c r="A18" t="s">
        <v>37</v>
      </c>
      <c r="B18" t="s">
        <v>16</v>
      </c>
      <c r="C18" t="s">
        <v>38</v>
      </c>
      <c r="D18">
        <v>398.06</v>
      </c>
      <c r="E18" t="s">
        <v>9</v>
      </c>
      <c r="F18">
        <v>402.45</v>
      </c>
      <c r="G18">
        <f t="shared" si="1"/>
        <v>160199.247</v>
      </c>
      <c r="H18" t="str">
        <f>IF(BOQ_Table[[#This Row],[Amount]]&gt;100000,"Over Budget","OK")</f>
        <v>Over Budget</v>
      </c>
      <c r="I18" t="str">
        <f>IF(OR(BOQ_Table[[#This Row],[Quantity]]="",BOQ_Table[[#This Row],[Rate]]=""),"Missing","OK")</f>
        <v>OK</v>
      </c>
    </row>
    <row r="19" spans="1:9" x14ac:dyDescent="0.35">
      <c r="A19" t="s">
        <v>39</v>
      </c>
      <c r="B19" t="s">
        <v>40</v>
      </c>
      <c r="C19" t="s">
        <v>21</v>
      </c>
      <c r="D19">
        <v>69.7</v>
      </c>
      <c r="E19" t="s">
        <v>18</v>
      </c>
      <c r="F19">
        <v>4698.59</v>
      </c>
      <c r="G19">
        <f t="shared" si="1"/>
        <v>327491.723</v>
      </c>
      <c r="H19" t="str">
        <f>IF(BOQ_Table[[#This Row],[Amount]]&gt;100000,"Over Budget","OK")</f>
        <v>Over Budget</v>
      </c>
      <c r="I19" t="str">
        <f>IF(OR(BOQ_Table[[#This Row],[Quantity]]="",BOQ_Table[[#This Row],[Rate]]=""),"Missing","OK")</f>
        <v>OK</v>
      </c>
    </row>
    <row r="20" spans="1:9" x14ac:dyDescent="0.35">
      <c r="A20" t="s">
        <v>41</v>
      </c>
      <c r="B20" t="s">
        <v>42</v>
      </c>
      <c r="C20" t="s">
        <v>17</v>
      </c>
      <c r="D20">
        <v>495.63</v>
      </c>
      <c r="E20" t="s">
        <v>14</v>
      </c>
      <c r="F20">
        <v>2286.08</v>
      </c>
      <c r="G20">
        <f t="shared" si="1"/>
        <v>1133049.8303999999</v>
      </c>
      <c r="H20" t="str">
        <f>IF(BOQ_Table[[#This Row],[Amount]]&gt;100000,"Over Budget","OK")</f>
        <v>Over Budget</v>
      </c>
      <c r="I20" t="str">
        <f>IF(OR(BOQ_Table[[#This Row],[Quantity]]="",BOQ_Table[[#This Row],[Rate]]=""),"Missing","OK")</f>
        <v>OK</v>
      </c>
    </row>
    <row r="21" spans="1:9" x14ac:dyDescent="0.35">
      <c r="A21" t="s">
        <v>43</v>
      </c>
      <c r="B21" t="s">
        <v>16</v>
      </c>
      <c r="C21" t="s">
        <v>38</v>
      </c>
      <c r="D21">
        <v>161.47999999999999</v>
      </c>
      <c r="E21" t="s">
        <v>18</v>
      </c>
      <c r="F21">
        <v>3269.47</v>
      </c>
      <c r="G21">
        <f t="shared" si="1"/>
        <v>527954.01559999993</v>
      </c>
      <c r="H21" t="str">
        <f>IF(BOQ_Table[[#This Row],[Amount]]&gt;100000,"Over Budget","OK")</f>
        <v>Over Budget</v>
      </c>
      <c r="I21" t="str">
        <f>IF(OR(BOQ_Table[[#This Row],[Quantity]]="",BOQ_Table[[#This Row],[Rate]]=""),"Missing","OK")</f>
        <v>OK</v>
      </c>
    </row>
    <row r="22" spans="1:9" x14ac:dyDescent="0.35">
      <c r="A22" t="s">
        <v>44</v>
      </c>
      <c r="B22" t="s">
        <v>32</v>
      </c>
      <c r="C22" t="s">
        <v>8</v>
      </c>
      <c r="D22">
        <v>256.95999999999998</v>
      </c>
      <c r="E22" t="s">
        <v>22</v>
      </c>
      <c r="F22">
        <v>444.38</v>
      </c>
      <c r="G22">
        <f t="shared" si="1"/>
        <v>114187.88479999999</v>
      </c>
      <c r="H22" t="str">
        <f>IF(BOQ_Table[[#This Row],[Amount]]&gt;100000,"Over Budget","OK")</f>
        <v>Over Budget</v>
      </c>
      <c r="I22" t="str">
        <f>IF(OR(BOQ_Table[[#This Row],[Quantity]]="",BOQ_Table[[#This Row],[Rate]]=""),"Missing","OK")</f>
        <v>OK</v>
      </c>
    </row>
    <row r="23" spans="1:9" x14ac:dyDescent="0.35">
      <c r="A23" t="s">
        <v>45</v>
      </c>
      <c r="B23" t="s">
        <v>46</v>
      </c>
      <c r="C23" t="s">
        <v>8</v>
      </c>
      <c r="D23">
        <v>476.06</v>
      </c>
      <c r="E23" t="s">
        <v>18</v>
      </c>
      <c r="F23">
        <v>2360.87</v>
      </c>
      <c r="G23">
        <f t="shared" si="1"/>
        <v>1123915.7722</v>
      </c>
      <c r="H23" t="str">
        <f>IF(BOQ_Table[[#This Row],[Amount]]&gt;100000,"Over Budget","OK")</f>
        <v>Over Budget</v>
      </c>
      <c r="I23" t="str">
        <f>IF(OR(BOQ_Table[[#This Row],[Quantity]]="",BOQ_Table[[#This Row],[Rate]]=""),"Missing","OK")</f>
        <v>OK</v>
      </c>
    </row>
    <row r="24" spans="1:9" x14ac:dyDescent="0.35">
      <c r="A24" t="s">
        <v>47</v>
      </c>
      <c r="B24" t="s">
        <v>30</v>
      </c>
      <c r="C24" t="s">
        <v>38</v>
      </c>
      <c r="D24">
        <v>14.08</v>
      </c>
      <c r="E24" t="s">
        <v>18</v>
      </c>
      <c r="F24">
        <v>2056.62</v>
      </c>
      <c r="G24">
        <f t="shared" si="1"/>
        <v>28957.209599999998</v>
      </c>
      <c r="H24" t="str">
        <f>IF(BOQ_Table[[#This Row],[Amount]]&gt;100000,"Over Budget","OK")</f>
        <v>OK</v>
      </c>
      <c r="I24" t="str">
        <f>IF(OR(BOQ_Table[[#This Row],[Quantity]]="",BOQ_Table[[#This Row],[Rate]]=""),"Missing","OK")</f>
        <v>OK</v>
      </c>
    </row>
    <row r="25" spans="1:9" x14ac:dyDescent="0.35">
      <c r="A25" t="s">
        <v>48</v>
      </c>
      <c r="B25" t="s">
        <v>11</v>
      </c>
      <c r="C25" t="s">
        <v>17</v>
      </c>
      <c r="D25">
        <v>341.96</v>
      </c>
      <c r="E25" t="s">
        <v>9</v>
      </c>
      <c r="F25">
        <v>3833.78</v>
      </c>
      <c r="G25">
        <f t="shared" si="1"/>
        <v>1310999.4088000001</v>
      </c>
      <c r="H25" t="str">
        <f>IF(BOQ_Table[[#This Row],[Amount]]&gt;100000,"Over Budget","OK")</f>
        <v>Over Budget</v>
      </c>
      <c r="I25" t="str">
        <f>IF(OR(BOQ_Table[[#This Row],[Quantity]]="",BOQ_Table[[#This Row],[Rate]]=""),"Missing","OK")</f>
        <v>OK</v>
      </c>
    </row>
    <row r="26" spans="1:9" x14ac:dyDescent="0.35">
      <c r="A26" t="s">
        <v>49</v>
      </c>
      <c r="B26" t="s">
        <v>40</v>
      </c>
      <c r="C26" t="s">
        <v>21</v>
      </c>
      <c r="D26">
        <v>357.11</v>
      </c>
      <c r="E26" t="s">
        <v>14</v>
      </c>
      <c r="F26">
        <v>1392.94</v>
      </c>
      <c r="G26">
        <f t="shared" si="1"/>
        <v>497432.80340000003</v>
      </c>
      <c r="H26" t="str">
        <f>IF(BOQ_Table[[#This Row],[Amount]]&gt;100000,"Over Budget","OK")</f>
        <v>Over Budget</v>
      </c>
      <c r="I26" t="str">
        <f>IF(OR(BOQ_Table[[#This Row],[Quantity]]="",BOQ_Table[[#This Row],[Rate]]=""),"Missing","OK")</f>
        <v>OK</v>
      </c>
    </row>
    <row r="27" spans="1:9" x14ac:dyDescent="0.35">
      <c r="A27" t="s">
        <v>50</v>
      </c>
      <c r="B27" t="s">
        <v>11</v>
      </c>
      <c r="C27" t="s">
        <v>8</v>
      </c>
      <c r="D27">
        <v>204.17</v>
      </c>
      <c r="E27" t="s">
        <v>27</v>
      </c>
      <c r="F27">
        <v>1622.42</v>
      </c>
      <c r="G27">
        <f t="shared" si="1"/>
        <v>331249.4914</v>
      </c>
      <c r="H27" t="str">
        <f>IF(BOQ_Table[[#This Row],[Amount]]&gt;100000,"Over Budget","OK")</f>
        <v>Over Budget</v>
      </c>
      <c r="I27" t="str">
        <f>IF(OR(BOQ_Table[[#This Row],[Quantity]]="",BOQ_Table[[#This Row],[Rate]]=""),"Missing","OK")</f>
        <v>OK</v>
      </c>
    </row>
    <row r="28" spans="1:9" x14ac:dyDescent="0.35">
      <c r="A28" t="s">
        <v>51</v>
      </c>
      <c r="B28" t="s">
        <v>42</v>
      </c>
      <c r="C28" t="s">
        <v>12</v>
      </c>
      <c r="D28">
        <v>109.98</v>
      </c>
      <c r="E28" t="s">
        <v>22</v>
      </c>
      <c r="F28">
        <v>609.53</v>
      </c>
      <c r="G28">
        <f t="shared" si="1"/>
        <v>67036.109400000001</v>
      </c>
      <c r="H28" t="str">
        <f>IF(BOQ_Table[[#This Row],[Amount]]&gt;100000,"Over Budget","OK")</f>
        <v>OK</v>
      </c>
      <c r="I28" t="str">
        <f>IF(OR(BOQ_Table[[#This Row],[Quantity]]="",BOQ_Table[[#This Row],[Rate]]=""),"Missing","OK")</f>
        <v>OK</v>
      </c>
    </row>
    <row r="29" spans="1:9" x14ac:dyDescent="0.35">
      <c r="A29" t="s">
        <v>52</v>
      </c>
      <c r="B29" t="s">
        <v>46</v>
      </c>
      <c r="C29" t="s">
        <v>21</v>
      </c>
      <c r="D29">
        <v>117.85</v>
      </c>
      <c r="E29" t="s">
        <v>9</v>
      </c>
      <c r="F29">
        <v>2770.35</v>
      </c>
      <c r="G29">
        <f t="shared" si="1"/>
        <v>326485.7475</v>
      </c>
      <c r="H29" t="str">
        <f>IF(BOQ_Table[[#This Row],[Amount]]&gt;100000,"Over Budget","OK")</f>
        <v>Over Budget</v>
      </c>
      <c r="I29" t="str">
        <f>IF(OR(BOQ_Table[[#This Row],[Quantity]]="",BOQ_Table[[#This Row],[Rate]]=""),"Missing","OK")</f>
        <v>OK</v>
      </c>
    </row>
    <row r="30" spans="1:9" x14ac:dyDescent="0.35">
      <c r="A30" t="s">
        <v>53</v>
      </c>
      <c r="B30" t="s">
        <v>20</v>
      </c>
      <c r="C30" t="s">
        <v>12</v>
      </c>
      <c r="D30">
        <v>110.05</v>
      </c>
      <c r="E30" t="s">
        <v>14</v>
      </c>
      <c r="F30">
        <v>3049.73</v>
      </c>
      <c r="G30">
        <f t="shared" si="1"/>
        <v>335622.78649999999</v>
      </c>
      <c r="H30" t="str">
        <f>IF(BOQ_Table[[#This Row],[Amount]]&gt;100000,"Over Budget","OK")</f>
        <v>Over Budget</v>
      </c>
      <c r="I30" t="str">
        <f>IF(OR(BOQ_Table[[#This Row],[Quantity]]="",BOQ_Table[[#This Row],[Rate]]=""),"Missing","OK")</f>
        <v>OK</v>
      </c>
    </row>
    <row r="31" spans="1:9" x14ac:dyDescent="0.35">
      <c r="A31" t="s">
        <v>54</v>
      </c>
      <c r="B31" t="s">
        <v>46</v>
      </c>
      <c r="C31" t="s">
        <v>38</v>
      </c>
      <c r="D31">
        <v>196.24</v>
      </c>
      <c r="E31" t="s">
        <v>22</v>
      </c>
      <c r="F31">
        <v>1753.44</v>
      </c>
      <c r="G31">
        <f t="shared" si="1"/>
        <v>344095.06560000003</v>
      </c>
      <c r="H31" t="str">
        <f>IF(BOQ_Table[[#This Row],[Amount]]&gt;100000,"Over Budget","OK")</f>
        <v>Over Budget</v>
      </c>
      <c r="I31" t="str">
        <f>IF(OR(BOQ_Table[[#This Row],[Quantity]]="",BOQ_Table[[#This Row],[Rate]]=""),"Missing","OK")</f>
        <v>OK</v>
      </c>
    </row>
    <row r="32" spans="1:9" x14ac:dyDescent="0.35">
      <c r="A32" t="s">
        <v>55</v>
      </c>
      <c r="B32" t="s">
        <v>56</v>
      </c>
      <c r="C32" t="s">
        <v>12</v>
      </c>
      <c r="D32">
        <v>313.10000000000002</v>
      </c>
      <c r="E32" t="s">
        <v>9</v>
      </c>
      <c r="F32">
        <v>4268.55</v>
      </c>
      <c r="G32">
        <f t="shared" si="1"/>
        <v>1336483.0050000001</v>
      </c>
      <c r="H32" t="str">
        <f>IF(BOQ_Table[[#This Row],[Amount]]&gt;100000,"Over Budget","OK")</f>
        <v>Over Budget</v>
      </c>
      <c r="I32" t="str">
        <f>IF(OR(BOQ_Table[[#This Row],[Quantity]]="",BOQ_Table[[#This Row],[Rate]]=""),"Missing","OK")</f>
        <v>OK</v>
      </c>
    </row>
    <row r="33" spans="1:9" x14ac:dyDescent="0.35">
      <c r="A33" t="s">
        <v>57</v>
      </c>
      <c r="B33" t="s">
        <v>32</v>
      </c>
      <c r="C33" t="s">
        <v>17</v>
      </c>
      <c r="D33">
        <v>216.49</v>
      </c>
      <c r="E33" t="s">
        <v>14</v>
      </c>
      <c r="F33">
        <v>2202.11</v>
      </c>
      <c r="G33">
        <f t="shared" si="1"/>
        <v>476734.79390000005</v>
      </c>
      <c r="H33" t="str">
        <f>IF(BOQ_Table[[#This Row],[Amount]]&gt;100000,"Over Budget","OK")</f>
        <v>Over Budget</v>
      </c>
      <c r="I33" t="str">
        <f>IF(OR(BOQ_Table[[#This Row],[Quantity]]="",BOQ_Table[[#This Row],[Rate]]=""),"Missing","OK")</f>
        <v>OK</v>
      </c>
    </row>
    <row r="34" spans="1:9" x14ac:dyDescent="0.35">
      <c r="A34" t="s">
        <v>58</v>
      </c>
      <c r="B34" t="s">
        <v>20</v>
      </c>
      <c r="C34" t="s">
        <v>21</v>
      </c>
      <c r="D34">
        <v>35.71</v>
      </c>
      <c r="E34" t="s">
        <v>14</v>
      </c>
      <c r="F34">
        <v>1112.05</v>
      </c>
      <c r="G34">
        <f t="shared" si="1"/>
        <v>39711.305500000002</v>
      </c>
      <c r="H34" t="str">
        <f>IF(BOQ_Table[[#This Row],[Amount]]&gt;100000,"Over Budget","OK")</f>
        <v>OK</v>
      </c>
      <c r="I34" t="str">
        <f>IF(OR(BOQ_Table[[#This Row],[Quantity]]="",BOQ_Table[[#This Row],[Rate]]=""),"Missing","OK")</f>
        <v>OK</v>
      </c>
    </row>
    <row r="35" spans="1:9" x14ac:dyDescent="0.35">
      <c r="A35" t="s">
        <v>59</v>
      </c>
      <c r="B35" t="s">
        <v>11</v>
      </c>
      <c r="C35" t="s">
        <v>12</v>
      </c>
      <c r="D35">
        <v>494.45</v>
      </c>
      <c r="E35" t="s">
        <v>14</v>
      </c>
      <c r="F35">
        <v>3915.41</v>
      </c>
      <c r="G35">
        <f t="shared" si="1"/>
        <v>1935974.4744999998</v>
      </c>
      <c r="H35" t="str">
        <f>IF(BOQ_Table[[#This Row],[Amount]]&gt;100000,"Over Budget","OK")</f>
        <v>Over Budget</v>
      </c>
      <c r="I35" t="str">
        <f>IF(OR(BOQ_Table[[#This Row],[Quantity]]="",BOQ_Table[[#This Row],[Rate]]=""),"Missing","OK")</f>
        <v>OK</v>
      </c>
    </row>
    <row r="36" spans="1:9" x14ac:dyDescent="0.35">
      <c r="A36" t="s">
        <v>60</v>
      </c>
      <c r="B36" t="s">
        <v>42</v>
      </c>
      <c r="C36" t="s">
        <v>17</v>
      </c>
      <c r="D36">
        <v>117.4</v>
      </c>
      <c r="E36" t="s">
        <v>22</v>
      </c>
      <c r="F36">
        <v>4641.96</v>
      </c>
      <c r="G36">
        <f t="shared" si="1"/>
        <v>544966.10400000005</v>
      </c>
      <c r="H36" t="str">
        <f>IF(BOQ_Table[[#This Row],[Amount]]&gt;100000,"Over Budget","OK")</f>
        <v>Over Budget</v>
      </c>
      <c r="I36" t="str">
        <f>IF(OR(BOQ_Table[[#This Row],[Quantity]]="",BOQ_Table[[#This Row],[Rate]]=""),"Missing","OK")</f>
        <v>OK</v>
      </c>
    </row>
    <row r="37" spans="1:9" x14ac:dyDescent="0.35">
      <c r="A37" t="s">
        <v>61</v>
      </c>
      <c r="B37" t="s">
        <v>40</v>
      </c>
      <c r="C37" t="s">
        <v>21</v>
      </c>
      <c r="D37">
        <v>58.9</v>
      </c>
      <c r="E37" t="s">
        <v>14</v>
      </c>
      <c r="F37">
        <v>2588.94</v>
      </c>
      <c r="G37">
        <f t="shared" si="1"/>
        <v>152488.56599999999</v>
      </c>
      <c r="H37" t="str">
        <f>IF(BOQ_Table[[#This Row],[Amount]]&gt;100000,"Over Budget","OK")</f>
        <v>Over Budget</v>
      </c>
      <c r="I37" t="str">
        <f>IF(OR(BOQ_Table[[#This Row],[Quantity]]="",BOQ_Table[[#This Row],[Rate]]=""),"Missing","OK")</f>
        <v>OK</v>
      </c>
    </row>
    <row r="38" spans="1:9" x14ac:dyDescent="0.35">
      <c r="A38" t="s">
        <v>62</v>
      </c>
      <c r="B38" t="s">
        <v>11</v>
      </c>
      <c r="C38" t="s">
        <v>12</v>
      </c>
      <c r="D38">
        <v>183.28</v>
      </c>
      <c r="E38" t="s">
        <v>22</v>
      </c>
      <c r="F38">
        <v>2217.94</v>
      </c>
      <c r="G38">
        <f t="shared" si="1"/>
        <v>406504.04320000001</v>
      </c>
      <c r="H38" t="str">
        <f>IF(BOQ_Table[[#This Row],[Amount]]&gt;100000,"Over Budget","OK")</f>
        <v>Over Budget</v>
      </c>
      <c r="I38" t="str">
        <f>IF(OR(BOQ_Table[[#This Row],[Quantity]]="",BOQ_Table[[#This Row],[Rate]]=""),"Missing","OK")</f>
        <v>OK</v>
      </c>
    </row>
    <row r="39" spans="1:9" x14ac:dyDescent="0.35">
      <c r="A39" t="s">
        <v>63</v>
      </c>
      <c r="B39" t="s">
        <v>16</v>
      </c>
      <c r="C39" t="s">
        <v>38</v>
      </c>
      <c r="D39">
        <v>27.08</v>
      </c>
      <c r="E39" t="s">
        <v>27</v>
      </c>
      <c r="F39">
        <v>3514.08</v>
      </c>
      <c r="G39">
        <f t="shared" si="1"/>
        <v>95161.286399999997</v>
      </c>
      <c r="H39" t="str">
        <f>IF(BOQ_Table[[#This Row],[Amount]]&gt;100000,"Over Budget","OK")</f>
        <v>OK</v>
      </c>
      <c r="I39" t="str">
        <f>IF(OR(BOQ_Table[[#This Row],[Quantity]]="",BOQ_Table[[#This Row],[Rate]]=""),"Missing","OK")</f>
        <v>OK</v>
      </c>
    </row>
    <row r="40" spans="1:9" x14ac:dyDescent="0.35">
      <c r="A40" t="s">
        <v>64</v>
      </c>
      <c r="B40" t="s">
        <v>30</v>
      </c>
      <c r="C40" t="s">
        <v>21</v>
      </c>
      <c r="D40">
        <v>445.51</v>
      </c>
      <c r="E40" t="s">
        <v>14</v>
      </c>
      <c r="F40">
        <v>675.55</v>
      </c>
      <c r="G40">
        <f t="shared" si="1"/>
        <v>300964.28049999999</v>
      </c>
      <c r="H40" t="str">
        <f>IF(BOQ_Table[[#This Row],[Amount]]&gt;100000,"Over Budget","OK")</f>
        <v>Over Budget</v>
      </c>
      <c r="I40" t="str">
        <f>IF(OR(BOQ_Table[[#This Row],[Quantity]]="",BOQ_Table[[#This Row],[Rate]]=""),"Missing","OK")</f>
        <v>OK</v>
      </c>
    </row>
    <row r="41" spans="1:9" x14ac:dyDescent="0.35">
      <c r="A41" t="s">
        <v>65</v>
      </c>
      <c r="B41" t="s">
        <v>20</v>
      </c>
      <c r="C41" t="s">
        <v>8</v>
      </c>
      <c r="D41">
        <v>155.21</v>
      </c>
      <c r="E41" t="s">
        <v>9</v>
      </c>
      <c r="F41">
        <v>2403.2399999999998</v>
      </c>
      <c r="G41">
        <f t="shared" si="1"/>
        <v>373006.88039999997</v>
      </c>
      <c r="H41" t="str">
        <f>IF(BOQ_Table[[#This Row],[Amount]]&gt;100000,"Over Budget","OK")</f>
        <v>Over Budget</v>
      </c>
      <c r="I41" t="str">
        <f>IF(OR(BOQ_Table[[#This Row],[Quantity]]="",BOQ_Table[[#This Row],[Rate]]=""),"Missing","OK")</f>
        <v>OK</v>
      </c>
    </row>
    <row r="42" spans="1:9" x14ac:dyDescent="0.35">
      <c r="A42" t="s">
        <v>66</v>
      </c>
      <c r="B42" t="s">
        <v>11</v>
      </c>
      <c r="C42" t="s">
        <v>12</v>
      </c>
      <c r="D42">
        <v>2.5499999999999998</v>
      </c>
      <c r="E42" t="s">
        <v>9</v>
      </c>
      <c r="F42">
        <v>1970.44</v>
      </c>
      <c r="G42">
        <f t="shared" si="1"/>
        <v>5024.6219999999994</v>
      </c>
      <c r="H42" t="str">
        <f>IF(BOQ_Table[[#This Row],[Amount]]&gt;100000,"Over Budget","OK")</f>
        <v>OK</v>
      </c>
      <c r="I42" t="str">
        <f>IF(OR(BOQ_Table[[#This Row],[Quantity]]="",BOQ_Table[[#This Row],[Rate]]=""),"Missing","OK")</f>
        <v>OK</v>
      </c>
    </row>
    <row r="43" spans="1:9" x14ac:dyDescent="0.35">
      <c r="A43" t="s">
        <v>67</v>
      </c>
      <c r="B43" t="s">
        <v>7</v>
      </c>
      <c r="C43" t="s">
        <v>38</v>
      </c>
      <c r="D43">
        <v>126</v>
      </c>
      <c r="E43" t="s">
        <v>22</v>
      </c>
      <c r="F43">
        <v>3810.09</v>
      </c>
      <c r="G43">
        <f t="shared" si="1"/>
        <v>480071.34</v>
      </c>
      <c r="H43" t="str">
        <f>IF(BOQ_Table[[#This Row],[Amount]]&gt;100000,"Over Budget","OK")</f>
        <v>Over Budget</v>
      </c>
      <c r="I43" t="str">
        <f>IF(OR(BOQ_Table[[#This Row],[Quantity]]="",BOQ_Table[[#This Row],[Rate]]=""),"Missing","OK")</f>
        <v>OK</v>
      </c>
    </row>
    <row r="44" spans="1:9" x14ac:dyDescent="0.35">
      <c r="A44" t="s">
        <v>68</v>
      </c>
      <c r="B44" t="s">
        <v>42</v>
      </c>
      <c r="C44" t="s">
        <v>17</v>
      </c>
      <c r="D44">
        <v>476.25</v>
      </c>
      <c r="E44" t="s">
        <v>27</v>
      </c>
      <c r="F44">
        <v>249.81</v>
      </c>
      <c r="G44">
        <f t="shared" si="1"/>
        <v>118972.0125</v>
      </c>
      <c r="H44" t="str">
        <f>IF(BOQ_Table[[#This Row],[Amount]]&gt;100000,"Over Budget","OK")</f>
        <v>Over Budget</v>
      </c>
      <c r="I44" t="str">
        <f>IF(OR(BOQ_Table[[#This Row],[Quantity]]="",BOQ_Table[[#This Row],[Rate]]=""),"Missing","OK")</f>
        <v>OK</v>
      </c>
    </row>
    <row r="45" spans="1:9" x14ac:dyDescent="0.35">
      <c r="A45" t="s">
        <v>69</v>
      </c>
      <c r="B45" t="s">
        <v>20</v>
      </c>
      <c r="C45" t="s">
        <v>17</v>
      </c>
      <c r="D45">
        <v>346.38</v>
      </c>
      <c r="E45" t="s">
        <v>18</v>
      </c>
      <c r="F45">
        <v>778.21</v>
      </c>
      <c r="G45">
        <f t="shared" si="1"/>
        <v>269556.3798</v>
      </c>
      <c r="H45" t="str">
        <f>IF(BOQ_Table[[#This Row],[Amount]]&gt;100000,"Over Budget","OK")</f>
        <v>Over Budget</v>
      </c>
      <c r="I45" t="str">
        <f>IF(OR(BOQ_Table[[#This Row],[Quantity]]="",BOQ_Table[[#This Row],[Rate]]=""),"Missing","OK")</f>
        <v>OK</v>
      </c>
    </row>
    <row r="46" spans="1:9" x14ac:dyDescent="0.35">
      <c r="A46" t="s">
        <v>70</v>
      </c>
      <c r="B46" t="s">
        <v>46</v>
      </c>
      <c r="C46" t="s">
        <v>12</v>
      </c>
      <c r="D46">
        <v>204.83</v>
      </c>
      <c r="E46" t="s">
        <v>9</v>
      </c>
      <c r="F46">
        <v>1350.27</v>
      </c>
      <c r="G46">
        <f t="shared" si="1"/>
        <v>276575.80410000001</v>
      </c>
      <c r="H46" t="str">
        <f>IF(BOQ_Table[[#This Row],[Amount]]&gt;100000,"Over Budget","OK")</f>
        <v>Over Budget</v>
      </c>
      <c r="I46" t="str">
        <f>IF(OR(BOQ_Table[[#This Row],[Quantity]]="",BOQ_Table[[#This Row],[Rate]]=""),"Missing","OK")</f>
        <v>OK</v>
      </c>
    </row>
    <row r="47" spans="1:9" x14ac:dyDescent="0.35">
      <c r="A47" t="s">
        <v>71</v>
      </c>
      <c r="B47" t="s">
        <v>32</v>
      </c>
      <c r="C47" t="s">
        <v>12</v>
      </c>
      <c r="D47">
        <v>319.76</v>
      </c>
      <c r="E47" t="s">
        <v>18</v>
      </c>
      <c r="F47">
        <v>4994.5</v>
      </c>
      <c r="G47">
        <f t="shared" si="1"/>
        <v>1597041.32</v>
      </c>
      <c r="H47" t="str">
        <f>IF(BOQ_Table[[#This Row],[Amount]]&gt;100000,"Over Budget","OK")</f>
        <v>Over Budget</v>
      </c>
      <c r="I47" t="str">
        <f>IF(OR(BOQ_Table[[#This Row],[Quantity]]="",BOQ_Table[[#This Row],[Rate]]=""),"Missing","OK")</f>
        <v>OK</v>
      </c>
    </row>
    <row r="48" spans="1:9" x14ac:dyDescent="0.35">
      <c r="A48" t="s">
        <v>72</v>
      </c>
      <c r="B48" t="s">
        <v>7</v>
      </c>
      <c r="C48" t="s">
        <v>8</v>
      </c>
      <c r="D48">
        <v>108.29</v>
      </c>
      <c r="E48" t="s">
        <v>9</v>
      </c>
      <c r="F48">
        <v>1183.18</v>
      </c>
      <c r="G48">
        <f t="shared" si="1"/>
        <v>128126.56220000001</v>
      </c>
      <c r="H48" t="str">
        <f>IF(BOQ_Table[[#This Row],[Amount]]&gt;100000,"Over Budget","OK")</f>
        <v>Over Budget</v>
      </c>
      <c r="I48" t="str">
        <f>IF(OR(BOQ_Table[[#This Row],[Quantity]]="",BOQ_Table[[#This Row],[Rate]]=""),"Missing","OK")</f>
        <v>OK</v>
      </c>
    </row>
    <row r="49" spans="1:9" x14ac:dyDescent="0.35">
      <c r="A49" t="s">
        <v>73</v>
      </c>
      <c r="B49" t="s">
        <v>11</v>
      </c>
      <c r="C49" t="s">
        <v>12</v>
      </c>
      <c r="D49">
        <v>70.010000000000005</v>
      </c>
      <c r="E49" t="s">
        <v>9</v>
      </c>
      <c r="F49">
        <v>1869.71</v>
      </c>
      <c r="G49">
        <f t="shared" si="1"/>
        <v>130898.39710000002</v>
      </c>
      <c r="H49" t="str">
        <f>IF(BOQ_Table[[#This Row],[Amount]]&gt;100000,"Over Budget","OK")</f>
        <v>Over Budget</v>
      </c>
      <c r="I49" t="str">
        <f>IF(OR(BOQ_Table[[#This Row],[Quantity]]="",BOQ_Table[[#This Row],[Rate]]=""),"Missing","OK")</f>
        <v>OK</v>
      </c>
    </row>
    <row r="50" spans="1:9" x14ac:dyDescent="0.35">
      <c r="A50" t="s">
        <v>74</v>
      </c>
      <c r="B50" t="s">
        <v>7</v>
      </c>
      <c r="C50" t="s">
        <v>21</v>
      </c>
      <c r="D50">
        <v>58.88</v>
      </c>
      <c r="E50" t="s">
        <v>14</v>
      </c>
      <c r="F50">
        <v>4837.84</v>
      </c>
      <c r="G50">
        <f t="shared" si="1"/>
        <v>284852.01920000004</v>
      </c>
      <c r="H50" t="str">
        <f>IF(BOQ_Table[[#This Row],[Amount]]&gt;100000,"Over Budget","OK")</f>
        <v>Over Budget</v>
      </c>
      <c r="I50" t="str">
        <f>IF(OR(BOQ_Table[[#This Row],[Quantity]]="",BOQ_Table[[#This Row],[Rate]]=""),"Missing","OK")</f>
        <v>OK</v>
      </c>
    </row>
    <row r="51" spans="1:9" x14ac:dyDescent="0.35">
      <c r="A51" t="s">
        <v>75</v>
      </c>
      <c r="B51" t="s">
        <v>20</v>
      </c>
      <c r="C51" t="s">
        <v>8</v>
      </c>
      <c r="D51">
        <v>127.26</v>
      </c>
      <c r="E51" t="s">
        <v>27</v>
      </c>
      <c r="F51">
        <v>3916.28</v>
      </c>
      <c r="G51">
        <f t="shared" si="1"/>
        <v>498385.79280000005</v>
      </c>
      <c r="H51" t="str">
        <f>IF(BOQ_Table[[#This Row],[Amount]]&gt;100000,"Over Budget","OK")</f>
        <v>Over Budget</v>
      </c>
      <c r="I51" t="str">
        <f>IF(OR(BOQ_Table[[#This Row],[Quantity]]="",BOQ_Table[[#This Row],[Rate]]=""),"Missing","OK")</f>
        <v>OK</v>
      </c>
    </row>
    <row r="52" spans="1:9" x14ac:dyDescent="0.35">
      <c r="A52" t="s">
        <v>76</v>
      </c>
      <c r="B52" t="s">
        <v>20</v>
      </c>
      <c r="C52" t="s">
        <v>38</v>
      </c>
      <c r="D52">
        <v>467.4</v>
      </c>
      <c r="E52" t="s">
        <v>14</v>
      </c>
      <c r="F52">
        <v>1329.24</v>
      </c>
      <c r="G52">
        <f t="shared" si="1"/>
        <v>621286.77599999995</v>
      </c>
      <c r="H52" t="str">
        <f>IF(BOQ_Table[[#This Row],[Amount]]&gt;100000,"Over Budget","OK")</f>
        <v>Over Budget</v>
      </c>
      <c r="I52" t="str">
        <f>IF(OR(BOQ_Table[[#This Row],[Quantity]]="",BOQ_Table[[#This Row],[Rate]]=""),"Missing","OK")</f>
        <v>OK</v>
      </c>
    </row>
    <row r="53" spans="1:9" x14ac:dyDescent="0.35">
      <c r="A53" t="s">
        <v>77</v>
      </c>
      <c r="B53" t="s">
        <v>30</v>
      </c>
      <c r="C53" t="s">
        <v>17</v>
      </c>
      <c r="D53">
        <v>490.38</v>
      </c>
      <c r="E53" t="s">
        <v>27</v>
      </c>
      <c r="F53">
        <v>2896.91</v>
      </c>
      <c r="G53">
        <f t="shared" si="1"/>
        <v>1420586.7257999999</v>
      </c>
      <c r="H53" t="str">
        <f>IF(BOQ_Table[[#This Row],[Amount]]&gt;100000,"Over Budget","OK")</f>
        <v>Over Budget</v>
      </c>
      <c r="I53" t="str">
        <f>IF(OR(BOQ_Table[[#This Row],[Quantity]]="",BOQ_Table[[#This Row],[Rate]]=""),"Missing","OK")</f>
        <v>OK</v>
      </c>
    </row>
    <row r="54" spans="1:9" x14ac:dyDescent="0.35">
      <c r="A54" t="s">
        <v>78</v>
      </c>
      <c r="B54" t="s">
        <v>40</v>
      </c>
      <c r="C54" t="s">
        <v>12</v>
      </c>
      <c r="D54">
        <v>344.88</v>
      </c>
      <c r="E54" t="s">
        <v>18</v>
      </c>
      <c r="F54">
        <v>1855.15</v>
      </c>
      <c r="G54">
        <f t="shared" si="1"/>
        <v>639804.13199999998</v>
      </c>
      <c r="H54" t="str">
        <f>IF(BOQ_Table[[#This Row],[Amount]]&gt;100000,"Over Budget","OK")</f>
        <v>Over Budget</v>
      </c>
      <c r="I54" t="str">
        <f>IF(OR(BOQ_Table[[#This Row],[Quantity]]="",BOQ_Table[[#This Row],[Rate]]=""),"Missing","OK")</f>
        <v>OK</v>
      </c>
    </row>
    <row r="55" spans="1:9" x14ac:dyDescent="0.35">
      <c r="A55" t="s">
        <v>79</v>
      </c>
      <c r="B55" t="s">
        <v>20</v>
      </c>
      <c r="C55" t="s">
        <v>17</v>
      </c>
      <c r="D55">
        <v>233.68</v>
      </c>
      <c r="E55" t="s">
        <v>18</v>
      </c>
      <c r="F55">
        <v>4544.37</v>
      </c>
      <c r="G55">
        <f t="shared" si="1"/>
        <v>1061928.3816</v>
      </c>
      <c r="H55" t="str">
        <f>IF(BOQ_Table[[#This Row],[Amount]]&gt;100000,"Over Budget","OK")</f>
        <v>Over Budget</v>
      </c>
      <c r="I55" t="str">
        <f>IF(OR(BOQ_Table[[#This Row],[Quantity]]="",BOQ_Table[[#This Row],[Rate]]=""),"Missing","OK")</f>
        <v>OK</v>
      </c>
    </row>
    <row r="56" spans="1:9" x14ac:dyDescent="0.35">
      <c r="A56" t="s">
        <v>80</v>
      </c>
      <c r="B56" t="s">
        <v>42</v>
      </c>
      <c r="C56" t="s">
        <v>21</v>
      </c>
      <c r="D56">
        <v>489.97</v>
      </c>
      <c r="E56" t="s">
        <v>14</v>
      </c>
      <c r="F56">
        <v>1507.47</v>
      </c>
      <c r="G56">
        <f t="shared" si="1"/>
        <v>738615.07590000005</v>
      </c>
      <c r="H56" t="str">
        <f>IF(BOQ_Table[[#This Row],[Amount]]&gt;100000,"Over Budget","OK")</f>
        <v>Over Budget</v>
      </c>
      <c r="I56" t="str">
        <f>IF(OR(BOQ_Table[[#This Row],[Quantity]]="",BOQ_Table[[#This Row],[Rate]]=""),"Missing","OK")</f>
        <v>OK</v>
      </c>
    </row>
    <row r="57" spans="1:9" x14ac:dyDescent="0.35">
      <c r="A57" t="s">
        <v>81</v>
      </c>
      <c r="B57" t="s">
        <v>16</v>
      </c>
      <c r="C57" t="s">
        <v>17</v>
      </c>
      <c r="D57">
        <v>187.94</v>
      </c>
      <c r="E57" t="s">
        <v>14</v>
      </c>
      <c r="F57">
        <v>1813</v>
      </c>
      <c r="G57">
        <f t="shared" si="1"/>
        <v>340735.22</v>
      </c>
      <c r="H57" t="str">
        <f>IF(BOQ_Table[[#This Row],[Amount]]&gt;100000,"Over Budget","OK")</f>
        <v>Over Budget</v>
      </c>
      <c r="I57" t="str">
        <f>IF(OR(BOQ_Table[[#This Row],[Quantity]]="",BOQ_Table[[#This Row],[Rate]]=""),"Missing","OK")</f>
        <v>OK</v>
      </c>
    </row>
    <row r="58" spans="1:9" x14ac:dyDescent="0.35">
      <c r="A58" t="s">
        <v>82</v>
      </c>
      <c r="B58" t="s">
        <v>46</v>
      </c>
      <c r="C58" t="s">
        <v>21</v>
      </c>
      <c r="D58">
        <v>333.57</v>
      </c>
      <c r="E58" t="s">
        <v>14</v>
      </c>
      <c r="F58">
        <v>1402.77</v>
      </c>
      <c r="G58">
        <f t="shared" si="1"/>
        <v>467921.9889</v>
      </c>
      <c r="H58" t="str">
        <f>IF(BOQ_Table[[#This Row],[Amount]]&gt;100000,"Over Budget","OK")</f>
        <v>Over Budget</v>
      </c>
      <c r="I58" t="str">
        <f>IF(OR(BOQ_Table[[#This Row],[Quantity]]="",BOQ_Table[[#This Row],[Rate]]=""),"Missing","OK")</f>
        <v>OK</v>
      </c>
    </row>
    <row r="59" spans="1:9" x14ac:dyDescent="0.35">
      <c r="A59" t="s">
        <v>83</v>
      </c>
      <c r="B59" t="s">
        <v>42</v>
      </c>
      <c r="C59" t="s">
        <v>17</v>
      </c>
      <c r="D59">
        <v>141.62</v>
      </c>
      <c r="E59" t="s">
        <v>9</v>
      </c>
      <c r="F59">
        <v>3444.14</v>
      </c>
      <c r="G59">
        <f t="shared" si="1"/>
        <v>487759.10680000001</v>
      </c>
      <c r="H59" t="str">
        <f>IF(BOQ_Table[[#This Row],[Amount]]&gt;100000,"Over Budget","OK")</f>
        <v>Over Budget</v>
      </c>
      <c r="I59" t="str">
        <f>IF(OR(BOQ_Table[[#This Row],[Quantity]]="",BOQ_Table[[#This Row],[Rate]]=""),"Missing","OK")</f>
        <v>OK</v>
      </c>
    </row>
    <row r="60" spans="1:9" x14ac:dyDescent="0.35">
      <c r="A60" t="s">
        <v>84</v>
      </c>
      <c r="B60" t="s">
        <v>40</v>
      </c>
      <c r="C60" t="s">
        <v>12</v>
      </c>
      <c r="D60">
        <v>216.04</v>
      </c>
      <c r="E60" t="s">
        <v>22</v>
      </c>
      <c r="F60">
        <v>4680.21</v>
      </c>
      <c r="G60">
        <f t="shared" si="1"/>
        <v>1011112.5684</v>
      </c>
      <c r="H60" t="str">
        <f>IF(BOQ_Table[[#This Row],[Amount]]&gt;100000,"Over Budget","OK")</f>
        <v>Over Budget</v>
      </c>
      <c r="I60" t="str">
        <f>IF(OR(BOQ_Table[[#This Row],[Quantity]]="",BOQ_Table[[#This Row],[Rate]]=""),"Missing","OK")</f>
        <v>OK</v>
      </c>
    </row>
    <row r="61" spans="1:9" x14ac:dyDescent="0.35">
      <c r="A61" t="s">
        <v>85</v>
      </c>
      <c r="B61" t="s">
        <v>16</v>
      </c>
      <c r="C61" t="s">
        <v>8</v>
      </c>
      <c r="D61">
        <v>350.06</v>
      </c>
      <c r="E61" t="s">
        <v>9</v>
      </c>
      <c r="F61">
        <v>4710.41</v>
      </c>
      <c r="G61">
        <f t="shared" si="1"/>
        <v>1648926.1246</v>
      </c>
      <c r="H61" t="str">
        <f>IF(BOQ_Table[[#This Row],[Amount]]&gt;100000,"Over Budget","OK")</f>
        <v>Over Budget</v>
      </c>
      <c r="I61" t="str">
        <f>IF(OR(BOQ_Table[[#This Row],[Quantity]]="",BOQ_Table[[#This Row],[Rate]]=""),"Missing","OK")</f>
        <v>OK</v>
      </c>
    </row>
    <row r="62" spans="1:9" x14ac:dyDescent="0.35">
      <c r="A62" t="s">
        <v>86</v>
      </c>
      <c r="B62" t="s">
        <v>20</v>
      </c>
      <c r="C62" t="s">
        <v>21</v>
      </c>
      <c r="D62">
        <v>90.25</v>
      </c>
      <c r="E62" t="s">
        <v>22</v>
      </c>
      <c r="F62">
        <v>2612.9699999999998</v>
      </c>
      <c r="G62">
        <f t="shared" ref="G62:G65" si="2">D62*F62</f>
        <v>235820.54249999998</v>
      </c>
      <c r="H62" t="str">
        <f>IF(BOQ_Table[[#This Row],[Amount]]&gt;100000,"Over Budget","OK")</f>
        <v>Over Budget</v>
      </c>
      <c r="I62" t="str">
        <f>IF(OR(BOQ_Table[[#This Row],[Quantity]]="",BOQ_Table[[#This Row],[Rate]]=""),"Missing","OK")</f>
        <v>OK</v>
      </c>
    </row>
    <row r="63" spans="1:9" x14ac:dyDescent="0.35">
      <c r="A63" t="s">
        <v>87</v>
      </c>
      <c r="B63" t="s">
        <v>56</v>
      </c>
      <c r="C63" t="s">
        <v>17</v>
      </c>
      <c r="D63">
        <v>165.01</v>
      </c>
      <c r="E63" t="s">
        <v>27</v>
      </c>
      <c r="F63">
        <v>564.02</v>
      </c>
      <c r="G63">
        <f t="shared" si="2"/>
        <v>93068.940199999997</v>
      </c>
      <c r="H63" t="str">
        <f>IF(BOQ_Table[[#This Row],[Amount]]&gt;100000,"Over Budget","OK")</f>
        <v>OK</v>
      </c>
      <c r="I63" t="str">
        <f>IF(OR(BOQ_Table[[#This Row],[Quantity]]="",BOQ_Table[[#This Row],[Rate]]=""),"Missing","OK")</f>
        <v>OK</v>
      </c>
    </row>
    <row r="64" spans="1:9" x14ac:dyDescent="0.35">
      <c r="A64" t="s">
        <v>88</v>
      </c>
      <c r="B64" t="s">
        <v>7</v>
      </c>
      <c r="C64" t="s">
        <v>38</v>
      </c>
      <c r="D64">
        <v>77.8</v>
      </c>
      <c r="E64" t="s">
        <v>27</v>
      </c>
      <c r="F64">
        <v>4048.59</v>
      </c>
      <c r="G64">
        <f t="shared" si="2"/>
        <v>314980.30200000003</v>
      </c>
      <c r="H64" t="str">
        <f>IF(BOQ_Table[[#This Row],[Amount]]&gt;100000,"Over Budget","OK")</f>
        <v>Over Budget</v>
      </c>
      <c r="I64" t="str">
        <f>IF(OR(BOQ_Table[[#This Row],[Quantity]]="",BOQ_Table[[#This Row],[Rate]]=""),"Missing","OK")</f>
        <v>OK</v>
      </c>
    </row>
    <row r="65" spans="1:9" x14ac:dyDescent="0.35">
      <c r="A65" t="s">
        <v>89</v>
      </c>
      <c r="B65" t="s">
        <v>7</v>
      </c>
      <c r="C65" t="s">
        <v>38</v>
      </c>
      <c r="D65">
        <v>153.53</v>
      </c>
      <c r="E65" t="s">
        <v>22</v>
      </c>
      <c r="F65">
        <v>4944.46</v>
      </c>
      <c r="G65">
        <f t="shared" si="2"/>
        <v>759122.94380000001</v>
      </c>
      <c r="H65" t="str">
        <f>IF(BOQ_Table[[#This Row],[Amount]]&gt;100000,"Over Budget","OK")</f>
        <v>Over Budget</v>
      </c>
      <c r="I65" t="str">
        <f>IF(OR(BOQ_Table[[#This Row],[Quantity]]="",BOQ_Table[[#This Row],[Rate]]=""),"Missing","OK")</f>
        <v>OK</v>
      </c>
    </row>
    <row r="66" spans="1:9" x14ac:dyDescent="0.35">
      <c r="A66" t="s">
        <v>90</v>
      </c>
      <c r="B66" t="s">
        <v>16</v>
      </c>
      <c r="C66" t="s">
        <v>17</v>
      </c>
      <c r="D66">
        <v>290.33</v>
      </c>
      <c r="E66" t="s">
        <v>22</v>
      </c>
      <c r="F66">
        <v>3251</v>
      </c>
      <c r="G66">
        <f t="shared" ref="G66:G129" si="3">D66*F66</f>
        <v>943862.83</v>
      </c>
      <c r="H66" t="str">
        <f>IF(BOQ_Table[[#This Row],[Amount]]&gt;100000,"Over Budget","OK")</f>
        <v>Over Budget</v>
      </c>
      <c r="I66" t="str">
        <f>IF(OR(BOQ_Table[[#This Row],[Quantity]]="",BOQ_Table[[#This Row],[Rate]]=""),"Missing","OK")</f>
        <v>OK</v>
      </c>
    </row>
    <row r="67" spans="1:9" x14ac:dyDescent="0.35">
      <c r="A67" t="s">
        <v>91</v>
      </c>
      <c r="B67" t="s">
        <v>40</v>
      </c>
      <c r="C67" t="s">
        <v>8</v>
      </c>
      <c r="D67">
        <v>86.63</v>
      </c>
      <c r="E67" t="s">
        <v>14</v>
      </c>
      <c r="F67">
        <v>3386.11</v>
      </c>
      <c r="G67">
        <f t="shared" si="3"/>
        <v>293338.70929999999</v>
      </c>
      <c r="H67" t="str">
        <f>IF(BOQ_Table[[#This Row],[Amount]]&gt;100000,"Over Budget","OK")</f>
        <v>Over Budget</v>
      </c>
      <c r="I67" t="str">
        <f>IF(OR(BOQ_Table[[#This Row],[Quantity]]="",BOQ_Table[[#This Row],[Rate]]=""),"Missing","OK")</f>
        <v>OK</v>
      </c>
    </row>
    <row r="68" spans="1:9" x14ac:dyDescent="0.35">
      <c r="A68" t="s">
        <v>92</v>
      </c>
      <c r="B68" t="s">
        <v>16</v>
      </c>
      <c r="C68" t="s">
        <v>12</v>
      </c>
      <c r="D68">
        <v>466.66</v>
      </c>
      <c r="E68" t="s">
        <v>22</v>
      </c>
      <c r="F68">
        <v>1459.64</v>
      </c>
      <c r="G68">
        <f t="shared" si="3"/>
        <v>681155.60240000009</v>
      </c>
      <c r="H68" t="str">
        <f>IF(BOQ_Table[[#This Row],[Amount]]&gt;100000,"Over Budget","OK")</f>
        <v>Over Budget</v>
      </c>
      <c r="I68" t="str">
        <f>IF(OR(BOQ_Table[[#This Row],[Quantity]]="",BOQ_Table[[#This Row],[Rate]]=""),"Missing","OK")</f>
        <v>OK</v>
      </c>
    </row>
    <row r="69" spans="1:9" x14ac:dyDescent="0.35">
      <c r="A69" t="s">
        <v>93</v>
      </c>
      <c r="B69" t="s">
        <v>46</v>
      </c>
      <c r="C69" t="s">
        <v>12</v>
      </c>
      <c r="D69">
        <v>190.47</v>
      </c>
      <c r="E69" t="s">
        <v>18</v>
      </c>
      <c r="F69">
        <v>2488.6</v>
      </c>
      <c r="G69">
        <f t="shared" si="3"/>
        <v>474003.64199999999</v>
      </c>
      <c r="H69" t="str">
        <f>IF(BOQ_Table[[#This Row],[Amount]]&gt;100000,"Over Budget","OK")</f>
        <v>Over Budget</v>
      </c>
      <c r="I69" t="str">
        <f>IF(OR(BOQ_Table[[#This Row],[Quantity]]="",BOQ_Table[[#This Row],[Rate]]=""),"Missing","OK")</f>
        <v>OK</v>
      </c>
    </row>
    <row r="70" spans="1:9" x14ac:dyDescent="0.35">
      <c r="A70" t="s">
        <v>94</v>
      </c>
      <c r="B70" t="s">
        <v>11</v>
      </c>
      <c r="C70" t="s">
        <v>38</v>
      </c>
      <c r="D70">
        <v>91.49</v>
      </c>
      <c r="E70" t="s">
        <v>9</v>
      </c>
      <c r="F70">
        <v>4292.4399999999996</v>
      </c>
      <c r="G70">
        <f t="shared" si="3"/>
        <v>392715.33559999993</v>
      </c>
      <c r="H70" t="str">
        <f>IF(BOQ_Table[[#This Row],[Amount]]&gt;100000,"Over Budget","OK")</f>
        <v>Over Budget</v>
      </c>
      <c r="I70" t="str">
        <f>IF(OR(BOQ_Table[[#This Row],[Quantity]]="",BOQ_Table[[#This Row],[Rate]]=""),"Missing","OK")</f>
        <v>OK</v>
      </c>
    </row>
    <row r="71" spans="1:9" x14ac:dyDescent="0.35">
      <c r="A71" t="s">
        <v>95</v>
      </c>
      <c r="B71" t="s">
        <v>11</v>
      </c>
      <c r="C71" t="s">
        <v>21</v>
      </c>
      <c r="D71">
        <v>322.89</v>
      </c>
      <c r="E71" t="s">
        <v>14</v>
      </c>
      <c r="F71">
        <v>2165.4299999999998</v>
      </c>
      <c r="G71">
        <f t="shared" si="3"/>
        <v>699195.6926999999</v>
      </c>
      <c r="H71" t="str">
        <f>IF(BOQ_Table[[#This Row],[Amount]]&gt;100000,"Over Budget","OK")</f>
        <v>Over Budget</v>
      </c>
      <c r="I71" t="str">
        <f>IF(OR(BOQ_Table[[#This Row],[Quantity]]="",BOQ_Table[[#This Row],[Rate]]=""),"Missing","OK")</f>
        <v>OK</v>
      </c>
    </row>
    <row r="72" spans="1:9" x14ac:dyDescent="0.35">
      <c r="A72" t="s">
        <v>96</v>
      </c>
      <c r="B72" t="s">
        <v>46</v>
      </c>
      <c r="C72" t="s">
        <v>38</v>
      </c>
      <c r="D72">
        <v>459.9</v>
      </c>
      <c r="E72" t="s">
        <v>22</v>
      </c>
      <c r="F72">
        <v>2046.69</v>
      </c>
      <c r="G72">
        <f t="shared" si="3"/>
        <v>941272.73100000003</v>
      </c>
      <c r="H72" t="str">
        <f>IF(BOQ_Table[[#This Row],[Amount]]&gt;100000,"Over Budget","OK")</f>
        <v>Over Budget</v>
      </c>
      <c r="I72" t="str">
        <f>IF(OR(BOQ_Table[[#This Row],[Quantity]]="",BOQ_Table[[#This Row],[Rate]]=""),"Missing","OK")</f>
        <v>OK</v>
      </c>
    </row>
    <row r="73" spans="1:9" x14ac:dyDescent="0.35">
      <c r="A73" t="s">
        <v>97</v>
      </c>
      <c r="B73" t="s">
        <v>11</v>
      </c>
      <c r="C73" t="s">
        <v>38</v>
      </c>
      <c r="D73">
        <v>168.75</v>
      </c>
      <c r="E73" t="s">
        <v>14</v>
      </c>
      <c r="F73">
        <v>1835.73</v>
      </c>
      <c r="G73">
        <f t="shared" si="3"/>
        <v>309779.4375</v>
      </c>
      <c r="H73" t="str">
        <f>IF(BOQ_Table[[#This Row],[Amount]]&gt;100000,"Over Budget","OK")</f>
        <v>Over Budget</v>
      </c>
      <c r="I73" t="str">
        <f>IF(OR(BOQ_Table[[#This Row],[Quantity]]="",BOQ_Table[[#This Row],[Rate]]=""),"Missing","OK")</f>
        <v>OK</v>
      </c>
    </row>
    <row r="74" spans="1:9" x14ac:dyDescent="0.35">
      <c r="A74" t="s">
        <v>98</v>
      </c>
      <c r="B74" t="s">
        <v>7</v>
      </c>
      <c r="C74" t="s">
        <v>17</v>
      </c>
      <c r="D74">
        <v>383.1</v>
      </c>
      <c r="E74" t="s">
        <v>18</v>
      </c>
      <c r="F74">
        <v>642.14</v>
      </c>
      <c r="G74">
        <f t="shared" si="3"/>
        <v>246003.834</v>
      </c>
      <c r="H74" t="str">
        <f>IF(BOQ_Table[[#This Row],[Amount]]&gt;100000,"Over Budget","OK")</f>
        <v>Over Budget</v>
      </c>
      <c r="I74" t="str">
        <f>IF(OR(BOQ_Table[[#This Row],[Quantity]]="",BOQ_Table[[#This Row],[Rate]]=""),"Missing","OK")</f>
        <v>OK</v>
      </c>
    </row>
    <row r="75" spans="1:9" x14ac:dyDescent="0.35">
      <c r="A75" t="s">
        <v>99</v>
      </c>
      <c r="B75" t="s">
        <v>30</v>
      </c>
      <c r="C75" t="s">
        <v>17</v>
      </c>
      <c r="D75">
        <v>60.9</v>
      </c>
      <c r="E75" t="s">
        <v>27</v>
      </c>
      <c r="F75">
        <v>3076</v>
      </c>
      <c r="G75">
        <f t="shared" si="3"/>
        <v>187328.4</v>
      </c>
      <c r="H75" t="str">
        <f>IF(BOQ_Table[[#This Row],[Amount]]&gt;100000,"Over Budget","OK")</f>
        <v>Over Budget</v>
      </c>
      <c r="I75" t="str">
        <f>IF(OR(BOQ_Table[[#This Row],[Quantity]]="",BOQ_Table[[#This Row],[Rate]]=""),"Missing","OK")</f>
        <v>OK</v>
      </c>
    </row>
    <row r="76" spans="1:9" x14ac:dyDescent="0.35">
      <c r="A76" t="s">
        <v>100</v>
      </c>
      <c r="B76" t="s">
        <v>40</v>
      </c>
      <c r="C76" t="s">
        <v>21</v>
      </c>
      <c r="D76">
        <v>462.35</v>
      </c>
      <c r="E76" t="s">
        <v>27</v>
      </c>
      <c r="F76">
        <v>1133.22</v>
      </c>
      <c r="G76">
        <f t="shared" si="3"/>
        <v>523944.26700000005</v>
      </c>
      <c r="H76" t="str">
        <f>IF(BOQ_Table[[#This Row],[Amount]]&gt;100000,"Over Budget","OK")</f>
        <v>Over Budget</v>
      </c>
      <c r="I76" t="str">
        <f>IF(OR(BOQ_Table[[#This Row],[Quantity]]="",BOQ_Table[[#This Row],[Rate]]=""),"Missing","OK")</f>
        <v>OK</v>
      </c>
    </row>
    <row r="77" spans="1:9" x14ac:dyDescent="0.35">
      <c r="A77" t="s">
        <v>101</v>
      </c>
      <c r="B77" t="s">
        <v>42</v>
      </c>
      <c r="C77" t="s">
        <v>17</v>
      </c>
      <c r="D77">
        <v>71.61</v>
      </c>
      <c r="E77" t="s">
        <v>22</v>
      </c>
      <c r="F77">
        <v>3174</v>
      </c>
      <c r="G77">
        <f t="shared" si="3"/>
        <v>227290.13999999998</v>
      </c>
      <c r="H77" t="str">
        <f>IF(BOQ_Table[[#This Row],[Amount]]&gt;100000,"Over Budget","OK")</f>
        <v>Over Budget</v>
      </c>
      <c r="I77" t="str">
        <f>IF(OR(BOQ_Table[[#This Row],[Quantity]]="",BOQ_Table[[#This Row],[Rate]]=""),"Missing","OK")</f>
        <v>OK</v>
      </c>
    </row>
    <row r="78" spans="1:9" x14ac:dyDescent="0.35">
      <c r="A78" t="s">
        <v>102</v>
      </c>
      <c r="B78" t="s">
        <v>30</v>
      </c>
      <c r="C78" t="s">
        <v>17</v>
      </c>
      <c r="D78">
        <v>466.95</v>
      </c>
      <c r="E78" t="s">
        <v>27</v>
      </c>
      <c r="F78">
        <v>2239.0300000000002</v>
      </c>
      <c r="G78">
        <f t="shared" si="3"/>
        <v>1045515.0585</v>
      </c>
      <c r="H78" t="str">
        <f>IF(BOQ_Table[[#This Row],[Amount]]&gt;100000,"Over Budget","OK")</f>
        <v>Over Budget</v>
      </c>
      <c r="I78" t="str">
        <f>IF(OR(BOQ_Table[[#This Row],[Quantity]]="",BOQ_Table[[#This Row],[Rate]]=""),"Missing","OK")</f>
        <v>OK</v>
      </c>
    </row>
    <row r="79" spans="1:9" x14ac:dyDescent="0.35">
      <c r="A79" t="s">
        <v>103</v>
      </c>
      <c r="B79" t="s">
        <v>7</v>
      </c>
      <c r="C79" t="s">
        <v>17</v>
      </c>
      <c r="D79">
        <v>361.2</v>
      </c>
      <c r="E79" t="s">
        <v>22</v>
      </c>
      <c r="F79">
        <v>3225.24</v>
      </c>
      <c r="G79">
        <f t="shared" si="3"/>
        <v>1164956.6879999998</v>
      </c>
      <c r="H79" t="str">
        <f>IF(BOQ_Table[[#This Row],[Amount]]&gt;100000,"Over Budget","OK")</f>
        <v>Over Budget</v>
      </c>
      <c r="I79" t="str">
        <f>IF(OR(BOQ_Table[[#This Row],[Quantity]]="",BOQ_Table[[#This Row],[Rate]]=""),"Missing","OK")</f>
        <v>OK</v>
      </c>
    </row>
    <row r="80" spans="1:9" x14ac:dyDescent="0.35">
      <c r="A80" t="s">
        <v>104</v>
      </c>
      <c r="B80" t="s">
        <v>40</v>
      </c>
      <c r="C80" t="s">
        <v>17</v>
      </c>
      <c r="D80">
        <v>330.05</v>
      </c>
      <c r="E80" t="s">
        <v>14</v>
      </c>
      <c r="F80">
        <v>4304.78</v>
      </c>
      <c r="G80">
        <f t="shared" si="3"/>
        <v>1420792.639</v>
      </c>
      <c r="H80" t="str">
        <f>IF(BOQ_Table[[#This Row],[Amount]]&gt;100000,"Over Budget","OK")</f>
        <v>Over Budget</v>
      </c>
      <c r="I80" t="str">
        <f>IF(OR(BOQ_Table[[#This Row],[Quantity]]="",BOQ_Table[[#This Row],[Rate]]=""),"Missing","OK")</f>
        <v>OK</v>
      </c>
    </row>
    <row r="81" spans="1:9" x14ac:dyDescent="0.35">
      <c r="A81" t="s">
        <v>105</v>
      </c>
      <c r="B81" t="s">
        <v>16</v>
      </c>
      <c r="C81" t="s">
        <v>17</v>
      </c>
      <c r="D81">
        <v>185.35</v>
      </c>
      <c r="E81" t="s">
        <v>18</v>
      </c>
      <c r="F81">
        <v>1678.83</v>
      </c>
      <c r="G81">
        <f t="shared" si="3"/>
        <v>311171.14049999998</v>
      </c>
      <c r="H81" t="str">
        <f>IF(BOQ_Table[[#This Row],[Amount]]&gt;100000,"Over Budget","OK")</f>
        <v>Over Budget</v>
      </c>
      <c r="I81" t="str">
        <f>IF(OR(BOQ_Table[[#This Row],[Quantity]]="",BOQ_Table[[#This Row],[Rate]]=""),"Missing","OK")</f>
        <v>OK</v>
      </c>
    </row>
    <row r="82" spans="1:9" x14ac:dyDescent="0.35">
      <c r="A82" t="s">
        <v>106</v>
      </c>
      <c r="B82" t="s">
        <v>46</v>
      </c>
      <c r="C82" t="s">
        <v>38</v>
      </c>
      <c r="D82">
        <v>234.9</v>
      </c>
      <c r="E82" t="s">
        <v>9</v>
      </c>
      <c r="F82">
        <v>3075.57</v>
      </c>
      <c r="G82">
        <f t="shared" si="3"/>
        <v>722451.39300000004</v>
      </c>
      <c r="H82" t="str">
        <f>IF(BOQ_Table[[#This Row],[Amount]]&gt;100000,"Over Budget","OK")</f>
        <v>Over Budget</v>
      </c>
      <c r="I82" t="str">
        <f>IF(OR(BOQ_Table[[#This Row],[Quantity]]="",BOQ_Table[[#This Row],[Rate]]=""),"Missing","OK")</f>
        <v>OK</v>
      </c>
    </row>
    <row r="83" spans="1:9" x14ac:dyDescent="0.35">
      <c r="A83" t="s">
        <v>107</v>
      </c>
      <c r="B83" t="s">
        <v>42</v>
      </c>
      <c r="C83" t="s">
        <v>21</v>
      </c>
      <c r="D83">
        <v>165.98</v>
      </c>
      <c r="E83" t="s">
        <v>9</v>
      </c>
      <c r="F83">
        <v>2226.9</v>
      </c>
      <c r="G83">
        <f t="shared" si="3"/>
        <v>369620.86199999996</v>
      </c>
      <c r="H83" t="str">
        <f>IF(BOQ_Table[[#This Row],[Amount]]&gt;100000,"Over Budget","OK")</f>
        <v>Over Budget</v>
      </c>
      <c r="I83" t="str">
        <f>IF(OR(BOQ_Table[[#This Row],[Quantity]]="",BOQ_Table[[#This Row],[Rate]]=""),"Missing","OK")</f>
        <v>OK</v>
      </c>
    </row>
    <row r="84" spans="1:9" x14ac:dyDescent="0.35">
      <c r="A84" t="s">
        <v>108</v>
      </c>
      <c r="B84" t="s">
        <v>7</v>
      </c>
      <c r="C84" t="s">
        <v>21</v>
      </c>
      <c r="D84">
        <v>380.89</v>
      </c>
      <c r="E84" t="s">
        <v>27</v>
      </c>
      <c r="F84">
        <v>3089.8</v>
      </c>
      <c r="G84">
        <f t="shared" si="3"/>
        <v>1176873.922</v>
      </c>
      <c r="H84" t="str">
        <f>IF(BOQ_Table[[#This Row],[Amount]]&gt;100000,"Over Budget","OK")</f>
        <v>Over Budget</v>
      </c>
      <c r="I84" t="str">
        <f>IF(OR(BOQ_Table[[#This Row],[Quantity]]="",BOQ_Table[[#This Row],[Rate]]=""),"Missing","OK")</f>
        <v>OK</v>
      </c>
    </row>
    <row r="85" spans="1:9" x14ac:dyDescent="0.35">
      <c r="A85" t="s">
        <v>109</v>
      </c>
      <c r="B85" t="s">
        <v>42</v>
      </c>
      <c r="C85" t="s">
        <v>38</v>
      </c>
      <c r="D85">
        <v>432.99</v>
      </c>
      <c r="E85" t="s">
        <v>14</v>
      </c>
      <c r="F85">
        <v>364.22</v>
      </c>
      <c r="G85">
        <f t="shared" si="3"/>
        <v>157703.61780000001</v>
      </c>
      <c r="H85" t="str">
        <f>IF(BOQ_Table[[#This Row],[Amount]]&gt;100000,"Over Budget","OK")</f>
        <v>Over Budget</v>
      </c>
      <c r="I85" t="str">
        <f>IF(OR(BOQ_Table[[#This Row],[Quantity]]="",BOQ_Table[[#This Row],[Rate]]=""),"Missing","OK")</f>
        <v>OK</v>
      </c>
    </row>
    <row r="86" spans="1:9" x14ac:dyDescent="0.35">
      <c r="A86" t="s">
        <v>110</v>
      </c>
      <c r="B86" t="s">
        <v>20</v>
      </c>
      <c r="C86" t="s">
        <v>8</v>
      </c>
      <c r="D86">
        <v>190.92</v>
      </c>
      <c r="E86" t="s">
        <v>9</v>
      </c>
      <c r="F86">
        <v>1656.13</v>
      </c>
      <c r="G86">
        <f t="shared" si="3"/>
        <v>316188.33960000001</v>
      </c>
      <c r="H86" t="str">
        <f>IF(BOQ_Table[[#This Row],[Amount]]&gt;100000,"Over Budget","OK")</f>
        <v>Over Budget</v>
      </c>
      <c r="I86" t="str">
        <f>IF(OR(BOQ_Table[[#This Row],[Quantity]]="",BOQ_Table[[#This Row],[Rate]]=""),"Missing","OK")</f>
        <v>OK</v>
      </c>
    </row>
    <row r="87" spans="1:9" x14ac:dyDescent="0.35">
      <c r="A87" t="s">
        <v>111</v>
      </c>
      <c r="B87" t="s">
        <v>30</v>
      </c>
      <c r="C87" t="s">
        <v>21</v>
      </c>
      <c r="D87">
        <v>129.36000000000001</v>
      </c>
      <c r="E87" t="s">
        <v>18</v>
      </c>
      <c r="F87">
        <v>222.06</v>
      </c>
      <c r="G87">
        <f t="shared" si="3"/>
        <v>28725.681600000004</v>
      </c>
      <c r="H87" t="str">
        <f>IF(BOQ_Table[[#This Row],[Amount]]&gt;100000,"Over Budget","OK")</f>
        <v>OK</v>
      </c>
      <c r="I87" t="str">
        <f>IF(OR(BOQ_Table[[#This Row],[Quantity]]="",BOQ_Table[[#This Row],[Rate]]=""),"Missing","OK")</f>
        <v>OK</v>
      </c>
    </row>
    <row r="88" spans="1:9" x14ac:dyDescent="0.35">
      <c r="A88" t="s">
        <v>112</v>
      </c>
      <c r="B88" t="s">
        <v>40</v>
      </c>
      <c r="C88" t="s">
        <v>8</v>
      </c>
      <c r="D88">
        <v>153.97999999999999</v>
      </c>
      <c r="E88" t="s">
        <v>9</v>
      </c>
      <c r="F88">
        <v>1335.87</v>
      </c>
      <c r="G88">
        <f t="shared" si="3"/>
        <v>205697.26259999996</v>
      </c>
      <c r="H88" t="str">
        <f>IF(BOQ_Table[[#This Row],[Amount]]&gt;100000,"Over Budget","OK")</f>
        <v>Over Budget</v>
      </c>
      <c r="I88" t="str">
        <f>IF(OR(BOQ_Table[[#This Row],[Quantity]]="",BOQ_Table[[#This Row],[Rate]]=""),"Missing","OK")</f>
        <v>OK</v>
      </c>
    </row>
    <row r="89" spans="1:9" x14ac:dyDescent="0.35">
      <c r="A89" t="s">
        <v>113</v>
      </c>
      <c r="B89" t="s">
        <v>20</v>
      </c>
      <c r="C89" t="s">
        <v>12</v>
      </c>
      <c r="D89">
        <v>310.39999999999998</v>
      </c>
      <c r="E89" t="s">
        <v>18</v>
      </c>
      <c r="F89">
        <v>163.77000000000001</v>
      </c>
      <c r="G89">
        <f t="shared" si="3"/>
        <v>50834.207999999999</v>
      </c>
      <c r="H89" t="str">
        <f>IF(BOQ_Table[[#This Row],[Amount]]&gt;100000,"Over Budget","OK")</f>
        <v>OK</v>
      </c>
      <c r="I89" t="str">
        <f>IF(OR(BOQ_Table[[#This Row],[Quantity]]="",BOQ_Table[[#This Row],[Rate]]=""),"Missing","OK")</f>
        <v>OK</v>
      </c>
    </row>
    <row r="90" spans="1:9" x14ac:dyDescent="0.35">
      <c r="A90" t="s">
        <v>114</v>
      </c>
      <c r="B90" t="s">
        <v>42</v>
      </c>
      <c r="C90" t="s">
        <v>21</v>
      </c>
      <c r="D90">
        <v>136.59</v>
      </c>
      <c r="E90" t="s">
        <v>9</v>
      </c>
      <c r="F90">
        <v>4602.6899999999996</v>
      </c>
      <c r="G90">
        <f t="shared" si="3"/>
        <v>628681.42709999997</v>
      </c>
      <c r="H90" t="str">
        <f>IF(BOQ_Table[[#This Row],[Amount]]&gt;100000,"Over Budget","OK")</f>
        <v>Over Budget</v>
      </c>
      <c r="I90" t="str">
        <f>IF(OR(BOQ_Table[[#This Row],[Quantity]]="",BOQ_Table[[#This Row],[Rate]]=""),"Missing","OK")</f>
        <v>OK</v>
      </c>
    </row>
    <row r="91" spans="1:9" x14ac:dyDescent="0.35">
      <c r="A91" t="s">
        <v>115</v>
      </c>
      <c r="B91" t="s">
        <v>30</v>
      </c>
      <c r="C91" t="s">
        <v>17</v>
      </c>
      <c r="D91">
        <v>295.44</v>
      </c>
      <c r="E91" t="s">
        <v>27</v>
      </c>
      <c r="F91">
        <v>116.91</v>
      </c>
      <c r="G91">
        <f t="shared" si="3"/>
        <v>34539.890399999997</v>
      </c>
      <c r="H91" t="str">
        <f>IF(BOQ_Table[[#This Row],[Amount]]&gt;100000,"Over Budget","OK")</f>
        <v>OK</v>
      </c>
      <c r="I91" t="str">
        <f>IF(OR(BOQ_Table[[#This Row],[Quantity]]="",BOQ_Table[[#This Row],[Rate]]=""),"Missing","OK")</f>
        <v>OK</v>
      </c>
    </row>
    <row r="92" spans="1:9" x14ac:dyDescent="0.35">
      <c r="A92" t="s">
        <v>116</v>
      </c>
      <c r="B92" t="s">
        <v>30</v>
      </c>
      <c r="C92" t="s">
        <v>12</v>
      </c>
      <c r="D92">
        <v>373.5</v>
      </c>
      <c r="E92" t="s">
        <v>9</v>
      </c>
      <c r="F92">
        <v>1637.25</v>
      </c>
      <c r="G92">
        <f t="shared" si="3"/>
        <v>611512.875</v>
      </c>
      <c r="H92" t="str">
        <f>IF(BOQ_Table[[#This Row],[Amount]]&gt;100000,"Over Budget","OK")</f>
        <v>Over Budget</v>
      </c>
      <c r="I92" t="str">
        <f>IF(OR(BOQ_Table[[#This Row],[Quantity]]="",BOQ_Table[[#This Row],[Rate]]=""),"Missing","OK")</f>
        <v>OK</v>
      </c>
    </row>
    <row r="93" spans="1:9" x14ac:dyDescent="0.35">
      <c r="A93" t="s">
        <v>117</v>
      </c>
      <c r="B93" t="s">
        <v>20</v>
      </c>
      <c r="C93" t="s">
        <v>12</v>
      </c>
      <c r="D93">
        <v>307.82</v>
      </c>
      <c r="E93" t="s">
        <v>14</v>
      </c>
      <c r="F93">
        <v>3961.19</v>
      </c>
      <c r="G93">
        <f t="shared" si="3"/>
        <v>1219333.5057999999</v>
      </c>
      <c r="H93" t="str">
        <f>IF(BOQ_Table[[#This Row],[Amount]]&gt;100000,"Over Budget","OK")</f>
        <v>Over Budget</v>
      </c>
      <c r="I93" t="str">
        <f>IF(OR(BOQ_Table[[#This Row],[Quantity]]="",BOQ_Table[[#This Row],[Rate]]=""),"Missing","OK")</f>
        <v>OK</v>
      </c>
    </row>
    <row r="94" spans="1:9" x14ac:dyDescent="0.35">
      <c r="A94" t="s">
        <v>118</v>
      </c>
      <c r="B94" t="s">
        <v>42</v>
      </c>
      <c r="C94" t="s">
        <v>38</v>
      </c>
      <c r="D94">
        <v>418.75</v>
      </c>
      <c r="E94" t="s">
        <v>18</v>
      </c>
      <c r="F94">
        <v>2130.5</v>
      </c>
      <c r="G94">
        <f t="shared" si="3"/>
        <v>892146.875</v>
      </c>
      <c r="H94" t="str">
        <f>IF(BOQ_Table[[#This Row],[Amount]]&gt;100000,"Over Budget","OK")</f>
        <v>Over Budget</v>
      </c>
      <c r="I94" t="str">
        <f>IF(OR(BOQ_Table[[#This Row],[Quantity]]="",BOQ_Table[[#This Row],[Rate]]=""),"Missing","OK")</f>
        <v>OK</v>
      </c>
    </row>
    <row r="95" spans="1:9" x14ac:dyDescent="0.35">
      <c r="A95" t="s">
        <v>119</v>
      </c>
      <c r="B95" t="s">
        <v>11</v>
      </c>
      <c r="C95" t="s">
        <v>17</v>
      </c>
      <c r="D95">
        <v>282.95999999999998</v>
      </c>
      <c r="E95" t="s">
        <v>22</v>
      </c>
      <c r="F95">
        <v>2818.24</v>
      </c>
      <c r="G95">
        <f t="shared" si="3"/>
        <v>797449.19039999985</v>
      </c>
      <c r="H95" t="str">
        <f>IF(BOQ_Table[[#This Row],[Amount]]&gt;100000,"Over Budget","OK")</f>
        <v>Over Budget</v>
      </c>
      <c r="I95" t="str">
        <f>IF(OR(BOQ_Table[[#This Row],[Quantity]]="",BOQ_Table[[#This Row],[Rate]]=""),"Missing","OK")</f>
        <v>OK</v>
      </c>
    </row>
    <row r="96" spans="1:9" x14ac:dyDescent="0.35">
      <c r="A96" t="s">
        <v>120</v>
      </c>
      <c r="B96" t="s">
        <v>16</v>
      </c>
      <c r="C96" t="s">
        <v>21</v>
      </c>
      <c r="D96">
        <v>115.75</v>
      </c>
      <c r="E96" t="s">
        <v>18</v>
      </c>
      <c r="F96">
        <v>4992</v>
      </c>
      <c r="G96">
        <f t="shared" si="3"/>
        <v>577824</v>
      </c>
      <c r="H96" t="str">
        <f>IF(BOQ_Table[[#This Row],[Amount]]&gt;100000,"Over Budget","OK")</f>
        <v>Over Budget</v>
      </c>
      <c r="I96" t="str">
        <f>IF(OR(BOQ_Table[[#This Row],[Quantity]]="",BOQ_Table[[#This Row],[Rate]]=""),"Missing","OK")</f>
        <v>OK</v>
      </c>
    </row>
    <row r="97" spans="1:9" x14ac:dyDescent="0.35">
      <c r="A97" t="s">
        <v>121</v>
      </c>
      <c r="B97" t="s">
        <v>56</v>
      </c>
      <c r="C97" t="s">
        <v>17</v>
      </c>
      <c r="D97">
        <v>58.46</v>
      </c>
      <c r="E97" t="s">
        <v>14</v>
      </c>
      <c r="F97">
        <v>95.49</v>
      </c>
      <c r="G97">
        <f t="shared" si="3"/>
        <v>5582.3454000000002</v>
      </c>
      <c r="H97" t="str">
        <f>IF(BOQ_Table[[#This Row],[Amount]]&gt;100000,"Over Budget","OK")</f>
        <v>OK</v>
      </c>
      <c r="I97" t="str">
        <f>IF(OR(BOQ_Table[[#This Row],[Quantity]]="",BOQ_Table[[#This Row],[Rate]]=""),"Missing","OK")</f>
        <v>OK</v>
      </c>
    </row>
    <row r="98" spans="1:9" x14ac:dyDescent="0.35">
      <c r="A98" t="s">
        <v>122</v>
      </c>
      <c r="B98" t="s">
        <v>11</v>
      </c>
      <c r="C98" t="s">
        <v>8</v>
      </c>
      <c r="D98">
        <v>347.32</v>
      </c>
      <c r="E98" t="s">
        <v>22</v>
      </c>
      <c r="F98">
        <v>592.71</v>
      </c>
      <c r="G98">
        <f t="shared" si="3"/>
        <v>205860.03720000002</v>
      </c>
      <c r="H98" t="str">
        <f>IF(BOQ_Table[[#This Row],[Amount]]&gt;100000,"Over Budget","OK")</f>
        <v>Over Budget</v>
      </c>
      <c r="I98" t="str">
        <f>IF(OR(BOQ_Table[[#This Row],[Quantity]]="",BOQ_Table[[#This Row],[Rate]]=""),"Missing","OK")</f>
        <v>OK</v>
      </c>
    </row>
    <row r="99" spans="1:9" x14ac:dyDescent="0.35">
      <c r="A99" t="s">
        <v>123</v>
      </c>
      <c r="B99" t="s">
        <v>42</v>
      </c>
      <c r="C99" t="s">
        <v>21</v>
      </c>
      <c r="D99">
        <v>45.37</v>
      </c>
      <c r="E99" t="s">
        <v>27</v>
      </c>
      <c r="F99">
        <v>72.41</v>
      </c>
      <c r="G99">
        <f t="shared" si="3"/>
        <v>3285.2416999999996</v>
      </c>
      <c r="H99" t="str">
        <f>IF(BOQ_Table[[#This Row],[Amount]]&gt;100000,"Over Budget","OK")</f>
        <v>OK</v>
      </c>
      <c r="I99" t="str">
        <f>IF(OR(BOQ_Table[[#This Row],[Quantity]]="",BOQ_Table[[#This Row],[Rate]]=""),"Missing","OK")</f>
        <v>OK</v>
      </c>
    </row>
    <row r="100" spans="1:9" x14ac:dyDescent="0.35">
      <c r="A100" t="s">
        <v>124</v>
      </c>
      <c r="B100" t="s">
        <v>46</v>
      </c>
      <c r="C100" t="s">
        <v>12</v>
      </c>
      <c r="D100">
        <v>296.5</v>
      </c>
      <c r="E100" t="s">
        <v>14</v>
      </c>
      <c r="F100">
        <v>2656.8</v>
      </c>
      <c r="G100">
        <f t="shared" si="3"/>
        <v>787741.20000000007</v>
      </c>
      <c r="H100" t="str">
        <f>IF(BOQ_Table[[#This Row],[Amount]]&gt;100000,"Over Budget","OK")</f>
        <v>Over Budget</v>
      </c>
      <c r="I100" t="str">
        <f>IF(OR(BOQ_Table[[#This Row],[Quantity]]="",BOQ_Table[[#This Row],[Rate]]=""),"Missing","OK")</f>
        <v>OK</v>
      </c>
    </row>
    <row r="101" spans="1:9" x14ac:dyDescent="0.35">
      <c r="A101" t="s">
        <v>125</v>
      </c>
      <c r="B101" t="s">
        <v>42</v>
      </c>
      <c r="C101" t="s">
        <v>21</v>
      </c>
      <c r="D101">
        <v>7.83</v>
      </c>
      <c r="E101" t="s">
        <v>18</v>
      </c>
      <c r="F101">
        <v>2020.89</v>
      </c>
      <c r="G101">
        <f t="shared" si="3"/>
        <v>15823.568700000002</v>
      </c>
      <c r="H101" t="str">
        <f>IF(BOQ_Table[[#This Row],[Amount]]&gt;100000,"Over Budget","OK")</f>
        <v>OK</v>
      </c>
      <c r="I101" t="str">
        <f>IF(OR(BOQ_Table[[#This Row],[Quantity]]="",BOQ_Table[[#This Row],[Rate]]=""),"Missing","OK")</f>
        <v>OK</v>
      </c>
    </row>
    <row r="102" spans="1:9" x14ac:dyDescent="0.35">
      <c r="A102" t="s">
        <v>126</v>
      </c>
      <c r="B102" t="s">
        <v>20</v>
      </c>
      <c r="C102" t="s">
        <v>17</v>
      </c>
      <c r="D102">
        <v>420.09</v>
      </c>
      <c r="E102" t="s">
        <v>14</v>
      </c>
      <c r="F102">
        <v>3870.05</v>
      </c>
      <c r="G102">
        <f t="shared" si="3"/>
        <v>1625769.3045000001</v>
      </c>
      <c r="H102" t="str">
        <f>IF(BOQ_Table[[#This Row],[Amount]]&gt;100000,"Over Budget","OK")</f>
        <v>Over Budget</v>
      </c>
      <c r="I102" t="str">
        <f>IF(OR(BOQ_Table[[#This Row],[Quantity]]="",BOQ_Table[[#This Row],[Rate]]=""),"Missing","OK")</f>
        <v>OK</v>
      </c>
    </row>
    <row r="103" spans="1:9" x14ac:dyDescent="0.35">
      <c r="A103" t="s">
        <v>127</v>
      </c>
      <c r="B103" t="s">
        <v>20</v>
      </c>
      <c r="C103" t="s">
        <v>8</v>
      </c>
      <c r="D103">
        <v>91.26</v>
      </c>
      <c r="E103" t="s">
        <v>18</v>
      </c>
      <c r="F103">
        <v>2796.55</v>
      </c>
      <c r="G103">
        <f t="shared" si="3"/>
        <v>255213.15300000002</v>
      </c>
      <c r="H103" t="str">
        <f>IF(BOQ_Table[[#This Row],[Amount]]&gt;100000,"Over Budget","OK")</f>
        <v>Over Budget</v>
      </c>
      <c r="I103" t="str">
        <f>IF(OR(BOQ_Table[[#This Row],[Quantity]]="",BOQ_Table[[#This Row],[Rate]]=""),"Missing","OK")</f>
        <v>OK</v>
      </c>
    </row>
    <row r="104" spans="1:9" x14ac:dyDescent="0.35">
      <c r="A104" t="s">
        <v>128</v>
      </c>
      <c r="B104" t="s">
        <v>42</v>
      </c>
      <c r="C104" t="s">
        <v>17</v>
      </c>
      <c r="D104">
        <v>44.42</v>
      </c>
      <c r="E104" t="s">
        <v>22</v>
      </c>
      <c r="F104">
        <v>1107.31</v>
      </c>
      <c r="G104">
        <f t="shared" si="3"/>
        <v>49186.710200000001</v>
      </c>
      <c r="H104" t="str">
        <f>IF(BOQ_Table[[#This Row],[Amount]]&gt;100000,"Over Budget","OK")</f>
        <v>OK</v>
      </c>
      <c r="I104" t="str">
        <f>IF(OR(BOQ_Table[[#This Row],[Quantity]]="",BOQ_Table[[#This Row],[Rate]]=""),"Missing","OK")</f>
        <v>OK</v>
      </c>
    </row>
    <row r="105" spans="1:9" x14ac:dyDescent="0.35">
      <c r="A105" t="s">
        <v>129</v>
      </c>
      <c r="B105" t="s">
        <v>32</v>
      </c>
      <c r="C105" t="s">
        <v>17</v>
      </c>
      <c r="D105">
        <v>449.27</v>
      </c>
      <c r="E105" t="s">
        <v>22</v>
      </c>
      <c r="F105">
        <v>1496.03</v>
      </c>
      <c r="G105">
        <f t="shared" si="3"/>
        <v>672121.39809999999</v>
      </c>
      <c r="H105" t="str">
        <f>IF(BOQ_Table[[#This Row],[Amount]]&gt;100000,"Over Budget","OK")</f>
        <v>Over Budget</v>
      </c>
      <c r="I105" t="str">
        <f>IF(OR(BOQ_Table[[#This Row],[Quantity]]="",BOQ_Table[[#This Row],[Rate]]=""),"Missing","OK")</f>
        <v>OK</v>
      </c>
    </row>
    <row r="106" spans="1:9" x14ac:dyDescent="0.35">
      <c r="A106" t="s">
        <v>130</v>
      </c>
      <c r="B106" t="s">
        <v>56</v>
      </c>
      <c r="C106" t="s">
        <v>12</v>
      </c>
      <c r="D106">
        <v>112.67</v>
      </c>
      <c r="E106" t="s">
        <v>22</v>
      </c>
      <c r="F106">
        <v>1313.05</v>
      </c>
      <c r="G106">
        <f t="shared" si="3"/>
        <v>147941.34349999999</v>
      </c>
      <c r="H106" t="str">
        <f>IF(BOQ_Table[[#This Row],[Amount]]&gt;100000,"Over Budget","OK")</f>
        <v>Over Budget</v>
      </c>
      <c r="I106" t="str">
        <f>IF(OR(BOQ_Table[[#This Row],[Quantity]]="",BOQ_Table[[#This Row],[Rate]]=""),"Missing","OK")</f>
        <v>OK</v>
      </c>
    </row>
    <row r="107" spans="1:9" x14ac:dyDescent="0.35">
      <c r="A107" t="s">
        <v>131</v>
      </c>
      <c r="B107" t="s">
        <v>42</v>
      </c>
      <c r="C107" t="s">
        <v>8</v>
      </c>
      <c r="D107">
        <v>385.29</v>
      </c>
      <c r="E107" t="s">
        <v>14</v>
      </c>
      <c r="F107">
        <v>441.17</v>
      </c>
      <c r="G107">
        <f t="shared" si="3"/>
        <v>169978.38930000001</v>
      </c>
      <c r="H107" t="str">
        <f>IF(BOQ_Table[[#This Row],[Amount]]&gt;100000,"Over Budget","OK")</f>
        <v>Over Budget</v>
      </c>
      <c r="I107" t="str">
        <f>IF(OR(BOQ_Table[[#This Row],[Quantity]]="",BOQ_Table[[#This Row],[Rate]]=""),"Missing","OK")</f>
        <v>OK</v>
      </c>
    </row>
    <row r="108" spans="1:9" x14ac:dyDescent="0.35">
      <c r="A108" t="s">
        <v>132</v>
      </c>
      <c r="B108" t="s">
        <v>30</v>
      </c>
      <c r="C108" t="s">
        <v>8</v>
      </c>
      <c r="D108">
        <v>96.49</v>
      </c>
      <c r="E108" t="s">
        <v>27</v>
      </c>
      <c r="F108">
        <v>2588.08</v>
      </c>
      <c r="G108">
        <f t="shared" si="3"/>
        <v>249723.83919999999</v>
      </c>
      <c r="H108" t="str">
        <f>IF(BOQ_Table[[#This Row],[Amount]]&gt;100000,"Over Budget","OK")</f>
        <v>Over Budget</v>
      </c>
      <c r="I108" t="str">
        <f>IF(OR(BOQ_Table[[#This Row],[Quantity]]="",BOQ_Table[[#This Row],[Rate]]=""),"Missing","OK")</f>
        <v>OK</v>
      </c>
    </row>
    <row r="109" spans="1:9" x14ac:dyDescent="0.35">
      <c r="A109" t="s">
        <v>133</v>
      </c>
      <c r="B109" t="s">
        <v>30</v>
      </c>
      <c r="C109" t="s">
        <v>17</v>
      </c>
      <c r="D109">
        <v>184.02</v>
      </c>
      <c r="E109" t="s">
        <v>27</v>
      </c>
      <c r="F109">
        <v>4880.8100000000004</v>
      </c>
      <c r="G109">
        <f t="shared" si="3"/>
        <v>898166.65620000008</v>
      </c>
      <c r="H109" t="str">
        <f>IF(BOQ_Table[[#This Row],[Amount]]&gt;100000,"Over Budget","OK")</f>
        <v>Over Budget</v>
      </c>
      <c r="I109" t="str">
        <f>IF(OR(BOQ_Table[[#This Row],[Quantity]]="",BOQ_Table[[#This Row],[Rate]]=""),"Missing","OK")</f>
        <v>OK</v>
      </c>
    </row>
    <row r="110" spans="1:9" x14ac:dyDescent="0.35">
      <c r="A110" t="s">
        <v>134</v>
      </c>
      <c r="B110" t="s">
        <v>20</v>
      </c>
      <c r="C110" t="s">
        <v>17</v>
      </c>
      <c r="D110">
        <v>264.07</v>
      </c>
      <c r="E110" t="s">
        <v>18</v>
      </c>
      <c r="F110">
        <v>1861.23</v>
      </c>
      <c r="G110">
        <f t="shared" si="3"/>
        <v>491495.0061</v>
      </c>
      <c r="H110" t="str">
        <f>IF(BOQ_Table[[#This Row],[Amount]]&gt;100000,"Over Budget","OK")</f>
        <v>Over Budget</v>
      </c>
      <c r="I110" t="str">
        <f>IF(OR(BOQ_Table[[#This Row],[Quantity]]="",BOQ_Table[[#This Row],[Rate]]=""),"Missing","OK")</f>
        <v>OK</v>
      </c>
    </row>
    <row r="111" spans="1:9" x14ac:dyDescent="0.35">
      <c r="A111" t="s">
        <v>135</v>
      </c>
      <c r="B111" t="s">
        <v>30</v>
      </c>
      <c r="C111" t="s">
        <v>38</v>
      </c>
      <c r="D111">
        <v>364.9</v>
      </c>
      <c r="E111" t="s">
        <v>18</v>
      </c>
      <c r="F111">
        <v>2468.21</v>
      </c>
      <c r="G111">
        <f t="shared" si="3"/>
        <v>900649.82899999991</v>
      </c>
      <c r="H111" t="str">
        <f>IF(BOQ_Table[[#This Row],[Amount]]&gt;100000,"Over Budget","OK")</f>
        <v>Over Budget</v>
      </c>
      <c r="I111" t="str">
        <f>IF(OR(BOQ_Table[[#This Row],[Quantity]]="",BOQ_Table[[#This Row],[Rate]]=""),"Missing","OK")</f>
        <v>OK</v>
      </c>
    </row>
    <row r="112" spans="1:9" x14ac:dyDescent="0.35">
      <c r="A112" t="s">
        <v>136</v>
      </c>
      <c r="B112" t="s">
        <v>40</v>
      </c>
      <c r="C112" t="s">
        <v>12</v>
      </c>
      <c r="D112">
        <v>426.6</v>
      </c>
      <c r="E112" t="s">
        <v>18</v>
      </c>
      <c r="F112">
        <v>372.26</v>
      </c>
      <c r="G112">
        <f t="shared" si="3"/>
        <v>158806.11600000001</v>
      </c>
      <c r="H112" t="str">
        <f>IF(BOQ_Table[[#This Row],[Amount]]&gt;100000,"Over Budget","OK")</f>
        <v>Over Budget</v>
      </c>
      <c r="I112" t="str">
        <f>IF(OR(BOQ_Table[[#This Row],[Quantity]]="",BOQ_Table[[#This Row],[Rate]]=""),"Missing","OK")</f>
        <v>OK</v>
      </c>
    </row>
    <row r="113" spans="1:9" x14ac:dyDescent="0.35">
      <c r="A113" t="s">
        <v>137</v>
      </c>
      <c r="B113" t="s">
        <v>32</v>
      </c>
      <c r="C113" t="s">
        <v>12</v>
      </c>
      <c r="D113">
        <v>341.9</v>
      </c>
      <c r="E113" t="s">
        <v>27</v>
      </c>
      <c r="F113">
        <v>2809.35</v>
      </c>
      <c r="G113">
        <f t="shared" si="3"/>
        <v>960516.7649999999</v>
      </c>
      <c r="H113" t="str">
        <f>IF(BOQ_Table[[#This Row],[Amount]]&gt;100000,"Over Budget","OK")</f>
        <v>Over Budget</v>
      </c>
      <c r="I113" t="str">
        <f>IF(OR(BOQ_Table[[#This Row],[Quantity]]="",BOQ_Table[[#This Row],[Rate]]=""),"Missing","OK")</f>
        <v>OK</v>
      </c>
    </row>
    <row r="114" spans="1:9" x14ac:dyDescent="0.35">
      <c r="A114" t="s">
        <v>138</v>
      </c>
      <c r="B114" t="s">
        <v>42</v>
      </c>
      <c r="C114" t="s">
        <v>12</v>
      </c>
      <c r="D114">
        <v>303.66000000000003</v>
      </c>
      <c r="E114" t="s">
        <v>27</v>
      </c>
      <c r="F114">
        <v>1153.07</v>
      </c>
      <c r="G114">
        <f t="shared" si="3"/>
        <v>350141.23619999998</v>
      </c>
      <c r="H114" t="str">
        <f>IF(BOQ_Table[[#This Row],[Amount]]&gt;100000,"Over Budget","OK")</f>
        <v>Over Budget</v>
      </c>
      <c r="I114" t="str">
        <f>IF(OR(BOQ_Table[[#This Row],[Quantity]]="",BOQ_Table[[#This Row],[Rate]]=""),"Missing","OK")</f>
        <v>OK</v>
      </c>
    </row>
    <row r="115" spans="1:9" x14ac:dyDescent="0.35">
      <c r="A115" t="s">
        <v>139</v>
      </c>
      <c r="B115" t="s">
        <v>16</v>
      </c>
      <c r="C115" t="s">
        <v>12</v>
      </c>
      <c r="D115">
        <v>403.15</v>
      </c>
      <c r="E115" t="s">
        <v>27</v>
      </c>
      <c r="F115">
        <v>4517.22</v>
      </c>
      <c r="G115">
        <f t="shared" si="3"/>
        <v>1821117.243</v>
      </c>
      <c r="H115" t="str">
        <f>IF(BOQ_Table[[#This Row],[Amount]]&gt;100000,"Over Budget","OK")</f>
        <v>Over Budget</v>
      </c>
      <c r="I115" t="str">
        <f>IF(OR(BOQ_Table[[#This Row],[Quantity]]="",BOQ_Table[[#This Row],[Rate]]=""),"Missing","OK")</f>
        <v>OK</v>
      </c>
    </row>
    <row r="116" spans="1:9" x14ac:dyDescent="0.35">
      <c r="A116" t="s">
        <v>140</v>
      </c>
      <c r="B116" t="s">
        <v>30</v>
      </c>
      <c r="C116" t="s">
        <v>8</v>
      </c>
      <c r="D116">
        <v>493.79</v>
      </c>
      <c r="E116" t="s">
        <v>9</v>
      </c>
      <c r="F116">
        <v>4794.66</v>
      </c>
      <c r="G116">
        <f t="shared" si="3"/>
        <v>2367555.1614000001</v>
      </c>
      <c r="H116" t="str">
        <f>IF(BOQ_Table[[#This Row],[Amount]]&gt;100000,"Over Budget","OK")</f>
        <v>Over Budget</v>
      </c>
      <c r="I116" t="str">
        <f>IF(OR(BOQ_Table[[#This Row],[Quantity]]="",BOQ_Table[[#This Row],[Rate]]=""),"Missing","OK")</f>
        <v>OK</v>
      </c>
    </row>
    <row r="117" spans="1:9" x14ac:dyDescent="0.35">
      <c r="A117" t="s">
        <v>141</v>
      </c>
      <c r="B117" t="s">
        <v>42</v>
      </c>
      <c r="C117" t="s">
        <v>38</v>
      </c>
      <c r="D117">
        <v>297.45</v>
      </c>
      <c r="E117" t="s">
        <v>18</v>
      </c>
      <c r="F117">
        <v>947.44</v>
      </c>
      <c r="G117">
        <f t="shared" si="3"/>
        <v>281816.02799999999</v>
      </c>
      <c r="H117" t="str">
        <f>IF(BOQ_Table[[#This Row],[Amount]]&gt;100000,"Over Budget","OK")</f>
        <v>Over Budget</v>
      </c>
      <c r="I117" t="str">
        <f>IF(OR(BOQ_Table[[#This Row],[Quantity]]="",BOQ_Table[[#This Row],[Rate]]=""),"Missing","OK")</f>
        <v>OK</v>
      </c>
    </row>
    <row r="118" spans="1:9" x14ac:dyDescent="0.35">
      <c r="A118" t="s">
        <v>142</v>
      </c>
      <c r="B118" t="s">
        <v>40</v>
      </c>
      <c r="C118" t="s">
        <v>17</v>
      </c>
      <c r="D118">
        <v>418.9</v>
      </c>
      <c r="E118" t="s">
        <v>14</v>
      </c>
      <c r="F118">
        <v>666.89</v>
      </c>
      <c r="G118">
        <f t="shared" si="3"/>
        <v>279360.22099999996</v>
      </c>
      <c r="H118" t="str">
        <f>IF(BOQ_Table[[#This Row],[Amount]]&gt;100000,"Over Budget","OK")</f>
        <v>Over Budget</v>
      </c>
      <c r="I118" t="str">
        <f>IF(OR(BOQ_Table[[#This Row],[Quantity]]="",BOQ_Table[[#This Row],[Rate]]=""),"Missing","OK")</f>
        <v>OK</v>
      </c>
    </row>
    <row r="119" spans="1:9" x14ac:dyDescent="0.35">
      <c r="A119" t="s">
        <v>143</v>
      </c>
      <c r="B119" t="s">
        <v>7</v>
      </c>
      <c r="C119" t="s">
        <v>21</v>
      </c>
      <c r="D119">
        <v>50.63</v>
      </c>
      <c r="E119" t="s">
        <v>9</v>
      </c>
      <c r="F119">
        <v>2093.79</v>
      </c>
      <c r="G119">
        <f t="shared" si="3"/>
        <v>106008.5877</v>
      </c>
      <c r="H119" t="str">
        <f>IF(BOQ_Table[[#This Row],[Amount]]&gt;100000,"Over Budget","OK")</f>
        <v>Over Budget</v>
      </c>
      <c r="I119" t="str">
        <f>IF(OR(BOQ_Table[[#This Row],[Quantity]]="",BOQ_Table[[#This Row],[Rate]]=""),"Missing","OK")</f>
        <v>OK</v>
      </c>
    </row>
    <row r="120" spans="1:9" x14ac:dyDescent="0.35">
      <c r="A120" t="s">
        <v>144</v>
      </c>
      <c r="B120" t="s">
        <v>46</v>
      </c>
      <c r="C120" t="s">
        <v>17</v>
      </c>
      <c r="D120">
        <v>426.42</v>
      </c>
      <c r="E120" t="s">
        <v>22</v>
      </c>
      <c r="F120">
        <v>2523.17</v>
      </c>
      <c r="G120">
        <f t="shared" si="3"/>
        <v>1075930.1514000001</v>
      </c>
      <c r="H120" t="str">
        <f>IF(BOQ_Table[[#This Row],[Amount]]&gt;100000,"Over Budget","OK")</f>
        <v>Over Budget</v>
      </c>
      <c r="I120" t="str">
        <f>IF(OR(BOQ_Table[[#This Row],[Quantity]]="",BOQ_Table[[#This Row],[Rate]]=""),"Missing","OK")</f>
        <v>OK</v>
      </c>
    </row>
    <row r="121" spans="1:9" x14ac:dyDescent="0.35">
      <c r="A121" t="s">
        <v>145</v>
      </c>
      <c r="B121" t="s">
        <v>42</v>
      </c>
      <c r="C121" t="s">
        <v>8</v>
      </c>
      <c r="D121">
        <v>222.36</v>
      </c>
      <c r="E121" t="s">
        <v>27</v>
      </c>
      <c r="F121">
        <v>4385.46</v>
      </c>
      <c r="G121">
        <f t="shared" si="3"/>
        <v>975150.88560000004</v>
      </c>
      <c r="H121" t="str">
        <f>IF(BOQ_Table[[#This Row],[Amount]]&gt;100000,"Over Budget","OK")</f>
        <v>Over Budget</v>
      </c>
      <c r="I121" t="str">
        <f>IF(OR(BOQ_Table[[#This Row],[Quantity]]="",BOQ_Table[[#This Row],[Rate]]=""),"Missing","OK")</f>
        <v>OK</v>
      </c>
    </row>
    <row r="122" spans="1:9" x14ac:dyDescent="0.35">
      <c r="A122" t="s">
        <v>146</v>
      </c>
      <c r="B122" t="s">
        <v>11</v>
      </c>
      <c r="C122" t="s">
        <v>17</v>
      </c>
      <c r="D122">
        <v>110.55</v>
      </c>
      <c r="E122" t="s">
        <v>18</v>
      </c>
      <c r="F122">
        <v>3205.84</v>
      </c>
      <c r="G122">
        <f t="shared" si="3"/>
        <v>354405.61200000002</v>
      </c>
      <c r="H122" t="str">
        <f>IF(BOQ_Table[[#This Row],[Amount]]&gt;100000,"Over Budget","OK")</f>
        <v>Over Budget</v>
      </c>
      <c r="I122" t="str">
        <f>IF(OR(BOQ_Table[[#This Row],[Quantity]]="",BOQ_Table[[#This Row],[Rate]]=""),"Missing","OK")</f>
        <v>OK</v>
      </c>
    </row>
    <row r="123" spans="1:9" x14ac:dyDescent="0.35">
      <c r="A123" t="s">
        <v>147</v>
      </c>
      <c r="B123" t="s">
        <v>16</v>
      </c>
      <c r="C123" t="s">
        <v>17</v>
      </c>
      <c r="D123">
        <v>351.39</v>
      </c>
      <c r="E123" t="s">
        <v>14</v>
      </c>
      <c r="F123">
        <v>719.86</v>
      </c>
      <c r="G123">
        <f t="shared" si="3"/>
        <v>252951.6054</v>
      </c>
      <c r="H123" t="str">
        <f>IF(BOQ_Table[[#This Row],[Amount]]&gt;100000,"Over Budget","OK")</f>
        <v>Over Budget</v>
      </c>
      <c r="I123" t="str">
        <f>IF(OR(BOQ_Table[[#This Row],[Quantity]]="",BOQ_Table[[#This Row],[Rate]]=""),"Missing","OK")</f>
        <v>OK</v>
      </c>
    </row>
    <row r="124" spans="1:9" x14ac:dyDescent="0.35">
      <c r="A124" t="s">
        <v>148</v>
      </c>
      <c r="B124" t="s">
        <v>42</v>
      </c>
      <c r="C124" t="s">
        <v>8</v>
      </c>
      <c r="D124">
        <v>489.96</v>
      </c>
      <c r="E124" t="s">
        <v>18</v>
      </c>
      <c r="F124">
        <v>1617.95</v>
      </c>
      <c r="G124">
        <f t="shared" si="3"/>
        <v>792730.78200000001</v>
      </c>
      <c r="H124" t="str">
        <f>IF(BOQ_Table[[#This Row],[Amount]]&gt;100000,"Over Budget","OK")</f>
        <v>Over Budget</v>
      </c>
      <c r="I124" t="str">
        <f>IF(OR(BOQ_Table[[#This Row],[Quantity]]="",BOQ_Table[[#This Row],[Rate]]=""),"Missing","OK")</f>
        <v>OK</v>
      </c>
    </row>
    <row r="125" spans="1:9" x14ac:dyDescent="0.35">
      <c r="A125" t="s">
        <v>149</v>
      </c>
      <c r="B125" t="s">
        <v>46</v>
      </c>
      <c r="C125" t="s">
        <v>21</v>
      </c>
      <c r="D125">
        <v>371</v>
      </c>
      <c r="E125" t="s">
        <v>14</v>
      </c>
      <c r="F125">
        <v>371.56</v>
      </c>
      <c r="G125">
        <f t="shared" si="3"/>
        <v>137848.76</v>
      </c>
      <c r="H125" t="str">
        <f>IF(BOQ_Table[[#This Row],[Amount]]&gt;100000,"Over Budget","OK")</f>
        <v>Over Budget</v>
      </c>
      <c r="I125" t="str">
        <f>IF(OR(BOQ_Table[[#This Row],[Quantity]]="",BOQ_Table[[#This Row],[Rate]]=""),"Missing","OK")</f>
        <v>OK</v>
      </c>
    </row>
    <row r="126" spans="1:9" x14ac:dyDescent="0.35">
      <c r="A126" t="s">
        <v>150</v>
      </c>
      <c r="B126" t="s">
        <v>11</v>
      </c>
      <c r="C126" t="s">
        <v>17</v>
      </c>
      <c r="D126">
        <v>384.38</v>
      </c>
      <c r="E126" t="s">
        <v>27</v>
      </c>
      <c r="F126">
        <v>1425.3</v>
      </c>
      <c r="G126">
        <f t="shared" si="3"/>
        <v>547856.81400000001</v>
      </c>
      <c r="H126" t="str">
        <f>IF(BOQ_Table[[#This Row],[Amount]]&gt;100000,"Over Budget","OK")</f>
        <v>Over Budget</v>
      </c>
      <c r="I126" t="str">
        <f>IF(OR(BOQ_Table[[#This Row],[Quantity]]="",BOQ_Table[[#This Row],[Rate]]=""),"Missing","OK")</f>
        <v>OK</v>
      </c>
    </row>
    <row r="127" spans="1:9" x14ac:dyDescent="0.35">
      <c r="A127" t="s">
        <v>151</v>
      </c>
      <c r="B127" t="s">
        <v>16</v>
      </c>
      <c r="C127" t="s">
        <v>12</v>
      </c>
      <c r="D127">
        <v>165.5</v>
      </c>
      <c r="E127" t="s">
        <v>27</v>
      </c>
      <c r="F127">
        <v>2664.53</v>
      </c>
      <c r="G127">
        <f t="shared" si="3"/>
        <v>440979.71500000003</v>
      </c>
      <c r="H127" t="str">
        <f>IF(BOQ_Table[[#This Row],[Amount]]&gt;100000,"Over Budget","OK")</f>
        <v>Over Budget</v>
      </c>
      <c r="I127" t="str">
        <f>IF(OR(BOQ_Table[[#This Row],[Quantity]]="",BOQ_Table[[#This Row],[Rate]]=""),"Missing","OK")</f>
        <v>OK</v>
      </c>
    </row>
    <row r="128" spans="1:9" x14ac:dyDescent="0.35">
      <c r="A128" t="s">
        <v>152</v>
      </c>
      <c r="B128" t="s">
        <v>11</v>
      </c>
      <c r="C128" t="s">
        <v>12</v>
      </c>
      <c r="D128">
        <v>185.56</v>
      </c>
      <c r="E128" t="s">
        <v>22</v>
      </c>
      <c r="F128">
        <v>3932.83</v>
      </c>
      <c r="G128">
        <f t="shared" si="3"/>
        <v>729775.93480000005</v>
      </c>
      <c r="H128" t="str">
        <f>IF(BOQ_Table[[#This Row],[Amount]]&gt;100000,"Over Budget","OK")</f>
        <v>Over Budget</v>
      </c>
      <c r="I128" t="str">
        <f>IF(OR(BOQ_Table[[#This Row],[Quantity]]="",BOQ_Table[[#This Row],[Rate]]=""),"Missing","OK")</f>
        <v>OK</v>
      </c>
    </row>
    <row r="129" spans="1:9" x14ac:dyDescent="0.35">
      <c r="A129" t="s">
        <v>153</v>
      </c>
      <c r="B129" t="s">
        <v>30</v>
      </c>
      <c r="C129" t="s">
        <v>21</v>
      </c>
      <c r="D129">
        <v>221.79</v>
      </c>
      <c r="E129" t="s">
        <v>9</v>
      </c>
      <c r="F129">
        <v>1251.58</v>
      </c>
      <c r="G129">
        <f t="shared" si="3"/>
        <v>277587.92819999997</v>
      </c>
      <c r="H129" t="str">
        <f>IF(BOQ_Table[[#This Row],[Amount]]&gt;100000,"Over Budget","OK")</f>
        <v>Over Budget</v>
      </c>
      <c r="I129" t="str">
        <f>IF(OR(BOQ_Table[[#This Row],[Quantity]]="",BOQ_Table[[#This Row],[Rate]]=""),"Missing","OK")</f>
        <v>OK</v>
      </c>
    </row>
    <row r="130" spans="1:9" x14ac:dyDescent="0.35">
      <c r="A130" t="s">
        <v>154</v>
      </c>
      <c r="B130" t="s">
        <v>32</v>
      </c>
      <c r="C130" t="s">
        <v>21</v>
      </c>
      <c r="D130">
        <v>491.53</v>
      </c>
      <c r="E130" t="s">
        <v>18</v>
      </c>
      <c r="F130">
        <v>874.37</v>
      </c>
      <c r="G130">
        <f t="shared" ref="G130:G193" si="4">D130*F130</f>
        <v>429779.08609999996</v>
      </c>
      <c r="H130" t="str">
        <f>IF(BOQ_Table[[#This Row],[Amount]]&gt;100000,"Over Budget","OK")</f>
        <v>Over Budget</v>
      </c>
      <c r="I130" t="str">
        <f>IF(OR(BOQ_Table[[#This Row],[Quantity]]="",BOQ_Table[[#This Row],[Rate]]=""),"Missing","OK")</f>
        <v>OK</v>
      </c>
    </row>
    <row r="131" spans="1:9" x14ac:dyDescent="0.35">
      <c r="A131" t="s">
        <v>155</v>
      </c>
      <c r="B131" t="s">
        <v>11</v>
      </c>
      <c r="C131" t="s">
        <v>21</v>
      </c>
      <c r="D131">
        <v>227.46</v>
      </c>
      <c r="E131" t="s">
        <v>22</v>
      </c>
      <c r="F131">
        <v>2712.87</v>
      </c>
      <c r="G131">
        <f t="shared" si="4"/>
        <v>617069.41020000004</v>
      </c>
      <c r="H131" t="str">
        <f>IF(BOQ_Table[[#This Row],[Amount]]&gt;100000,"Over Budget","OK")</f>
        <v>Over Budget</v>
      </c>
      <c r="I131" t="str">
        <f>IF(OR(BOQ_Table[[#This Row],[Quantity]]="",BOQ_Table[[#This Row],[Rate]]=""),"Missing","OK")</f>
        <v>OK</v>
      </c>
    </row>
    <row r="132" spans="1:9" x14ac:dyDescent="0.35">
      <c r="A132" t="s">
        <v>156</v>
      </c>
      <c r="B132" t="s">
        <v>56</v>
      </c>
      <c r="C132" t="s">
        <v>38</v>
      </c>
      <c r="D132">
        <v>291.24</v>
      </c>
      <c r="E132" t="s">
        <v>27</v>
      </c>
      <c r="F132">
        <v>810.87</v>
      </c>
      <c r="G132">
        <f t="shared" si="4"/>
        <v>236157.7788</v>
      </c>
      <c r="H132" t="str">
        <f>IF(BOQ_Table[[#This Row],[Amount]]&gt;100000,"Over Budget","OK")</f>
        <v>Over Budget</v>
      </c>
      <c r="I132" t="str">
        <f>IF(OR(BOQ_Table[[#This Row],[Quantity]]="",BOQ_Table[[#This Row],[Rate]]=""),"Missing","OK")</f>
        <v>OK</v>
      </c>
    </row>
    <row r="133" spans="1:9" x14ac:dyDescent="0.35">
      <c r="A133" t="s">
        <v>157</v>
      </c>
      <c r="B133" t="s">
        <v>42</v>
      </c>
      <c r="C133" t="s">
        <v>38</v>
      </c>
      <c r="D133">
        <v>93.58</v>
      </c>
      <c r="E133" t="s">
        <v>27</v>
      </c>
      <c r="F133">
        <v>799.84</v>
      </c>
      <c r="G133">
        <f t="shared" si="4"/>
        <v>74849.027199999997</v>
      </c>
      <c r="H133" t="str">
        <f>IF(BOQ_Table[[#This Row],[Amount]]&gt;100000,"Over Budget","OK")</f>
        <v>OK</v>
      </c>
      <c r="I133" t="str">
        <f>IF(OR(BOQ_Table[[#This Row],[Quantity]]="",BOQ_Table[[#This Row],[Rate]]=""),"Missing","OK")</f>
        <v>OK</v>
      </c>
    </row>
    <row r="134" spans="1:9" x14ac:dyDescent="0.35">
      <c r="A134" t="s">
        <v>158</v>
      </c>
      <c r="B134" t="s">
        <v>56</v>
      </c>
      <c r="C134" t="s">
        <v>12</v>
      </c>
      <c r="D134">
        <v>92.77</v>
      </c>
      <c r="E134" t="s">
        <v>22</v>
      </c>
      <c r="F134">
        <v>253.95</v>
      </c>
      <c r="G134">
        <f t="shared" si="4"/>
        <v>23558.941499999997</v>
      </c>
      <c r="H134" t="str">
        <f>IF(BOQ_Table[[#This Row],[Amount]]&gt;100000,"Over Budget","OK")</f>
        <v>OK</v>
      </c>
      <c r="I134" t="str">
        <f>IF(OR(BOQ_Table[[#This Row],[Quantity]]="",BOQ_Table[[#This Row],[Rate]]=""),"Missing","OK")</f>
        <v>OK</v>
      </c>
    </row>
    <row r="135" spans="1:9" x14ac:dyDescent="0.35">
      <c r="A135" t="s">
        <v>159</v>
      </c>
      <c r="B135" t="s">
        <v>30</v>
      </c>
      <c r="C135" t="s">
        <v>17</v>
      </c>
      <c r="D135">
        <v>236.48</v>
      </c>
      <c r="E135" t="s">
        <v>22</v>
      </c>
      <c r="F135">
        <v>3352.01</v>
      </c>
      <c r="G135">
        <f t="shared" si="4"/>
        <v>792683.32480000006</v>
      </c>
      <c r="H135" t="str">
        <f>IF(BOQ_Table[[#This Row],[Amount]]&gt;100000,"Over Budget","OK")</f>
        <v>Over Budget</v>
      </c>
      <c r="I135" t="str">
        <f>IF(OR(BOQ_Table[[#This Row],[Quantity]]="",BOQ_Table[[#This Row],[Rate]]=""),"Missing","OK")</f>
        <v>OK</v>
      </c>
    </row>
    <row r="136" spans="1:9" x14ac:dyDescent="0.35">
      <c r="A136" t="s">
        <v>160</v>
      </c>
      <c r="B136" t="s">
        <v>11</v>
      </c>
      <c r="C136" t="s">
        <v>38</v>
      </c>
      <c r="D136">
        <v>36.53</v>
      </c>
      <c r="E136" t="s">
        <v>9</v>
      </c>
      <c r="F136">
        <v>4358.6400000000003</v>
      </c>
      <c r="G136">
        <f t="shared" si="4"/>
        <v>159221.11920000002</v>
      </c>
      <c r="H136" t="str">
        <f>IF(BOQ_Table[[#This Row],[Amount]]&gt;100000,"Over Budget","OK")</f>
        <v>Over Budget</v>
      </c>
      <c r="I136" t="str">
        <f>IF(OR(BOQ_Table[[#This Row],[Quantity]]="",BOQ_Table[[#This Row],[Rate]]=""),"Missing","OK")</f>
        <v>OK</v>
      </c>
    </row>
    <row r="137" spans="1:9" x14ac:dyDescent="0.35">
      <c r="A137" t="s">
        <v>161</v>
      </c>
      <c r="B137" t="s">
        <v>56</v>
      </c>
      <c r="C137" t="s">
        <v>17</v>
      </c>
      <c r="D137">
        <v>74.88</v>
      </c>
      <c r="E137" t="s">
        <v>27</v>
      </c>
      <c r="F137">
        <v>3604.66</v>
      </c>
      <c r="G137">
        <f t="shared" si="4"/>
        <v>269916.94079999998</v>
      </c>
      <c r="H137" t="str">
        <f>IF(BOQ_Table[[#This Row],[Amount]]&gt;100000,"Over Budget","OK")</f>
        <v>Over Budget</v>
      </c>
      <c r="I137" t="str">
        <f>IF(OR(BOQ_Table[[#This Row],[Quantity]]="",BOQ_Table[[#This Row],[Rate]]=""),"Missing","OK")</f>
        <v>OK</v>
      </c>
    </row>
    <row r="138" spans="1:9" x14ac:dyDescent="0.35">
      <c r="A138" t="s">
        <v>162</v>
      </c>
      <c r="B138" t="s">
        <v>30</v>
      </c>
      <c r="C138" t="s">
        <v>38</v>
      </c>
      <c r="D138">
        <v>321.33</v>
      </c>
      <c r="E138" t="s">
        <v>27</v>
      </c>
      <c r="F138">
        <v>3773.36</v>
      </c>
      <c r="G138">
        <f t="shared" si="4"/>
        <v>1212493.7688</v>
      </c>
      <c r="H138" t="str">
        <f>IF(BOQ_Table[[#This Row],[Amount]]&gt;100000,"Over Budget","OK")</f>
        <v>Over Budget</v>
      </c>
      <c r="I138" t="str">
        <f>IF(OR(BOQ_Table[[#This Row],[Quantity]]="",BOQ_Table[[#This Row],[Rate]]=""),"Missing","OK")</f>
        <v>OK</v>
      </c>
    </row>
    <row r="139" spans="1:9" x14ac:dyDescent="0.35">
      <c r="A139" t="s">
        <v>163</v>
      </c>
      <c r="B139" t="s">
        <v>30</v>
      </c>
      <c r="C139" t="s">
        <v>17</v>
      </c>
      <c r="D139">
        <v>407.51</v>
      </c>
      <c r="E139" t="s">
        <v>22</v>
      </c>
      <c r="F139">
        <v>4078.04</v>
      </c>
      <c r="G139">
        <f t="shared" si="4"/>
        <v>1661842.0803999999</v>
      </c>
      <c r="H139" t="str">
        <f>IF(BOQ_Table[[#This Row],[Amount]]&gt;100000,"Over Budget","OK")</f>
        <v>Over Budget</v>
      </c>
      <c r="I139" t="str">
        <f>IF(OR(BOQ_Table[[#This Row],[Quantity]]="",BOQ_Table[[#This Row],[Rate]]=""),"Missing","OK")</f>
        <v>OK</v>
      </c>
    </row>
    <row r="140" spans="1:9" x14ac:dyDescent="0.35">
      <c r="A140" t="s">
        <v>164</v>
      </c>
      <c r="B140" t="s">
        <v>16</v>
      </c>
      <c r="C140" t="s">
        <v>8</v>
      </c>
      <c r="D140">
        <v>19.62</v>
      </c>
      <c r="E140" t="s">
        <v>18</v>
      </c>
      <c r="F140">
        <v>3584.74</v>
      </c>
      <c r="G140">
        <f t="shared" si="4"/>
        <v>70332.598799999992</v>
      </c>
      <c r="H140" t="str">
        <f>IF(BOQ_Table[[#This Row],[Amount]]&gt;100000,"Over Budget","OK")</f>
        <v>OK</v>
      </c>
      <c r="I140" t="str">
        <f>IF(OR(BOQ_Table[[#This Row],[Quantity]]="",BOQ_Table[[#This Row],[Rate]]=""),"Missing","OK")</f>
        <v>OK</v>
      </c>
    </row>
    <row r="141" spans="1:9" x14ac:dyDescent="0.35">
      <c r="A141" t="s">
        <v>165</v>
      </c>
      <c r="B141" t="s">
        <v>20</v>
      </c>
      <c r="C141" t="s">
        <v>38</v>
      </c>
      <c r="D141">
        <v>25.2</v>
      </c>
      <c r="E141" t="s">
        <v>27</v>
      </c>
      <c r="F141">
        <v>3723.9</v>
      </c>
      <c r="G141">
        <f t="shared" si="4"/>
        <v>93842.28</v>
      </c>
      <c r="H141" t="str">
        <f>IF(BOQ_Table[[#This Row],[Amount]]&gt;100000,"Over Budget","OK")</f>
        <v>OK</v>
      </c>
      <c r="I141" t="str">
        <f>IF(OR(BOQ_Table[[#This Row],[Quantity]]="",BOQ_Table[[#This Row],[Rate]]=""),"Missing","OK")</f>
        <v>OK</v>
      </c>
    </row>
    <row r="142" spans="1:9" x14ac:dyDescent="0.35">
      <c r="A142" t="s">
        <v>166</v>
      </c>
      <c r="B142" t="s">
        <v>42</v>
      </c>
      <c r="C142" t="s">
        <v>38</v>
      </c>
      <c r="D142">
        <v>366.31</v>
      </c>
      <c r="E142" t="s">
        <v>27</v>
      </c>
      <c r="F142">
        <v>3893.69</v>
      </c>
      <c r="G142">
        <f t="shared" si="4"/>
        <v>1426297.5839</v>
      </c>
      <c r="H142" t="str">
        <f>IF(BOQ_Table[[#This Row],[Amount]]&gt;100000,"Over Budget","OK")</f>
        <v>Over Budget</v>
      </c>
      <c r="I142" t="str">
        <f>IF(OR(BOQ_Table[[#This Row],[Quantity]]="",BOQ_Table[[#This Row],[Rate]]=""),"Missing","OK")</f>
        <v>OK</v>
      </c>
    </row>
    <row r="143" spans="1:9" x14ac:dyDescent="0.35">
      <c r="A143" t="s">
        <v>167</v>
      </c>
      <c r="B143" t="s">
        <v>40</v>
      </c>
      <c r="C143" t="s">
        <v>38</v>
      </c>
      <c r="D143">
        <v>88.1</v>
      </c>
      <c r="E143" t="s">
        <v>9</v>
      </c>
      <c r="F143">
        <v>75.73</v>
      </c>
      <c r="G143">
        <f t="shared" si="4"/>
        <v>6671.8130000000001</v>
      </c>
      <c r="H143" t="str">
        <f>IF(BOQ_Table[[#This Row],[Amount]]&gt;100000,"Over Budget","OK")</f>
        <v>OK</v>
      </c>
      <c r="I143" t="str">
        <f>IF(OR(BOQ_Table[[#This Row],[Quantity]]="",BOQ_Table[[#This Row],[Rate]]=""),"Missing","OK")</f>
        <v>OK</v>
      </c>
    </row>
    <row r="144" spans="1:9" x14ac:dyDescent="0.35">
      <c r="A144" t="s">
        <v>168</v>
      </c>
      <c r="B144" t="s">
        <v>32</v>
      </c>
      <c r="C144" t="s">
        <v>38</v>
      </c>
      <c r="D144">
        <v>439.88</v>
      </c>
      <c r="E144" t="s">
        <v>18</v>
      </c>
      <c r="F144">
        <v>485.35</v>
      </c>
      <c r="G144">
        <f t="shared" si="4"/>
        <v>213495.758</v>
      </c>
      <c r="H144" t="str">
        <f>IF(BOQ_Table[[#This Row],[Amount]]&gt;100000,"Over Budget","OK")</f>
        <v>Over Budget</v>
      </c>
      <c r="I144" t="str">
        <f>IF(OR(BOQ_Table[[#This Row],[Quantity]]="",BOQ_Table[[#This Row],[Rate]]=""),"Missing","OK")</f>
        <v>OK</v>
      </c>
    </row>
    <row r="145" spans="1:9" x14ac:dyDescent="0.35">
      <c r="A145" t="s">
        <v>169</v>
      </c>
      <c r="B145" t="s">
        <v>11</v>
      </c>
      <c r="C145" t="s">
        <v>21</v>
      </c>
      <c r="D145">
        <v>417.7</v>
      </c>
      <c r="E145" t="s">
        <v>14</v>
      </c>
      <c r="F145">
        <v>3845.8</v>
      </c>
      <c r="G145">
        <f t="shared" si="4"/>
        <v>1606390.66</v>
      </c>
      <c r="H145" t="str">
        <f>IF(BOQ_Table[[#This Row],[Amount]]&gt;100000,"Over Budget","OK")</f>
        <v>Over Budget</v>
      </c>
      <c r="I145" t="str">
        <f>IF(OR(BOQ_Table[[#This Row],[Quantity]]="",BOQ_Table[[#This Row],[Rate]]=""),"Missing","OK")</f>
        <v>OK</v>
      </c>
    </row>
    <row r="146" spans="1:9" x14ac:dyDescent="0.35">
      <c r="A146" t="s">
        <v>170</v>
      </c>
      <c r="B146" t="s">
        <v>11</v>
      </c>
      <c r="C146" t="s">
        <v>8</v>
      </c>
      <c r="D146">
        <v>495</v>
      </c>
      <c r="E146" t="s">
        <v>9</v>
      </c>
      <c r="F146">
        <v>1995.33</v>
      </c>
      <c r="G146">
        <f t="shared" si="4"/>
        <v>987688.35</v>
      </c>
      <c r="H146" t="str">
        <f>IF(BOQ_Table[[#This Row],[Amount]]&gt;100000,"Over Budget","OK")</f>
        <v>Over Budget</v>
      </c>
      <c r="I146" t="str">
        <f>IF(OR(BOQ_Table[[#This Row],[Quantity]]="",BOQ_Table[[#This Row],[Rate]]=""),"Missing","OK")</f>
        <v>OK</v>
      </c>
    </row>
    <row r="147" spans="1:9" x14ac:dyDescent="0.35">
      <c r="A147" t="s">
        <v>171</v>
      </c>
      <c r="B147" t="s">
        <v>40</v>
      </c>
      <c r="C147" t="s">
        <v>38</v>
      </c>
      <c r="D147">
        <v>293.83</v>
      </c>
      <c r="E147" t="s">
        <v>14</v>
      </c>
      <c r="F147">
        <v>443.47</v>
      </c>
      <c r="G147">
        <f t="shared" si="4"/>
        <v>130304.7901</v>
      </c>
      <c r="H147" t="str">
        <f>IF(BOQ_Table[[#This Row],[Amount]]&gt;100000,"Over Budget","OK")</f>
        <v>Over Budget</v>
      </c>
      <c r="I147" t="str">
        <f>IF(OR(BOQ_Table[[#This Row],[Quantity]]="",BOQ_Table[[#This Row],[Rate]]=""),"Missing","OK")</f>
        <v>OK</v>
      </c>
    </row>
    <row r="148" spans="1:9" x14ac:dyDescent="0.35">
      <c r="A148" t="s">
        <v>172</v>
      </c>
      <c r="B148" t="s">
        <v>11</v>
      </c>
      <c r="C148" t="s">
        <v>12</v>
      </c>
      <c r="D148">
        <v>326.22000000000003</v>
      </c>
      <c r="E148" t="s">
        <v>14</v>
      </c>
      <c r="F148">
        <v>2222.3200000000002</v>
      </c>
      <c r="G148">
        <f t="shared" si="4"/>
        <v>724965.23040000012</v>
      </c>
      <c r="H148" t="str">
        <f>IF(BOQ_Table[[#This Row],[Amount]]&gt;100000,"Over Budget","OK")</f>
        <v>Over Budget</v>
      </c>
      <c r="I148" t="str">
        <f>IF(OR(BOQ_Table[[#This Row],[Quantity]]="",BOQ_Table[[#This Row],[Rate]]=""),"Missing","OK")</f>
        <v>OK</v>
      </c>
    </row>
    <row r="149" spans="1:9" x14ac:dyDescent="0.35">
      <c r="A149" t="s">
        <v>173</v>
      </c>
      <c r="B149" t="s">
        <v>20</v>
      </c>
      <c r="C149" t="s">
        <v>8</v>
      </c>
      <c r="D149">
        <v>125.07</v>
      </c>
      <c r="E149" t="s">
        <v>14</v>
      </c>
      <c r="F149">
        <v>2525.0300000000002</v>
      </c>
      <c r="G149">
        <f t="shared" si="4"/>
        <v>315805.50209999998</v>
      </c>
      <c r="H149" t="str">
        <f>IF(BOQ_Table[[#This Row],[Amount]]&gt;100000,"Over Budget","OK")</f>
        <v>Over Budget</v>
      </c>
      <c r="I149" t="str">
        <f>IF(OR(BOQ_Table[[#This Row],[Quantity]]="",BOQ_Table[[#This Row],[Rate]]=""),"Missing","OK")</f>
        <v>OK</v>
      </c>
    </row>
    <row r="150" spans="1:9" x14ac:dyDescent="0.35">
      <c r="A150" t="s">
        <v>174</v>
      </c>
      <c r="B150" t="s">
        <v>20</v>
      </c>
      <c r="C150" t="s">
        <v>21</v>
      </c>
      <c r="D150">
        <v>442.71</v>
      </c>
      <c r="E150" t="s">
        <v>14</v>
      </c>
      <c r="F150">
        <v>3497.66</v>
      </c>
      <c r="G150">
        <f t="shared" si="4"/>
        <v>1548449.0585999999</v>
      </c>
      <c r="H150" t="str">
        <f>IF(BOQ_Table[[#This Row],[Amount]]&gt;100000,"Over Budget","OK")</f>
        <v>Over Budget</v>
      </c>
      <c r="I150" t="str">
        <f>IF(OR(BOQ_Table[[#This Row],[Quantity]]="",BOQ_Table[[#This Row],[Rate]]=""),"Missing","OK")</f>
        <v>OK</v>
      </c>
    </row>
    <row r="151" spans="1:9" x14ac:dyDescent="0.35">
      <c r="A151" t="s">
        <v>175</v>
      </c>
      <c r="B151" t="s">
        <v>20</v>
      </c>
      <c r="C151" t="s">
        <v>8</v>
      </c>
      <c r="D151">
        <v>147.13999999999999</v>
      </c>
      <c r="E151" t="s">
        <v>22</v>
      </c>
      <c r="F151">
        <v>866.29</v>
      </c>
      <c r="G151">
        <f t="shared" si="4"/>
        <v>127465.91059999999</v>
      </c>
      <c r="H151" t="str">
        <f>IF(BOQ_Table[[#This Row],[Amount]]&gt;100000,"Over Budget","OK")</f>
        <v>Over Budget</v>
      </c>
      <c r="I151" t="str">
        <f>IF(OR(BOQ_Table[[#This Row],[Quantity]]="",BOQ_Table[[#This Row],[Rate]]=""),"Missing","OK")</f>
        <v>OK</v>
      </c>
    </row>
    <row r="152" spans="1:9" x14ac:dyDescent="0.35">
      <c r="A152" t="s">
        <v>176</v>
      </c>
      <c r="B152" t="s">
        <v>30</v>
      </c>
      <c r="C152" t="s">
        <v>21</v>
      </c>
      <c r="D152">
        <v>112.2</v>
      </c>
      <c r="E152" t="s">
        <v>9</v>
      </c>
      <c r="F152">
        <v>886.44</v>
      </c>
      <c r="G152">
        <f t="shared" si="4"/>
        <v>99458.568000000014</v>
      </c>
      <c r="H152" t="str">
        <f>IF(BOQ_Table[[#This Row],[Amount]]&gt;100000,"Over Budget","OK")</f>
        <v>OK</v>
      </c>
      <c r="I152" t="str">
        <f>IF(OR(BOQ_Table[[#This Row],[Quantity]]="",BOQ_Table[[#This Row],[Rate]]=""),"Missing","OK")</f>
        <v>OK</v>
      </c>
    </row>
    <row r="153" spans="1:9" x14ac:dyDescent="0.35">
      <c r="A153" t="s">
        <v>177</v>
      </c>
      <c r="B153" t="s">
        <v>20</v>
      </c>
      <c r="C153" t="s">
        <v>8</v>
      </c>
      <c r="D153">
        <v>83.15</v>
      </c>
      <c r="E153" t="s">
        <v>18</v>
      </c>
      <c r="F153">
        <v>2635.29</v>
      </c>
      <c r="G153">
        <f t="shared" si="4"/>
        <v>219124.36350000001</v>
      </c>
      <c r="H153" t="str">
        <f>IF(BOQ_Table[[#This Row],[Amount]]&gt;100000,"Over Budget","OK")</f>
        <v>Over Budget</v>
      </c>
      <c r="I153" t="str">
        <f>IF(OR(BOQ_Table[[#This Row],[Quantity]]="",BOQ_Table[[#This Row],[Rate]]=""),"Missing","OK")</f>
        <v>OK</v>
      </c>
    </row>
    <row r="154" spans="1:9" x14ac:dyDescent="0.35">
      <c r="A154" t="s">
        <v>178</v>
      </c>
      <c r="B154" t="s">
        <v>42</v>
      </c>
      <c r="C154" t="s">
        <v>12</v>
      </c>
      <c r="D154">
        <v>454.83</v>
      </c>
      <c r="E154" t="s">
        <v>22</v>
      </c>
      <c r="F154">
        <v>1426.99</v>
      </c>
      <c r="G154">
        <f t="shared" si="4"/>
        <v>649037.86170000001</v>
      </c>
      <c r="H154" t="str">
        <f>IF(BOQ_Table[[#This Row],[Amount]]&gt;100000,"Over Budget","OK")</f>
        <v>Over Budget</v>
      </c>
      <c r="I154" t="str">
        <f>IF(OR(BOQ_Table[[#This Row],[Quantity]]="",BOQ_Table[[#This Row],[Rate]]=""),"Missing","OK")</f>
        <v>OK</v>
      </c>
    </row>
    <row r="155" spans="1:9" x14ac:dyDescent="0.35">
      <c r="A155" t="s">
        <v>179</v>
      </c>
      <c r="B155" t="s">
        <v>40</v>
      </c>
      <c r="C155" t="s">
        <v>38</v>
      </c>
      <c r="D155">
        <v>243.77</v>
      </c>
      <c r="E155" t="s">
        <v>18</v>
      </c>
      <c r="F155">
        <v>2212.66</v>
      </c>
      <c r="G155">
        <f t="shared" si="4"/>
        <v>539380.12820000004</v>
      </c>
      <c r="H155" t="str">
        <f>IF(BOQ_Table[[#This Row],[Amount]]&gt;100000,"Over Budget","OK")</f>
        <v>Over Budget</v>
      </c>
      <c r="I155" t="str">
        <f>IF(OR(BOQ_Table[[#This Row],[Quantity]]="",BOQ_Table[[#This Row],[Rate]]=""),"Missing","OK")</f>
        <v>OK</v>
      </c>
    </row>
    <row r="156" spans="1:9" x14ac:dyDescent="0.35">
      <c r="A156" t="s">
        <v>180</v>
      </c>
      <c r="B156" t="s">
        <v>7</v>
      </c>
      <c r="C156" t="s">
        <v>17</v>
      </c>
      <c r="D156">
        <v>117.04</v>
      </c>
      <c r="E156" t="s">
        <v>9</v>
      </c>
      <c r="F156">
        <v>2822.22</v>
      </c>
      <c r="G156">
        <f t="shared" si="4"/>
        <v>330312.62880000001</v>
      </c>
      <c r="H156" t="str">
        <f>IF(BOQ_Table[[#This Row],[Amount]]&gt;100000,"Over Budget","OK")</f>
        <v>Over Budget</v>
      </c>
      <c r="I156" t="str">
        <f>IF(OR(BOQ_Table[[#This Row],[Quantity]]="",BOQ_Table[[#This Row],[Rate]]=""),"Missing","OK")</f>
        <v>OK</v>
      </c>
    </row>
    <row r="157" spans="1:9" x14ac:dyDescent="0.35">
      <c r="A157" t="s">
        <v>181</v>
      </c>
      <c r="B157" t="s">
        <v>30</v>
      </c>
      <c r="C157" t="s">
        <v>17</v>
      </c>
      <c r="D157">
        <v>390.02</v>
      </c>
      <c r="E157" t="s">
        <v>14</v>
      </c>
      <c r="F157">
        <v>3774.42</v>
      </c>
      <c r="G157">
        <f t="shared" si="4"/>
        <v>1472099.2884</v>
      </c>
      <c r="H157" t="str">
        <f>IF(BOQ_Table[[#This Row],[Amount]]&gt;100000,"Over Budget","OK")</f>
        <v>Over Budget</v>
      </c>
      <c r="I157" t="str">
        <f>IF(OR(BOQ_Table[[#This Row],[Quantity]]="",BOQ_Table[[#This Row],[Rate]]=""),"Missing","OK")</f>
        <v>OK</v>
      </c>
    </row>
    <row r="158" spans="1:9" x14ac:dyDescent="0.35">
      <c r="A158" t="s">
        <v>182</v>
      </c>
      <c r="B158" t="s">
        <v>56</v>
      </c>
      <c r="C158" t="s">
        <v>8</v>
      </c>
      <c r="D158">
        <v>280.89999999999998</v>
      </c>
      <c r="E158" t="s">
        <v>27</v>
      </c>
      <c r="F158">
        <v>1541.18</v>
      </c>
      <c r="G158">
        <f t="shared" si="4"/>
        <v>432917.462</v>
      </c>
      <c r="H158" t="str">
        <f>IF(BOQ_Table[[#This Row],[Amount]]&gt;100000,"Over Budget","OK")</f>
        <v>Over Budget</v>
      </c>
      <c r="I158" t="str">
        <f>IF(OR(BOQ_Table[[#This Row],[Quantity]]="",BOQ_Table[[#This Row],[Rate]]=""),"Missing","OK")</f>
        <v>OK</v>
      </c>
    </row>
    <row r="159" spans="1:9" x14ac:dyDescent="0.35">
      <c r="A159" t="s">
        <v>183</v>
      </c>
      <c r="B159" t="s">
        <v>42</v>
      </c>
      <c r="C159" t="s">
        <v>17</v>
      </c>
      <c r="D159">
        <v>305.58999999999997</v>
      </c>
      <c r="E159" t="s">
        <v>18</v>
      </c>
      <c r="F159">
        <v>1878.84</v>
      </c>
      <c r="G159">
        <f t="shared" si="4"/>
        <v>574154.71559999988</v>
      </c>
      <c r="H159" t="str">
        <f>IF(BOQ_Table[[#This Row],[Amount]]&gt;100000,"Over Budget","OK")</f>
        <v>Over Budget</v>
      </c>
      <c r="I159" t="str">
        <f>IF(OR(BOQ_Table[[#This Row],[Quantity]]="",BOQ_Table[[#This Row],[Rate]]=""),"Missing","OK")</f>
        <v>OK</v>
      </c>
    </row>
    <row r="160" spans="1:9" x14ac:dyDescent="0.35">
      <c r="A160" t="s">
        <v>184</v>
      </c>
      <c r="B160" t="s">
        <v>16</v>
      </c>
      <c r="C160" t="s">
        <v>21</v>
      </c>
      <c r="D160">
        <v>448.57</v>
      </c>
      <c r="E160" t="s">
        <v>27</v>
      </c>
      <c r="F160">
        <v>3911.91</v>
      </c>
      <c r="G160">
        <f t="shared" si="4"/>
        <v>1754765.4686999999</v>
      </c>
      <c r="H160" t="str">
        <f>IF(BOQ_Table[[#This Row],[Amount]]&gt;100000,"Over Budget","OK")</f>
        <v>Over Budget</v>
      </c>
      <c r="I160" t="str">
        <f>IF(OR(BOQ_Table[[#This Row],[Quantity]]="",BOQ_Table[[#This Row],[Rate]]=""),"Missing","OK")</f>
        <v>OK</v>
      </c>
    </row>
    <row r="161" spans="1:9" x14ac:dyDescent="0.35">
      <c r="A161" t="s">
        <v>185</v>
      </c>
      <c r="B161" t="s">
        <v>20</v>
      </c>
      <c r="C161" t="s">
        <v>38</v>
      </c>
      <c r="D161">
        <v>166.24</v>
      </c>
      <c r="E161" t="s">
        <v>9</v>
      </c>
      <c r="F161">
        <v>2835.3</v>
      </c>
      <c r="G161">
        <f t="shared" si="4"/>
        <v>471340.27200000006</v>
      </c>
      <c r="H161" t="str">
        <f>IF(BOQ_Table[[#This Row],[Amount]]&gt;100000,"Over Budget","OK")</f>
        <v>Over Budget</v>
      </c>
      <c r="I161" t="str">
        <f>IF(OR(BOQ_Table[[#This Row],[Quantity]]="",BOQ_Table[[#This Row],[Rate]]=""),"Missing","OK")</f>
        <v>OK</v>
      </c>
    </row>
    <row r="162" spans="1:9" x14ac:dyDescent="0.35">
      <c r="A162" t="s">
        <v>186</v>
      </c>
      <c r="B162" t="s">
        <v>11</v>
      </c>
      <c r="C162" t="s">
        <v>21</v>
      </c>
      <c r="D162">
        <v>108.65</v>
      </c>
      <c r="E162" t="s">
        <v>9</v>
      </c>
      <c r="F162">
        <v>87.81</v>
      </c>
      <c r="G162">
        <f t="shared" si="4"/>
        <v>9540.5565000000006</v>
      </c>
      <c r="H162" t="str">
        <f>IF(BOQ_Table[[#This Row],[Amount]]&gt;100000,"Over Budget","OK")</f>
        <v>OK</v>
      </c>
      <c r="I162" t="str">
        <f>IF(OR(BOQ_Table[[#This Row],[Quantity]]="",BOQ_Table[[#This Row],[Rate]]=""),"Missing","OK")</f>
        <v>OK</v>
      </c>
    </row>
    <row r="163" spans="1:9" x14ac:dyDescent="0.35">
      <c r="A163" t="s">
        <v>187</v>
      </c>
      <c r="B163" t="s">
        <v>46</v>
      </c>
      <c r="C163" t="s">
        <v>8</v>
      </c>
      <c r="D163">
        <v>54.38</v>
      </c>
      <c r="E163" t="s">
        <v>27</v>
      </c>
      <c r="F163">
        <v>683.81</v>
      </c>
      <c r="G163">
        <f t="shared" si="4"/>
        <v>37185.587800000001</v>
      </c>
      <c r="H163" t="str">
        <f>IF(BOQ_Table[[#This Row],[Amount]]&gt;100000,"Over Budget","OK")</f>
        <v>OK</v>
      </c>
      <c r="I163" t="str">
        <f>IF(OR(BOQ_Table[[#This Row],[Quantity]]="",BOQ_Table[[#This Row],[Rate]]=""),"Missing","OK")</f>
        <v>OK</v>
      </c>
    </row>
    <row r="164" spans="1:9" x14ac:dyDescent="0.35">
      <c r="A164" t="s">
        <v>188</v>
      </c>
      <c r="B164" t="s">
        <v>56</v>
      </c>
      <c r="C164" t="s">
        <v>21</v>
      </c>
      <c r="D164">
        <v>45.03</v>
      </c>
      <c r="E164" t="s">
        <v>27</v>
      </c>
      <c r="F164">
        <v>1574.21</v>
      </c>
      <c r="G164">
        <f t="shared" si="4"/>
        <v>70886.676300000006</v>
      </c>
      <c r="H164" t="str">
        <f>IF(BOQ_Table[[#This Row],[Amount]]&gt;100000,"Over Budget","OK")</f>
        <v>OK</v>
      </c>
      <c r="I164" t="str">
        <f>IF(OR(BOQ_Table[[#This Row],[Quantity]]="",BOQ_Table[[#This Row],[Rate]]=""),"Missing","OK")</f>
        <v>OK</v>
      </c>
    </row>
    <row r="165" spans="1:9" x14ac:dyDescent="0.35">
      <c r="A165" t="s">
        <v>189</v>
      </c>
      <c r="B165" t="s">
        <v>11</v>
      </c>
      <c r="C165" t="s">
        <v>17</v>
      </c>
      <c r="D165">
        <v>469.93</v>
      </c>
      <c r="E165" t="s">
        <v>18</v>
      </c>
      <c r="F165">
        <v>4531.46</v>
      </c>
      <c r="G165">
        <f t="shared" si="4"/>
        <v>2129468.9978</v>
      </c>
      <c r="H165" t="str">
        <f>IF(BOQ_Table[[#This Row],[Amount]]&gt;100000,"Over Budget","OK")</f>
        <v>Over Budget</v>
      </c>
      <c r="I165" t="str">
        <f>IF(OR(BOQ_Table[[#This Row],[Quantity]]="",BOQ_Table[[#This Row],[Rate]]=""),"Missing","OK")</f>
        <v>OK</v>
      </c>
    </row>
    <row r="166" spans="1:9" x14ac:dyDescent="0.35">
      <c r="A166" t="s">
        <v>190</v>
      </c>
      <c r="B166" t="s">
        <v>16</v>
      </c>
      <c r="C166" t="s">
        <v>8</v>
      </c>
      <c r="D166">
        <v>100.67</v>
      </c>
      <c r="E166" t="s">
        <v>27</v>
      </c>
      <c r="F166">
        <v>2990.79</v>
      </c>
      <c r="G166">
        <f t="shared" si="4"/>
        <v>301082.82929999998</v>
      </c>
      <c r="H166" t="str">
        <f>IF(BOQ_Table[[#This Row],[Amount]]&gt;100000,"Over Budget","OK")</f>
        <v>Over Budget</v>
      </c>
      <c r="I166" t="str">
        <f>IF(OR(BOQ_Table[[#This Row],[Quantity]]="",BOQ_Table[[#This Row],[Rate]]=""),"Missing","OK")</f>
        <v>OK</v>
      </c>
    </row>
    <row r="167" spans="1:9" x14ac:dyDescent="0.35">
      <c r="A167" t="s">
        <v>191</v>
      </c>
      <c r="B167" t="s">
        <v>30</v>
      </c>
      <c r="C167" t="s">
        <v>8</v>
      </c>
      <c r="D167">
        <v>245.15</v>
      </c>
      <c r="E167" t="s">
        <v>9</v>
      </c>
      <c r="F167">
        <v>833.73</v>
      </c>
      <c r="G167">
        <f t="shared" si="4"/>
        <v>204388.90950000001</v>
      </c>
      <c r="H167" t="str">
        <f>IF(BOQ_Table[[#This Row],[Amount]]&gt;100000,"Over Budget","OK")</f>
        <v>Over Budget</v>
      </c>
      <c r="I167" t="str">
        <f>IF(OR(BOQ_Table[[#This Row],[Quantity]]="",BOQ_Table[[#This Row],[Rate]]=""),"Missing","OK")</f>
        <v>OK</v>
      </c>
    </row>
    <row r="168" spans="1:9" x14ac:dyDescent="0.35">
      <c r="A168" t="s">
        <v>192</v>
      </c>
      <c r="B168" t="s">
        <v>32</v>
      </c>
      <c r="C168" t="s">
        <v>17</v>
      </c>
      <c r="D168">
        <v>460.15</v>
      </c>
      <c r="E168" t="s">
        <v>14</v>
      </c>
      <c r="F168">
        <v>1790.96</v>
      </c>
      <c r="G168">
        <f t="shared" si="4"/>
        <v>824110.24399999995</v>
      </c>
      <c r="H168" t="str">
        <f>IF(BOQ_Table[[#This Row],[Amount]]&gt;100000,"Over Budget","OK")</f>
        <v>Over Budget</v>
      </c>
      <c r="I168" t="str">
        <f>IF(OR(BOQ_Table[[#This Row],[Quantity]]="",BOQ_Table[[#This Row],[Rate]]=""),"Missing","OK")</f>
        <v>OK</v>
      </c>
    </row>
    <row r="169" spans="1:9" x14ac:dyDescent="0.35">
      <c r="A169" t="s">
        <v>193</v>
      </c>
      <c r="B169" t="s">
        <v>30</v>
      </c>
      <c r="C169" t="s">
        <v>21</v>
      </c>
      <c r="D169">
        <v>140.93</v>
      </c>
      <c r="E169" t="s">
        <v>27</v>
      </c>
      <c r="F169">
        <v>2219.1999999999998</v>
      </c>
      <c r="G169">
        <f t="shared" si="4"/>
        <v>312751.85599999997</v>
      </c>
      <c r="H169" t="str">
        <f>IF(BOQ_Table[[#This Row],[Amount]]&gt;100000,"Over Budget","OK")</f>
        <v>Over Budget</v>
      </c>
      <c r="I169" t="str">
        <f>IF(OR(BOQ_Table[[#This Row],[Quantity]]="",BOQ_Table[[#This Row],[Rate]]=""),"Missing","OK")</f>
        <v>OK</v>
      </c>
    </row>
    <row r="170" spans="1:9" x14ac:dyDescent="0.35">
      <c r="A170" t="s">
        <v>194</v>
      </c>
      <c r="B170" t="s">
        <v>7</v>
      </c>
      <c r="C170" t="s">
        <v>12</v>
      </c>
      <c r="D170">
        <v>349.73</v>
      </c>
      <c r="E170" t="s">
        <v>9</v>
      </c>
      <c r="F170">
        <v>3180.12</v>
      </c>
      <c r="G170">
        <f t="shared" si="4"/>
        <v>1112183.3676</v>
      </c>
      <c r="H170" t="str">
        <f>IF(BOQ_Table[[#This Row],[Amount]]&gt;100000,"Over Budget","OK")</f>
        <v>Over Budget</v>
      </c>
      <c r="I170" t="str">
        <f>IF(OR(BOQ_Table[[#This Row],[Quantity]]="",BOQ_Table[[#This Row],[Rate]]=""),"Missing","OK")</f>
        <v>OK</v>
      </c>
    </row>
    <row r="171" spans="1:9" x14ac:dyDescent="0.35">
      <c r="A171" t="s">
        <v>195</v>
      </c>
      <c r="B171" t="s">
        <v>16</v>
      </c>
      <c r="C171" t="s">
        <v>12</v>
      </c>
      <c r="D171">
        <v>279.27999999999997</v>
      </c>
      <c r="E171" t="s">
        <v>14</v>
      </c>
      <c r="F171">
        <v>2206.06</v>
      </c>
      <c r="G171">
        <f t="shared" si="4"/>
        <v>616108.43679999991</v>
      </c>
      <c r="H171" t="str">
        <f>IF(BOQ_Table[[#This Row],[Amount]]&gt;100000,"Over Budget","OK")</f>
        <v>Over Budget</v>
      </c>
      <c r="I171" t="str">
        <f>IF(OR(BOQ_Table[[#This Row],[Quantity]]="",BOQ_Table[[#This Row],[Rate]]=""),"Missing","OK")</f>
        <v>OK</v>
      </c>
    </row>
    <row r="172" spans="1:9" x14ac:dyDescent="0.35">
      <c r="A172" t="s">
        <v>196</v>
      </c>
      <c r="B172" t="s">
        <v>32</v>
      </c>
      <c r="C172" t="s">
        <v>8</v>
      </c>
      <c r="D172">
        <v>410.62</v>
      </c>
      <c r="E172" t="s">
        <v>9</v>
      </c>
      <c r="F172">
        <v>4326.79</v>
      </c>
      <c r="G172">
        <f t="shared" si="4"/>
        <v>1776666.5098000001</v>
      </c>
      <c r="H172" t="str">
        <f>IF(BOQ_Table[[#This Row],[Amount]]&gt;100000,"Over Budget","OK")</f>
        <v>Over Budget</v>
      </c>
      <c r="I172" t="str">
        <f>IF(OR(BOQ_Table[[#This Row],[Quantity]]="",BOQ_Table[[#This Row],[Rate]]=""),"Missing","OK")</f>
        <v>OK</v>
      </c>
    </row>
    <row r="173" spans="1:9" x14ac:dyDescent="0.35">
      <c r="A173" t="s">
        <v>197</v>
      </c>
      <c r="B173" t="s">
        <v>56</v>
      </c>
      <c r="C173" t="s">
        <v>17</v>
      </c>
      <c r="D173">
        <v>4.45</v>
      </c>
      <c r="E173" t="s">
        <v>22</v>
      </c>
      <c r="F173">
        <v>909.46</v>
      </c>
      <c r="G173">
        <f t="shared" si="4"/>
        <v>4047.0970000000002</v>
      </c>
      <c r="H173" t="str">
        <f>IF(BOQ_Table[[#This Row],[Amount]]&gt;100000,"Over Budget","OK")</f>
        <v>OK</v>
      </c>
      <c r="I173" t="str">
        <f>IF(OR(BOQ_Table[[#This Row],[Quantity]]="",BOQ_Table[[#This Row],[Rate]]=""),"Missing","OK")</f>
        <v>OK</v>
      </c>
    </row>
    <row r="174" spans="1:9" x14ac:dyDescent="0.35">
      <c r="A174" t="s">
        <v>198</v>
      </c>
      <c r="B174" t="s">
        <v>40</v>
      </c>
      <c r="C174" t="s">
        <v>21</v>
      </c>
      <c r="D174">
        <v>94.87</v>
      </c>
      <c r="E174" t="s">
        <v>27</v>
      </c>
      <c r="F174">
        <v>1682.82</v>
      </c>
      <c r="G174">
        <f t="shared" si="4"/>
        <v>159649.13339999999</v>
      </c>
      <c r="H174" t="str">
        <f>IF(BOQ_Table[[#This Row],[Amount]]&gt;100000,"Over Budget","OK")</f>
        <v>Over Budget</v>
      </c>
      <c r="I174" t="str">
        <f>IF(OR(BOQ_Table[[#This Row],[Quantity]]="",BOQ_Table[[#This Row],[Rate]]=""),"Missing","OK")</f>
        <v>OK</v>
      </c>
    </row>
    <row r="175" spans="1:9" x14ac:dyDescent="0.35">
      <c r="A175" t="s">
        <v>199</v>
      </c>
      <c r="B175" t="s">
        <v>20</v>
      </c>
      <c r="C175" t="s">
        <v>8</v>
      </c>
      <c r="D175">
        <v>166.31</v>
      </c>
      <c r="E175" t="s">
        <v>9</v>
      </c>
      <c r="F175">
        <v>503.19</v>
      </c>
      <c r="G175">
        <f t="shared" si="4"/>
        <v>83685.528900000005</v>
      </c>
      <c r="H175" t="str">
        <f>IF(BOQ_Table[[#This Row],[Amount]]&gt;100000,"Over Budget","OK")</f>
        <v>OK</v>
      </c>
      <c r="I175" t="str">
        <f>IF(OR(BOQ_Table[[#This Row],[Quantity]]="",BOQ_Table[[#This Row],[Rate]]=""),"Missing","OK")</f>
        <v>OK</v>
      </c>
    </row>
    <row r="176" spans="1:9" x14ac:dyDescent="0.35">
      <c r="A176" t="s">
        <v>200</v>
      </c>
      <c r="B176" t="s">
        <v>16</v>
      </c>
      <c r="C176" t="s">
        <v>17</v>
      </c>
      <c r="D176">
        <v>13.52</v>
      </c>
      <c r="E176" t="s">
        <v>27</v>
      </c>
      <c r="F176">
        <v>668.4</v>
      </c>
      <c r="G176">
        <f t="shared" si="4"/>
        <v>9036.768</v>
      </c>
      <c r="H176" t="str">
        <f>IF(BOQ_Table[[#This Row],[Amount]]&gt;100000,"Over Budget","OK")</f>
        <v>OK</v>
      </c>
      <c r="I176" t="str">
        <f>IF(OR(BOQ_Table[[#This Row],[Quantity]]="",BOQ_Table[[#This Row],[Rate]]=""),"Missing","OK")</f>
        <v>OK</v>
      </c>
    </row>
    <row r="177" spans="1:9" x14ac:dyDescent="0.35">
      <c r="A177" t="s">
        <v>201</v>
      </c>
      <c r="B177" t="s">
        <v>7</v>
      </c>
      <c r="C177" t="s">
        <v>17</v>
      </c>
      <c r="D177">
        <v>376.9</v>
      </c>
      <c r="E177" t="s">
        <v>27</v>
      </c>
      <c r="F177">
        <v>3226.06</v>
      </c>
      <c r="G177">
        <f t="shared" si="4"/>
        <v>1215902.014</v>
      </c>
      <c r="H177" t="str">
        <f>IF(BOQ_Table[[#This Row],[Amount]]&gt;100000,"Over Budget","OK")</f>
        <v>Over Budget</v>
      </c>
      <c r="I177" t="str">
        <f>IF(OR(BOQ_Table[[#This Row],[Quantity]]="",BOQ_Table[[#This Row],[Rate]]=""),"Missing","OK")</f>
        <v>OK</v>
      </c>
    </row>
    <row r="178" spans="1:9" x14ac:dyDescent="0.35">
      <c r="A178" t="s">
        <v>202</v>
      </c>
      <c r="B178" t="s">
        <v>11</v>
      </c>
      <c r="C178" t="s">
        <v>21</v>
      </c>
      <c r="D178">
        <v>96.94</v>
      </c>
      <c r="E178" t="s">
        <v>18</v>
      </c>
      <c r="F178">
        <v>202.35</v>
      </c>
      <c r="G178">
        <f t="shared" si="4"/>
        <v>19615.808999999997</v>
      </c>
      <c r="H178" t="str">
        <f>IF(BOQ_Table[[#This Row],[Amount]]&gt;100000,"Over Budget","OK")</f>
        <v>OK</v>
      </c>
      <c r="I178" t="str">
        <f>IF(OR(BOQ_Table[[#This Row],[Quantity]]="",BOQ_Table[[#This Row],[Rate]]=""),"Missing","OK")</f>
        <v>OK</v>
      </c>
    </row>
    <row r="179" spans="1:9" x14ac:dyDescent="0.35">
      <c r="A179" t="s">
        <v>203</v>
      </c>
      <c r="B179" t="s">
        <v>20</v>
      </c>
      <c r="C179" t="s">
        <v>21</v>
      </c>
      <c r="D179">
        <v>57.05</v>
      </c>
      <c r="E179" t="s">
        <v>27</v>
      </c>
      <c r="F179">
        <v>227.44</v>
      </c>
      <c r="G179">
        <f t="shared" si="4"/>
        <v>12975.451999999999</v>
      </c>
      <c r="H179" t="str">
        <f>IF(BOQ_Table[[#This Row],[Amount]]&gt;100000,"Over Budget","OK")</f>
        <v>OK</v>
      </c>
      <c r="I179" t="str">
        <f>IF(OR(BOQ_Table[[#This Row],[Quantity]]="",BOQ_Table[[#This Row],[Rate]]=""),"Missing","OK")</f>
        <v>OK</v>
      </c>
    </row>
    <row r="180" spans="1:9" x14ac:dyDescent="0.35">
      <c r="A180" t="s">
        <v>204</v>
      </c>
      <c r="B180" t="s">
        <v>40</v>
      </c>
      <c r="C180" t="s">
        <v>8</v>
      </c>
      <c r="D180">
        <v>370.45</v>
      </c>
      <c r="E180" t="s">
        <v>9</v>
      </c>
      <c r="F180">
        <v>3990.75</v>
      </c>
      <c r="G180">
        <f t="shared" si="4"/>
        <v>1478373.3374999999</v>
      </c>
      <c r="H180" t="str">
        <f>IF(BOQ_Table[[#This Row],[Amount]]&gt;100000,"Over Budget","OK")</f>
        <v>Over Budget</v>
      </c>
      <c r="I180" t="str">
        <f>IF(OR(BOQ_Table[[#This Row],[Quantity]]="",BOQ_Table[[#This Row],[Rate]]=""),"Missing","OK")</f>
        <v>OK</v>
      </c>
    </row>
    <row r="181" spans="1:9" x14ac:dyDescent="0.35">
      <c r="A181" t="s">
        <v>205</v>
      </c>
      <c r="B181" t="s">
        <v>40</v>
      </c>
      <c r="C181" t="s">
        <v>17</v>
      </c>
      <c r="D181">
        <v>239.42</v>
      </c>
      <c r="E181" t="s">
        <v>9</v>
      </c>
      <c r="F181">
        <v>2040.84</v>
      </c>
      <c r="G181">
        <f t="shared" si="4"/>
        <v>488617.91279999993</v>
      </c>
      <c r="H181" t="str">
        <f>IF(BOQ_Table[[#This Row],[Amount]]&gt;100000,"Over Budget","OK")</f>
        <v>Over Budget</v>
      </c>
      <c r="I181" t="str">
        <f>IF(OR(BOQ_Table[[#This Row],[Quantity]]="",BOQ_Table[[#This Row],[Rate]]=""),"Missing","OK")</f>
        <v>OK</v>
      </c>
    </row>
    <row r="182" spans="1:9" x14ac:dyDescent="0.35">
      <c r="A182" t="s">
        <v>206</v>
      </c>
      <c r="B182" t="s">
        <v>20</v>
      </c>
      <c r="C182" t="s">
        <v>21</v>
      </c>
      <c r="D182">
        <v>274.94</v>
      </c>
      <c r="E182" t="s">
        <v>9</v>
      </c>
      <c r="F182">
        <v>1409.69</v>
      </c>
      <c r="G182">
        <f t="shared" si="4"/>
        <v>387580.16860000003</v>
      </c>
      <c r="H182" t="str">
        <f>IF(BOQ_Table[[#This Row],[Amount]]&gt;100000,"Over Budget","OK")</f>
        <v>Over Budget</v>
      </c>
      <c r="I182" t="str">
        <f>IF(OR(BOQ_Table[[#This Row],[Quantity]]="",BOQ_Table[[#This Row],[Rate]]=""),"Missing","OK")</f>
        <v>OK</v>
      </c>
    </row>
    <row r="183" spans="1:9" x14ac:dyDescent="0.35">
      <c r="A183" t="s">
        <v>207</v>
      </c>
      <c r="B183" t="s">
        <v>32</v>
      </c>
      <c r="C183" t="s">
        <v>8</v>
      </c>
      <c r="D183">
        <v>110.95</v>
      </c>
      <c r="E183" t="s">
        <v>18</v>
      </c>
      <c r="F183">
        <v>4192.95</v>
      </c>
      <c r="G183">
        <f t="shared" si="4"/>
        <v>465207.80249999999</v>
      </c>
      <c r="H183" t="str">
        <f>IF(BOQ_Table[[#This Row],[Amount]]&gt;100000,"Over Budget","OK")</f>
        <v>Over Budget</v>
      </c>
      <c r="I183" t="str">
        <f>IF(OR(BOQ_Table[[#This Row],[Quantity]]="",BOQ_Table[[#This Row],[Rate]]=""),"Missing","OK")</f>
        <v>OK</v>
      </c>
    </row>
    <row r="184" spans="1:9" x14ac:dyDescent="0.35">
      <c r="A184" t="s">
        <v>208</v>
      </c>
      <c r="B184" t="s">
        <v>42</v>
      </c>
      <c r="C184" t="s">
        <v>17</v>
      </c>
      <c r="D184">
        <v>100.7</v>
      </c>
      <c r="E184" t="s">
        <v>18</v>
      </c>
      <c r="F184">
        <v>474.14</v>
      </c>
      <c r="G184">
        <f t="shared" si="4"/>
        <v>47745.898000000001</v>
      </c>
      <c r="H184" t="str">
        <f>IF(BOQ_Table[[#This Row],[Amount]]&gt;100000,"Over Budget","OK")</f>
        <v>OK</v>
      </c>
      <c r="I184" t="str">
        <f>IF(OR(BOQ_Table[[#This Row],[Quantity]]="",BOQ_Table[[#This Row],[Rate]]=""),"Missing","OK")</f>
        <v>OK</v>
      </c>
    </row>
    <row r="185" spans="1:9" x14ac:dyDescent="0.35">
      <c r="A185" t="s">
        <v>209</v>
      </c>
      <c r="B185" t="s">
        <v>20</v>
      </c>
      <c r="C185" t="s">
        <v>12</v>
      </c>
      <c r="D185">
        <v>334.31</v>
      </c>
      <c r="E185" t="s">
        <v>18</v>
      </c>
      <c r="F185">
        <v>4458.93</v>
      </c>
      <c r="G185">
        <f t="shared" si="4"/>
        <v>1490664.8883</v>
      </c>
      <c r="H185" t="str">
        <f>IF(BOQ_Table[[#This Row],[Amount]]&gt;100000,"Over Budget","OK")</f>
        <v>Over Budget</v>
      </c>
      <c r="I185" t="str">
        <f>IF(OR(BOQ_Table[[#This Row],[Quantity]]="",BOQ_Table[[#This Row],[Rate]]=""),"Missing","OK")</f>
        <v>OK</v>
      </c>
    </row>
    <row r="186" spans="1:9" x14ac:dyDescent="0.35">
      <c r="A186" t="s">
        <v>210</v>
      </c>
      <c r="B186" t="s">
        <v>30</v>
      </c>
      <c r="C186" t="s">
        <v>38</v>
      </c>
      <c r="D186">
        <v>281.38</v>
      </c>
      <c r="E186" t="s">
        <v>18</v>
      </c>
      <c r="F186">
        <v>878.11</v>
      </c>
      <c r="G186">
        <f t="shared" si="4"/>
        <v>247082.59179999999</v>
      </c>
      <c r="H186" t="str">
        <f>IF(BOQ_Table[[#This Row],[Amount]]&gt;100000,"Over Budget","OK")</f>
        <v>Over Budget</v>
      </c>
      <c r="I186" t="str">
        <f>IF(OR(BOQ_Table[[#This Row],[Quantity]]="",BOQ_Table[[#This Row],[Rate]]=""),"Missing","OK")</f>
        <v>OK</v>
      </c>
    </row>
    <row r="187" spans="1:9" x14ac:dyDescent="0.35">
      <c r="A187" t="s">
        <v>211</v>
      </c>
      <c r="B187" t="s">
        <v>30</v>
      </c>
      <c r="C187" t="s">
        <v>8</v>
      </c>
      <c r="D187">
        <v>17.059999999999999</v>
      </c>
      <c r="E187" t="s">
        <v>27</v>
      </c>
      <c r="F187">
        <v>158.38</v>
      </c>
      <c r="G187">
        <f t="shared" si="4"/>
        <v>2701.9627999999998</v>
      </c>
      <c r="H187" t="str">
        <f>IF(BOQ_Table[[#This Row],[Amount]]&gt;100000,"Over Budget","OK")</f>
        <v>OK</v>
      </c>
      <c r="I187" t="str">
        <f>IF(OR(BOQ_Table[[#This Row],[Quantity]]="",BOQ_Table[[#This Row],[Rate]]=""),"Missing","OK")</f>
        <v>OK</v>
      </c>
    </row>
    <row r="188" spans="1:9" x14ac:dyDescent="0.35">
      <c r="A188" t="s">
        <v>212</v>
      </c>
      <c r="B188" t="s">
        <v>7</v>
      </c>
      <c r="C188" t="s">
        <v>8</v>
      </c>
      <c r="D188">
        <v>53.44</v>
      </c>
      <c r="E188" t="s">
        <v>18</v>
      </c>
      <c r="F188">
        <v>506.5</v>
      </c>
      <c r="G188">
        <f t="shared" si="4"/>
        <v>27067.360000000001</v>
      </c>
      <c r="H188" t="str">
        <f>IF(BOQ_Table[[#This Row],[Amount]]&gt;100000,"Over Budget","OK")</f>
        <v>OK</v>
      </c>
      <c r="I188" t="str">
        <f>IF(OR(BOQ_Table[[#This Row],[Quantity]]="",BOQ_Table[[#This Row],[Rate]]=""),"Missing","OK")</f>
        <v>OK</v>
      </c>
    </row>
    <row r="189" spans="1:9" x14ac:dyDescent="0.35">
      <c r="A189" t="s">
        <v>213</v>
      </c>
      <c r="B189" t="s">
        <v>32</v>
      </c>
      <c r="C189" t="s">
        <v>12</v>
      </c>
      <c r="D189">
        <v>415.61</v>
      </c>
      <c r="E189" t="s">
        <v>27</v>
      </c>
      <c r="F189">
        <v>703.72</v>
      </c>
      <c r="G189">
        <f t="shared" si="4"/>
        <v>292473.06920000003</v>
      </c>
      <c r="H189" t="str">
        <f>IF(BOQ_Table[[#This Row],[Amount]]&gt;100000,"Over Budget","OK")</f>
        <v>Over Budget</v>
      </c>
      <c r="I189" t="str">
        <f>IF(OR(BOQ_Table[[#This Row],[Quantity]]="",BOQ_Table[[#This Row],[Rate]]=""),"Missing","OK")</f>
        <v>OK</v>
      </c>
    </row>
    <row r="190" spans="1:9" x14ac:dyDescent="0.35">
      <c r="A190" t="s">
        <v>214</v>
      </c>
      <c r="B190" t="s">
        <v>56</v>
      </c>
      <c r="C190" t="s">
        <v>21</v>
      </c>
      <c r="D190">
        <v>407.83</v>
      </c>
      <c r="E190" t="s">
        <v>18</v>
      </c>
      <c r="F190">
        <v>1249.83</v>
      </c>
      <c r="G190">
        <f t="shared" si="4"/>
        <v>509718.16889999993</v>
      </c>
      <c r="H190" t="str">
        <f>IF(BOQ_Table[[#This Row],[Amount]]&gt;100000,"Over Budget","OK")</f>
        <v>Over Budget</v>
      </c>
      <c r="I190" t="str">
        <f>IF(OR(BOQ_Table[[#This Row],[Quantity]]="",BOQ_Table[[#This Row],[Rate]]=""),"Missing","OK")</f>
        <v>OK</v>
      </c>
    </row>
    <row r="191" spans="1:9" x14ac:dyDescent="0.35">
      <c r="A191" t="s">
        <v>215</v>
      </c>
      <c r="B191" t="s">
        <v>7</v>
      </c>
      <c r="C191" t="s">
        <v>38</v>
      </c>
      <c r="D191">
        <v>7.8</v>
      </c>
      <c r="E191" t="s">
        <v>9</v>
      </c>
      <c r="F191">
        <v>2339.89</v>
      </c>
      <c r="G191">
        <f t="shared" si="4"/>
        <v>18251.142</v>
      </c>
      <c r="H191" t="str">
        <f>IF(BOQ_Table[[#This Row],[Amount]]&gt;100000,"Over Budget","OK")</f>
        <v>OK</v>
      </c>
      <c r="I191" t="str">
        <f>IF(OR(BOQ_Table[[#This Row],[Quantity]]="",BOQ_Table[[#This Row],[Rate]]=""),"Missing","OK")</f>
        <v>OK</v>
      </c>
    </row>
    <row r="192" spans="1:9" x14ac:dyDescent="0.35">
      <c r="A192" t="s">
        <v>216</v>
      </c>
      <c r="B192" t="s">
        <v>7</v>
      </c>
      <c r="C192" t="s">
        <v>38</v>
      </c>
      <c r="D192">
        <v>429.79</v>
      </c>
      <c r="E192" t="s">
        <v>9</v>
      </c>
      <c r="F192">
        <v>3111.32</v>
      </c>
      <c r="G192">
        <f t="shared" si="4"/>
        <v>1337214.2228000001</v>
      </c>
      <c r="H192" t="str">
        <f>IF(BOQ_Table[[#This Row],[Amount]]&gt;100000,"Over Budget","OK")</f>
        <v>Over Budget</v>
      </c>
      <c r="I192" t="str">
        <f>IF(OR(BOQ_Table[[#This Row],[Quantity]]="",BOQ_Table[[#This Row],[Rate]]=""),"Missing","OK")</f>
        <v>OK</v>
      </c>
    </row>
    <row r="193" spans="1:9" x14ac:dyDescent="0.35">
      <c r="A193" t="s">
        <v>217</v>
      </c>
      <c r="B193" t="s">
        <v>56</v>
      </c>
      <c r="C193" t="s">
        <v>21</v>
      </c>
      <c r="D193">
        <v>313.48</v>
      </c>
      <c r="E193" t="s">
        <v>22</v>
      </c>
      <c r="F193">
        <v>1088.55</v>
      </c>
      <c r="G193">
        <f t="shared" si="4"/>
        <v>341238.65399999998</v>
      </c>
      <c r="H193" t="str">
        <f>IF(BOQ_Table[[#This Row],[Amount]]&gt;100000,"Over Budget","OK")</f>
        <v>Over Budget</v>
      </c>
      <c r="I193" t="str">
        <f>IF(OR(BOQ_Table[[#This Row],[Quantity]]="",BOQ_Table[[#This Row],[Rate]]=""),"Missing","OK")</f>
        <v>OK</v>
      </c>
    </row>
    <row r="194" spans="1:9" x14ac:dyDescent="0.35">
      <c r="A194" t="s">
        <v>218</v>
      </c>
      <c r="B194" t="s">
        <v>46</v>
      </c>
      <c r="C194" t="s">
        <v>8</v>
      </c>
      <c r="D194">
        <v>177.2</v>
      </c>
      <c r="E194" t="s">
        <v>18</v>
      </c>
      <c r="F194">
        <v>3881.16</v>
      </c>
      <c r="G194">
        <f t="shared" ref="G194:G257" si="5">D194*F194</f>
        <v>687741.55199999991</v>
      </c>
      <c r="H194" t="str">
        <f>IF(BOQ_Table[[#This Row],[Amount]]&gt;100000,"Over Budget","OK")</f>
        <v>Over Budget</v>
      </c>
      <c r="I194" t="str">
        <f>IF(OR(BOQ_Table[[#This Row],[Quantity]]="",BOQ_Table[[#This Row],[Rate]]=""),"Missing","OK")</f>
        <v>OK</v>
      </c>
    </row>
    <row r="195" spans="1:9" x14ac:dyDescent="0.35">
      <c r="A195" t="s">
        <v>219</v>
      </c>
      <c r="B195" t="s">
        <v>42</v>
      </c>
      <c r="C195" t="s">
        <v>12</v>
      </c>
      <c r="D195">
        <v>103.02</v>
      </c>
      <c r="E195" t="s">
        <v>27</v>
      </c>
      <c r="F195">
        <v>1959.08</v>
      </c>
      <c r="G195">
        <f t="shared" si="5"/>
        <v>201824.42159999997</v>
      </c>
      <c r="H195" t="str">
        <f>IF(BOQ_Table[[#This Row],[Amount]]&gt;100000,"Over Budget","OK")</f>
        <v>Over Budget</v>
      </c>
      <c r="I195" t="str">
        <f>IF(OR(BOQ_Table[[#This Row],[Quantity]]="",BOQ_Table[[#This Row],[Rate]]=""),"Missing","OK")</f>
        <v>OK</v>
      </c>
    </row>
    <row r="196" spans="1:9" x14ac:dyDescent="0.35">
      <c r="A196" t="s">
        <v>220</v>
      </c>
      <c r="B196" t="s">
        <v>16</v>
      </c>
      <c r="C196" t="s">
        <v>21</v>
      </c>
      <c r="D196">
        <v>45.53</v>
      </c>
      <c r="E196" t="s">
        <v>22</v>
      </c>
      <c r="F196">
        <v>330.13</v>
      </c>
      <c r="G196">
        <f t="shared" si="5"/>
        <v>15030.8189</v>
      </c>
      <c r="H196" t="str">
        <f>IF(BOQ_Table[[#This Row],[Amount]]&gt;100000,"Over Budget","OK")</f>
        <v>OK</v>
      </c>
      <c r="I196" t="str">
        <f>IF(OR(BOQ_Table[[#This Row],[Quantity]]="",BOQ_Table[[#This Row],[Rate]]=""),"Missing","OK")</f>
        <v>OK</v>
      </c>
    </row>
    <row r="197" spans="1:9" x14ac:dyDescent="0.35">
      <c r="A197" t="s">
        <v>221</v>
      </c>
      <c r="B197" t="s">
        <v>46</v>
      </c>
      <c r="C197" t="s">
        <v>21</v>
      </c>
      <c r="D197">
        <v>114.53</v>
      </c>
      <c r="E197" t="s">
        <v>22</v>
      </c>
      <c r="F197">
        <v>3135.67</v>
      </c>
      <c r="G197">
        <f t="shared" si="5"/>
        <v>359128.28510000004</v>
      </c>
      <c r="H197" t="str">
        <f>IF(BOQ_Table[[#This Row],[Amount]]&gt;100000,"Over Budget","OK")</f>
        <v>Over Budget</v>
      </c>
      <c r="I197" t="str">
        <f>IF(OR(BOQ_Table[[#This Row],[Quantity]]="",BOQ_Table[[#This Row],[Rate]]=""),"Missing","OK")</f>
        <v>OK</v>
      </c>
    </row>
    <row r="198" spans="1:9" x14ac:dyDescent="0.35">
      <c r="A198" t="s">
        <v>222</v>
      </c>
      <c r="B198" t="s">
        <v>46</v>
      </c>
      <c r="C198" t="s">
        <v>21</v>
      </c>
      <c r="D198">
        <v>318.35000000000002</v>
      </c>
      <c r="E198" t="s">
        <v>14</v>
      </c>
      <c r="F198">
        <v>140.62</v>
      </c>
      <c r="G198">
        <f t="shared" si="5"/>
        <v>44766.377000000008</v>
      </c>
      <c r="H198" t="str">
        <f>IF(BOQ_Table[[#This Row],[Amount]]&gt;100000,"Over Budget","OK")</f>
        <v>OK</v>
      </c>
      <c r="I198" t="str">
        <f>IF(OR(BOQ_Table[[#This Row],[Quantity]]="",BOQ_Table[[#This Row],[Rate]]=""),"Missing","OK")</f>
        <v>OK</v>
      </c>
    </row>
    <row r="199" spans="1:9" x14ac:dyDescent="0.35">
      <c r="A199" t="s">
        <v>223</v>
      </c>
      <c r="B199" t="s">
        <v>56</v>
      </c>
      <c r="C199" t="s">
        <v>38</v>
      </c>
      <c r="D199">
        <v>275.26</v>
      </c>
      <c r="E199" t="s">
        <v>18</v>
      </c>
      <c r="F199">
        <v>107.56</v>
      </c>
      <c r="G199">
        <f t="shared" si="5"/>
        <v>29606.9656</v>
      </c>
      <c r="H199" t="str">
        <f>IF(BOQ_Table[[#This Row],[Amount]]&gt;100000,"Over Budget","OK")</f>
        <v>OK</v>
      </c>
      <c r="I199" t="str">
        <f>IF(OR(BOQ_Table[[#This Row],[Quantity]]="",BOQ_Table[[#This Row],[Rate]]=""),"Missing","OK")</f>
        <v>OK</v>
      </c>
    </row>
    <row r="200" spans="1:9" x14ac:dyDescent="0.35">
      <c r="A200" t="s">
        <v>224</v>
      </c>
      <c r="B200" t="s">
        <v>7</v>
      </c>
      <c r="C200" t="s">
        <v>21</v>
      </c>
      <c r="D200">
        <v>2.11</v>
      </c>
      <c r="E200" t="s">
        <v>18</v>
      </c>
      <c r="F200">
        <v>3868.37</v>
      </c>
      <c r="G200">
        <f t="shared" si="5"/>
        <v>8162.2606999999989</v>
      </c>
      <c r="H200" t="str">
        <f>IF(BOQ_Table[[#This Row],[Amount]]&gt;100000,"Over Budget","OK")</f>
        <v>OK</v>
      </c>
      <c r="I200" t="str">
        <f>IF(OR(BOQ_Table[[#This Row],[Quantity]]="",BOQ_Table[[#This Row],[Rate]]=""),"Missing","OK")</f>
        <v>OK</v>
      </c>
    </row>
    <row r="201" spans="1:9" x14ac:dyDescent="0.35">
      <c r="A201" t="s">
        <v>225</v>
      </c>
      <c r="B201" t="s">
        <v>16</v>
      </c>
      <c r="C201" t="s">
        <v>8</v>
      </c>
      <c r="D201">
        <v>333.92</v>
      </c>
      <c r="E201" t="s">
        <v>18</v>
      </c>
      <c r="F201">
        <v>1466.78</v>
      </c>
      <c r="G201">
        <f t="shared" si="5"/>
        <v>489787.1776</v>
      </c>
      <c r="H201" t="str">
        <f>IF(BOQ_Table[[#This Row],[Amount]]&gt;100000,"Over Budget","OK")</f>
        <v>Over Budget</v>
      </c>
      <c r="I201" t="str">
        <f>IF(OR(BOQ_Table[[#This Row],[Quantity]]="",BOQ_Table[[#This Row],[Rate]]=""),"Missing","OK")</f>
        <v>OK</v>
      </c>
    </row>
    <row r="202" spans="1:9" x14ac:dyDescent="0.35">
      <c r="A202" t="s">
        <v>226</v>
      </c>
      <c r="B202" t="s">
        <v>16</v>
      </c>
      <c r="C202" t="s">
        <v>38</v>
      </c>
      <c r="D202">
        <v>55.41</v>
      </c>
      <c r="E202" t="s">
        <v>9</v>
      </c>
      <c r="F202">
        <v>4089.22</v>
      </c>
      <c r="G202">
        <f t="shared" si="5"/>
        <v>226583.68019999997</v>
      </c>
      <c r="H202" t="str">
        <f>IF(BOQ_Table[[#This Row],[Amount]]&gt;100000,"Over Budget","OK")</f>
        <v>Over Budget</v>
      </c>
      <c r="I202" t="str">
        <f>IF(OR(BOQ_Table[[#This Row],[Quantity]]="",BOQ_Table[[#This Row],[Rate]]=""),"Missing","OK")</f>
        <v>OK</v>
      </c>
    </row>
    <row r="203" spans="1:9" x14ac:dyDescent="0.35">
      <c r="A203" t="s">
        <v>227</v>
      </c>
      <c r="B203" t="s">
        <v>16</v>
      </c>
      <c r="C203" t="s">
        <v>8</v>
      </c>
      <c r="D203">
        <v>346.65</v>
      </c>
      <c r="E203" t="s">
        <v>27</v>
      </c>
      <c r="F203">
        <v>3130.31</v>
      </c>
      <c r="G203">
        <f t="shared" si="5"/>
        <v>1085121.9615</v>
      </c>
      <c r="H203" t="str">
        <f>IF(BOQ_Table[[#This Row],[Amount]]&gt;100000,"Over Budget","OK")</f>
        <v>Over Budget</v>
      </c>
      <c r="I203" t="str">
        <f>IF(OR(BOQ_Table[[#This Row],[Quantity]]="",BOQ_Table[[#This Row],[Rate]]=""),"Missing","OK")</f>
        <v>OK</v>
      </c>
    </row>
    <row r="204" spans="1:9" x14ac:dyDescent="0.35">
      <c r="A204" t="s">
        <v>228</v>
      </c>
      <c r="B204" t="s">
        <v>46</v>
      </c>
      <c r="C204" t="s">
        <v>12</v>
      </c>
      <c r="D204">
        <v>452.24</v>
      </c>
      <c r="E204" t="s">
        <v>22</v>
      </c>
      <c r="F204">
        <v>4320.8999999999996</v>
      </c>
      <c r="G204">
        <f t="shared" si="5"/>
        <v>1954083.8159999999</v>
      </c>
      <c r="H204" t="str">
        <f>IF(BOQ_Table[[#This Row],[Amount]]&gt;100000,"Over Budget","OK")</f>
        <v>Over Budget</v>
      </c>
      <c r="I204" t="str">
        <f>IF(OR(BOQ_Table[[#This Row],[Quantity]]="",BOQ_Table[[#This Row],[Rate]]=""),"Missing","OK")</f>
        <v>OK</v>
      </c>
    </row>
    <row r="205" spans="1:9" x14ac:dyDescent="0.35">
      <c r="A205" t="s">
        <v>229</v>
      </c>
      <c r="B205" t="s">
        <v>16</v>
      </c>
      <c r="C205" t="s">
        <v>38</v>
      </c>
      <c r="D205">
        <v>175.75</v>
      </c>
      <c r="E205" t="s">
        <v>18</v>
      </c>
      <c r="F205">
        <v>4883.33</v>
      </c>
      <c r="G205">
        <f t="shared" si="5"/>
        <v>858245.24749999994</v>
      </c>
      <c r="H205" t="str">
        <f>IF(BOQ_Table[[#This Row],[Amount]]&gt;100000,"Over Budget","OK")</f>
        <v>Over Budget</v>
      </c>
      <c r="I205" t="str">
        <f>IF(OR(BOQ_Table[[#This Row],[Quantity]]="",BOQ_Table[[#This Row],[Rate]]=""),"Missing","OK")</f>
        <v>OK</v>
      </c>
    </row>
    <row r="206" spans="1:9" x14ac:dyDescent="0.35">
      <c r="A206" t="s">
        <v>230</v>
      </c>
      <c r="B206" t="s">
        <v>56</v>
      </c>
      <c r="C206" t="s">
        <v>21</v>
      </c>
      <c r="D206">
        <v>87.16</v>
      </c>
      <c r="E206" t="s">
        <v>9</v>
      </c>
      <c r="F206">
        <v>829.73</v>
      </c>
      <c r="G206">
        <f t="shared" si="5"/>
        <v>72319.266799999998</v>
      </c>
      <c r="H206" t="str">
        <f>IF(BOQ_Table[[#This Row],[Amount]]&gt;100000,"Over Budget","OK")</f>
        <v>OK</v>
      </c>
      <c r="I206" t="str">
        <f>IF(OR(BOQ_Table[[#This Row],[Quantity]]="",BOQ_Table[[#This Row],[Rate]]=""),"Missing","OK")</f>
        <v>OK</v>
      </c>
    </row>
    <row r="207" spans="1:9" x14ac:dyDescent="0.35">
      <c r="A207" t="s">
        <v>231</v>
      </c>
      <c r="B207" t="s">
        <v>7</v>
      </c>
      <c r="C207" t="s">
        <v>17</v>
      </c>
      <c r="D207">
        <v>30.79</v>
      </c>
      <c r="E207" t="s">
        <v>22</v>
      </c>
      <c r="F207">
        <v>2423.4299999999998</v>
      </c>
      <c r="G207">
        <f t="shared" si="5"/>
        <v>74617.409699999989</v>
      </c>
      <c r="H207" t="str">
        <f>IF(BOQ_Table[[#This Row],[Amount]]&gt;100000,"Over Budget","OK")</f>
        <v>OK</v>
      </c>
      <c r="I207" t="str">
        <f>IF(OR(BOQ_Table[[#This Row],[Quantity]]="",BOQ_Table[[#This Row],[Rate]]=""),"Missing","OK")</f>
        <v>OK</v>
      </c>
    </row>
    <row r="208" spans="1:9" x14ac:dyDescent="0.35">
      <c r="A208" t="s">
        <v>232</v>
      </c>
      <c r="B208" t="s">
        <v>42</v>
      </c>
      <c r="C208" t="s">
        <v>8</v>
      </c>
      <c r="D208">
        <v>29.34</v>
      </c>
      <c r="E208" t="s">
        <v>14</v>
      </c>
      <c r="F208">
        <v>3550.74</v>
      </c>
      <c r="G208">
        <f t="shared" si="5"/>
        <v>104178.7116</v>
      </c>
      <c r="H208" t="str">
        <f>IF(BOQ_Table[[#This Row],[Amount]]&gt;100000,"Over Budget","OK")</f>
        <v>Over Budget</v>
      </c>
      <c r="I208" t="str">
        <f>IF(OR(BOQ_Table[[#This Row],[Quantity]]="",BOQ_Table[[#This Row],[Rate]]=""),"Missing","OK")</f>
        <v>OK</v>
      </c>
    </row>
    <row r="209" spans="1:9" x14ac:dyDescent="0.35">
      <c r="A209" t="s">
        <v>233</v>
      </c>
      <c r="B209" t="s">
        <v>30</v>
      </c>
      <c r="C209" t="s">
        <v>17</v>
      </c>
      <c r="D209">
        <v>30.76</v>
      </c>
      <c r="E209" t="s">
        <v>22</v>
      </c>
      <c r="F209">
        <v>2577.7800000000002</v>
      </c>
      <c r="G209">
        <f t="shared" si="5"/>
        <v>79292.512800000011</v>
      </c>
      <c r="H209" t="str">
        <f>IF(BOQ_Table[[#This Row],[Amount]]&gt;100000,"Over Budget","OK")</f>
        <v>OK</v>
      </c>
      <c r="I209" t="str">
        <f>IF(OR(BOQ_Table[[#This Row],[Quantity]]="",BOQ_Table[[#This Row],[Rate]]=""),"Missing","OK")</f>
        <v>OK</v>
      </c>
    </row>
    <row r="210" spans="1:9" x14ac:dyDescent="0.35">
      <c r="A210" t="s">
        <v>234</v>
      </c>
      <c r="B210" t="s">
        <v>32</v>
      </c>
      <c r="C210" t="s">
        <v>17</v>
      </c>
      <c r="D210">
        <v>388.03</v>
      </c>
      <c r="E210" t="s">
        <v>27</v>
      </c>
      <c r="F210">
        <v>3745.64</v>
      </c>
      <c r="G210">
        <f t="shared" si="5"/>
        <v>1453420.6891999999</v>
      </c>
      <c r="H210" t="str">
        <f>IF(BOQ_Table[[#This Row],[Amount]]&gt;100000,"Over Budget","OK")</f>
        <v>Over Budget</v>
      </c>
      <c r="I210" t="str">
        <f>IF(OR(BOQ_Table[[#This Row],[Quantity]]="",BOQ_Table[[#This Row],[Rate]]=""),"Missing","OK")</f>
        <v>OK</v>
      </c>
    </row>
    <row r="211" spans="1:9" x14ac:dyDescent="0.35">
      <c r="A211" t="s">
        <v>235</v>
      </c>
      <c r="B211" t="s">
        <v>30</v>
      </c>
      <c r="C211" t="s">
        <v>12</v>
      </c>
      <c r="D211">
        <v>136.31</v>
      </c>
      <c r="E211" t="s">
        <v>22</v>
      </c>
      <c r="F211">
        <v>959.93</v>
      </c>
      <c r="G211">
        <f t="shared" si="5"/>
        <v>130848.05829999999</v>
      </c>
      <c r="H211" t="str">
        <f>IF(BOQ_Table[[#This Row],[Amount]]&gt;100000,"Over Budget","OK")</f>
        <v>Over Budget</v>
      </c>
      <c r="I211" t="str">
        <f>IF(OR(BOQ_Table[[#This Row],[Quantity]]="",BOQ_Table[[#This Row],[Rate]]=""),"Missing","OK")</f>
        <v>OK</v>
      </c>
    </row>
    <row r="212" spans="1:9" x14ac:dyDescent="0.35">
      <c r="A212" t="s">
        <v>236</v>
      </c>
      <c r="B212" t="s">
        <v>40</v>
      </c>
      <c r="C212" t="s">
        <v>12</v>
      </c>
      <c r="D212">
        <v>91.6</v>
      </c>
      <c r="E212" t="s">
        <v>14</v>
      </c>
      <c r="F212">
        <v>4184.16</v>
      </c>
      <c r="G212">
        <f t="shared" si="5"/>
        <v>383269.05599999998</v>
      </c>
      <c r="H212" t="str">
        <f>IF(BOQ_Table[[#This Row],[Amount]]&gt;100000,"Over Budget","OK")</f>
        <v>Over Budget</v>
      </c>
      <c r="I212" t="str">
        <f>IF(OR(BOQ_Table[[#This Row],[Quantity]]="",BOQ_Table[[#This Row],[Rate]]=""),"Missing","OK")</f>
        <v>OK</v>
      </c>
    </row>
    <row r="213" spans="1:9" x14ac:dyDescent="0.35">
      <c r="A213" t="s">
        <v>237</v>
      </c>
      <c r="B213" t="s">
        <v>11</v>
      </c>
      <c r="C213" t="s">
        <v>21</v>
      </c>
      <c r="D213">
        <v>366.44</v>
      </c>
      <c r="E213" t="s">
        <v>9</v>
      </c>
      <c r="F213">
        <v>1272.77</v>
      </c>
      <c r="G213">
        <f t="shared" si="5"/>
        <v>466393.83879999997</v>
      </c>
      <c r="H213" t="str">
        <f>IF(BOQ_Table[[#This Row],[Amount]]&gt;100000,"Over Budget","OK")</f>
        <v>Over Budget</v>
      </c>
      <c r="I213" t="str">
        <f>IF(OR(BOQ_Table[[#This Row],[Quantity]]="",BOQ_Table[[#This Row],[Rate]]=""),"Missing","OK")</f>
        <v>OK</v>
      </c>
    </row>
    <row r="214" spans="1:9" x14ac:dyDescent="0.35">
      <c r="A214" t="s">
        <v>238</v>
      </c>
      <c r="B214" t="s">
        <v>42</v>
      </c>
      <c r="C214" t="s">
        <v>12</v>
      </c>
      <c r="D214">
        <v>109.87</v>
      </c>
      <c r="E214" t="s">
        <v>9</v>
      </c>
      <c r="F214">
        <v>1148.75</v>
      </c>
      <c r="G214">
        <f t="shared" si="5"/>
        <v>126213.16250000001</v>
      </c>
      <c r="H214" t="str">
        <f>IF(BOQ_Table[[#This Row],[Amount]]&gt;100000,"Over Budget","OK")</f>
        <v>Over Budget</v>
      </c>
      <c r="I214" t="str">
        <f>IF(OR(BOQ_Table[[#This Row],[Quantity]]="",BOQ_Table[[#This Row],[Rate]]=""),"Missing","OK")</f>
        <v>OK</v>
      </c>
    </row>
    <row r="215" spans="1:9" x14ac:dyDescent="0.35">
      <c r="A215" t="s">
        <v>239</v>
      </c>
      <c r="B215" t="s">
        <v>7</v>
      </c>
      <c r="C215" t="s">
        <v>38</v>
      </c>
      <c r="D215">
        <v>334.59</v>
      </c>
      <c r="E215" t="s">
        <v>14</v>
      </c>
      <c r="F215">
        <v>2386.61</v>
      </c>
      <c r="G215">
        <f t="shared" si="5"/>
        <v>798535.83990000002</v>
      </c>
      <c r="H215" t="str">
        <f>IF(BOQ_Table[[#This Row],[Amount]]&gt;100000,"Over Budget","OK")</f>
        <v>Over Budget</v>
      </c>
      <c r="I215" t="str">
        <f>IF(OR(BOQ_Table[[#This Row],[Quantity]]="",BOQ_Table[[#This Row],[Rate]]=""),"Missing","OK")</f>
        <v>OK</v>
      </c>
    </row>
    <row r="216" spans="1:9" x14ac:dyDescent="0.35">
      <c r="A216" t="s">
        <v>240</v>
      </c>
      <c r="B216" t="s">
        <v>46</v>
      </c>
      <c r="C216" t="s">
        <v>21</v>
      </c>
      <c r="D216">
        <v>209.73</v>
      </c>
      <c r="E216" t="s">
        <v>14</v>
      </c>
      <c r="F216">
        <v>431.88</v>
      </c>
      <c r="G216">
        <f t="shared" si="5"/>
        <v>90578.1924</v>
      </c>
      <c r="H216" t="str">
        <f>IF(BOQ_Table[[#This Row],[Amount]]&gt;100000,"Over Budget","OK")</f>
        <v>OK</v>
      </c>
      <c r="I216" t="str">
        <f>IF(OR(BOQ_Table[[#This Row],[Quantity]]="",BOQ_Table[[#This Row],[Rate]]=""),"Missing","OK")</f>
        <v>OK</v>
      </c>
    </row>
    <row r="217" spans="1:9" x14ac:dyDescent="0.35">
      <c r="A217" t="s">
        <v>241</v>
      </c>
      <c r="B217" t="s">
        <v>7</v>
      </c>
      <c r="C217" t="s">
        <v>8</v>
      </c>
      <c r="D217">
        <v>263.45</v>
      </c>
      <c r="E217" t="s">
        <v>9</v>
      </c>
      <c r="F217">
        <v>4809</v>
      </c>
      <c r="G217">
        <f t="shared" si="5"/>
        <v>1266931.05</v>
      </c>
      <c r="H217" t="str">
        <f>IF(BOQ_Table[[#This Row],[Amount]]&gt;100000,"Over Budget","OK")</f>
        <v>Over Budget</v>
      </c>
      <c r="I217" t="str">
        <f>IF(OR(BOQ_Table[[#This Row],[Quantity]]="",BOQ_Table[[#This Row],[Rate]]=""),"Missing","OK")</f>
        <v>OK</v>
      </c>
    </row>
    <row r="218" spans="1:9" x14ac:dyDescent="0.35">
      <c r="A218" t="s">
        <v>242</v>
      </c>
      <c r="B218" t="s">
        <v>30</v>
      </c>
      <c r="C218" t="s">
        <v>21</v>
      </c>
      <c r="D218">
        <v>101.22</v>
      </c>
      <c r="E218" t="s">
        <v>27</v>
      </c>
      <c r="F218">
        <v>3097.91</v>
      </c>
      <c r="G218">
        <f t="shared" si="5"/>
        <v>313570.45019999996</v>
      </c>
      <c r="H218" t="str">
        <f>IF(BOQ_Table[[#This Row],[Amount]]&gt;100000,"Over Budget","OK")</f>
        <v>Over Budget</v>
      </c>
      <c r="I218" t="str">
        <f>IF(OR(BOQ_Table[[#This Row],[Quantity]]="",BOQ_Table[[#This Row],[Rate]]=""),"Missing","OK")</f>
        <v>OK</v>
      </c>
    </row>
    <row r="219" spans="1:9" x14ac:dyDescent="0.35">
      <c r="A219" t="s">
        <v>243</v>
      </c>
      <c r="B219" t="s">
        <v>7</v>
      </c>
      <c r="C219" t="s">
        <v>38</v>
      </c>
      <c r="D219">
        <v>160.66</v>
      </c>
      <c r="E219" t="s">
        <v>22</v>
      </c>
      <c r="F219">
        <v>2711.98</v>
      </c>
      <c r="G219">
        <f t="shared" si="5"/>
        <v>435706.70679999999</v>
      </c>
      <c r="H219" t="str">
        <f>IF(BOQ_Table[[#This Row],[Amount]]&gt;100000,"Over Budget","OK")</f>
        <v>Over Budget</v>
      </c>
      <c r="I219" t="str">
        <f>IF(OR(BOQ_Table[[#This Row],[Quantity]]="",BOQ_Table[[#This Row],[Rate]]=""),"Missing","OK")</f>
        <v>OK</v>
      </c>
    </row>
    <row r="220" spans="1:9" x14ac:dyDescent="0.35">
      <c r="A220" t="s">
        <v>244</v>
      </c>
      <c r="B220" t="s">
        <v>16</v>
      </c>
      <c r="C220" t="s">
        <v>17</v>
      </c>
      <c r="D220">
        <v>258.07</v>
      </c>
      <c r="E220" t="s">
        <v>9</v>
      </c>
      <c r="F220">
        <v>4840.43</v>
      </c>
      <c r="G220">
        <f t="shared" si="5"/>
        <v>1249169.7701000001</v>
      </c>
      <c r="H220" t="str">
        <f>IF(BOQ_Table[[#This Row],[Amount]]&gt;100000,"Over Budget","OK")</f>
        <v>Over Budget</v>
      </c>
      <c r="I220" t="str">
        <f>IF(OR(BOQ_Table[[#This Row],[Quantity]]="",BOQ_Table[[#This Row],[Rate]]=""),"Missing","OK")</f>
        <v>OK</v>
      </c>
    </row>
    <row r="221" spans="1:9" x14ac:dyDescent="0.35">
      <c r="A221" t="s">
        <v>245</v>
      </c>
      <c r="B221" t="s">
        <v>32</v>
      </c>
      <c r="C221" t="s">
        <v>17</v>
      </c>
      <c r="D221">
        <v>300.08</v>
      </c>
      <c r="E221" t="s">
        <v>22</v>
      </c>
      <c r="F221">
        <v>3730.87</v>
      </c>
      <c r="G221">
        <f t="shared" si="5"/>
        <v>1119559.4696</v>
      </c>
      <c r="H221" t="str">
        <f>IF(BOQ_Table[[#This Row],[Amount]]&gt;100000,"Over Budget","OK")</f>
        <v>Over Budget</v>
      </c>
      <c r="I221" t="str">
        <f>IF(OR(BOQ_Table[[#This Row],[Quantity]]="",BOQ_Table[[#This Row],[Rate]]=""),"Missing","OK")</f>
        <v>OK</v>
      </c>
    </row>
    <row r="222" spans="1:9" x14ac:dyDescent="0.35">
      <c r="A222" t="s">
        <v>246</v>
      </c>
      <c r="B222" t="s">
        <v>30</v>
      </c>
      <c r="C222" t="s">
        <v>12</v>
      </c>
      <c r="D222">
        <v>153.13999999999999</v>
      </c>
      <c r="E222" t="s">
        <v>18</v>
      </c>
      <c r="F222">
        <v>2916.47</v>
      </c>
      <c r="G222">
        <f t="shared" si="5"/>
        <v>446628.21579999995</v>
      </c>
      <c r="H222" t="str">
        <f>IF(BOQ_Table[[#This Row],[Amount]]&gt;100000,"Over Budget","OK")</f>
        <v>Over Budget</v>
      </c>
      <c r="I222" t="str">
        <f>IF(OR(BOQ_Table[[#This Row],[Quantity]]="",BOQ_Table[[#This Row],[Rate]]=""),"Missing","OK")</f>
        <v>OK</v>
      </c>
    </row>
    <row r="223" spans="1:9" x14ac:dyDescent="0.35">
      <c r="A223" t="s">
        <v>247</v>
      </c>
      <c r="B223" t="s">
        <v>42</v>
      </c>
      <c r="C223" t="s">
        <v>8</v>
      </c>
      <c r="D223">
        <v>120.79</v>
      </c>
      <c r="E223" t="s">
        <v>22</v>
      </c>
      <c r="F223">
        <v>4684.88</v>
      </c>
      <c r="G223">
        <f t="shared" si="5"/>
        <v>565886.65520000004</v>
      </c>
      <c r="H223" t="str">
        <f>IF(BOQ_Table[[#This Row],[Amount]]&gt;100000,"Over Budget","OK")</f>
        <v>Over Budget</v>
      </c>
      <c r="I223" t="str">
        <f>IF(OR(BOQ_Table[[#This Row],[Quantity]]="",BOQ_Table[[#This Row],[Rate]]=""),"Missing","OK")</f>
        <v>OK</v>
      </c>
    </row>
    <row r="224" spans="1:9" x14ac:dyDescent="0.35">
      <c r="A224" t="s">
        <v>248</v>
      </c>
      <c r="B224" t="s">
        <v>32</v>
      </c>
      <c r="C224" t="s">
        <v>17</v>
      </c>
      <c r="D224">
        <v>370.3</v>
      </c>
      <c r="E224" t="s">
        <v>18</v>
      </c>
      <c r="F224">
        <v>4595.0200000000004</v>
      </c>
      <c r="G224">
        <f t="shared" si="5"/>
        <v>1701535.9060000002</v>
      </c>
      <c r="H224" t="str">
        <f>IF(BOQ_Table[[#This Row],[Amount]]&gt;100000,"Over Budget","OK")</f>
        <v>Over Budget</v>
      </c>
      <c r="I224" t="str">
        <f>IF(OR(BOQ_Table[[#This Row],[Quantity]]="",BOQ_Table[[#This Row],[Rate]]=""),"Missing","OK")</f>
        <v>OK</v>
      </c>
    </row>
    <row r="225" spans="1:9" x14ac:dyDescent="0.35">
      <c r="A225" t="s">
        <v>249</v>
      </c>
      <c r="B225" t="s">
        <v>32</v>
      </c>
      <c r="C225" t="s">
        <v>21</v>
      </c>
      <c r="D225">
        <v>189.17</v>
      </c>
      <c r="E225" t="s">
        <v>22</v>
      </c>
      <c r="F225">
        <v>2334.15</v>
      </c>
      <c r="G225">
        <f t="shared" si="5"/>
        <v>441551.15549999999</v>
      </c>
      <c r="H225" t="str">
        <f>IF(BOQ_Table[[#This Row],[Amount]]&gt;100000,"Over Budget","OK")</f>
        <v>Over Budget</v>
      </c>
      <c r="I225" t="str">
        <f>IF(OR(BOQ_Table[[#This Row],[Quantity]]="",BOQ_Table[[#This Row],[Rate]]=""),"Missing","OK")</f>
        <v>OK</v>
      </c>
    </row>
    <row r="226" spans="1:9" x14ac:dyDescent="0.35">
      <c r="A226" t="s">
        <v>250</v>
      </c>
      <c r="B226" t="s">
        <v>56</v>
      </c>
      <c r="C226" t="s">
        <v>8</v>
      </c>
      <c r="D226">
        <v>194.86</v>
      </c>
      <c r="E226" t="s">
        <v>27</v>
      </c>
      <c r="F226">
        <v>2089.02</v>
      </c>
      <c r="G226">
        <f t="shared" si="5"/>
        <v>407066.43720000004</v>
      </c>
      <c r="H226" t="str">
        <f>IF(BOQ_Table[[#This Row],[Amount]]&gt;100000,"Over Budget","OK")</f>
        <v>Over Budget</v>
      </c>
      <c r="I226" t="str">
        <f>IF(OR(BOQ_Table[[#This Row],[Quantity]]="",BOQ_Table[[#This Row],[Rate]]=""),"Missing","OK")</f>
        <v>OK</v>
      </c>
    </row>
    <row r="227" spans="1:9" x14ac:dyDescent="0.35">
      <c r="A227" t="s">
        <v>251</v>
      </c>
      <c r="B227" t="s">
        <v>30</v>
      </c>
      <c r="C227" t="s">
        <v>8</v>
      </c>
      <c r="D227">
        <v>386.09</v>
      </c>
      <c r="E227" t="s">
        <v>14</v>
      </c>
      <c r="F227">
        <v>3587.92</v>
      </c>
      <c r="G227">
        <f t="shared" si="5"/>
        <v>1385260.0327999999</v>
      </c>
      <c r="H227" t="str">
        <f>IF(BOQ_Table[[#This Row],[Amount]]&gt;100000,"Over Budget","OK")</f>
        <v>Over Budget</v>
      </c>
      <c r="I227" t="str">
        <f>IF(OR(BOQ_Table[[#This Row],[Quantity]]="",BOQ_Table[[#This Row],[Rate]]=""),"Missing","OK")</f>
        <v>OK</v>
      </c>
    </row>
    <row r="228" spans="1:9" x14ac:dyDescent="0.35">
      <c r="A228" t="s">
        <v>252</v>
      </c>
      <c r="B228" t="s">
        <v>11</v>
      </c>
      <c r="C228" t="s">
        <v>17</v>
      </c>
      <c r="D228">
        <v>31.67</v>
      </c>
      <c r="E228" t="s">
        <v>9</v>
      </c>
      <c r="F228">
        <v>721.31</v>
      </c>
      <c r="G228">
        <f t="shared" si="5"/>
        <v>22843.887699999999</v>
      </c>
      <c r="H228" t="str">
        <f>IF(BOQ_Table[[#This Row],[Amount]]&gt;100000,"Over Budget","OK")</f>
        <v>OK</v>
      </c>
      <c r="I228" t="str">
        <f>IF(OR(BOQ_Table[[#This Row],[Quantity]]="",BOQ_Table[[#This Row],[Rate]]=""),"Missing","OK")</f>
        <v>OK</v>
      </c>
    </row>
    <row r="229" spans="1:9" x14ac:dyDescent="0.35">
      <c r="A229" t="s">
        <v>253</v>
      </c>
      <c r="B229" t="s">
        <v>16</v>
      </c>
      <c r="C229" t="s">
        <v>17</v>
      </c>
      <c r="D229">
        <v>404.4</v>
      </c>
      <c r="E229" t="s">
        <v>27</v>
      </c>
      <c r="F229">
        <v>2912.73</v>
      </c>
      <c r="G229">
        <f t="shared" si="5"/>
        <v>1177908.0119999999</v>
      </c>
      <c r="H229" t="str">
        <f>IF(BOQ_Table[[#This Row],[Amount]]&gt;100000,"Over Budget","OK")</f>
        <v>Over Budget</v>
      </c>
      <c r="I229" t="str">
        <f>IF(OR(BOQ_Table[[#This Row],[Quantity]]="",BOQ_Table[[#This Row],[Rate]]=""),"Missing","OK")</f>
        <v>OK</v>
      </c>
    </row>
    <row r="230" spans="1:9" x14ac:dyDescent="0.35">
      <c r="A230" t="s">
        <v>254</v>
      </c>
      <c r="B230" t="s">
        <v>46</v>
      </c>
      <c r="C230" t="s">
        <v>38</v>
      </c>
      <c r="D230">
        <v>224.99</v>
      </c>
      <c r="E230" t="s">
        <v>18</v>
      </c>
      <c r="F230">
        <v>2797.53</v>
      </c>
      <c r="G230">
        <f t="shared" si="5"/>
        <v>629416.27470000007</v>
      </c>
      <c r="H230" t="str">
        <f>IF(BOQ_Table[[#This Row],[Amount]]&gt;100000,"Over Budget","OK")</f>
        <v>Over Budget</v>
      </c>
      <c r="I230" t="str">
        <f>IF(OR(BOQ_Table[[#This Row],[Quantity]]="",BOQ_Table[[#This Row],[Rate]]=""),"Missing","OK")</f>
        <v>OK</v>
      </c>
    </row>
    <row r="231" spans="1:9" x14ac:dyDescent="0.35">
      <c r="A231" t="s">
        <v>255</v>
      </c>
      <c r="B231" t="s">
        <v>20</v>
      </c>
      <c r="C231" t="s">
        <v>17</v>
      </c>
      <c r="D231">
        <v>342.98</v>
      </c>
      <c r="E231" t="s">
        <v>18</v>
      </c>
      <c r="F231">
        <v>3568.43</v>
      </c>
      <c r="G231">
        <f t="shared" si="5"/>
        <v>1223900.1214000001</v>
      </c>
      <c r="H231" t="str">
        <f>IF(BOQ_Table[[#This Row],[Amount]]&gt;100000,"Over Budget","OK")</f>
        <v>Over Budget</v>
      </c>
      <c r="I231" t="str">
        <f>IF(OR(BOQ_Table[[#This Row],[Quantity]]="",BOQ_Table[[#This Row],[Rate]]=""),"Missing","OK")</f>
        <v>OK</v>
      </c>
    </row>
    <row r="232" spans="1:9" x14ac:dyDescent="0.35">
      <c r="A232" t="s">
        <v>256</v>
      </c>
      <c r="B232" t="s">
        <v>40</v>
      </c>
      <c r="C232" t="s">
        <v>17</v>
      </c>
      <c r="D232">
        <v>444.9</v>
      </c>
      <c r="E232" t="s">
        <v>18</v>
      </c>
      <c r="F232">
        <v>4344.8100000000004</v>
      </c>
      <c r="G232">
        <f t="shared" si="5"/>
        <v>1933005.969</v>
      </c>
      <c r="H232" t="str">
        <f>IF(BOQ_Table[[#This Row],[Amount]]&gt;100000,"Over Budget","OK")</f>
        <v>Over Budget</v>
      </c>
      <c r="I232" t="str">
        <f>IF(OR(BOQ_Table[[#This Row],[Quantity]]="",BOQ_Table[[#This Row],[Rate]]=""),"Missing","OK")</f>
        <v>OK</v>
      </c>
    </row>
    <row r="233" spans="1:9" x14ac:dyDescent="0.35">
      <c r="A233" t="s">
        <v>257</v>
      </c>
      <c r="B233" t="s">
        <v>56</v>
      </c>
      <c r="C233" t="s">
        <v>21</v>
      </c>
      <c r="D233">
        <v>50.73</v>
      </c>
      <c r="E233" t="s">
        <v>18</v>
      </c>
      <c r="F233">
        <v>924.2</v>
      </c>
      <c r="G233">
        <f t="shared" si="5"/>
        <v>46884.665999999997</v>
      </c>
      <c r="H233" t="str">
        <f>IF(BOQ_Table[[#This Row],[Amount]]&gt;100000,"Over Budget","OK")</f>
        <v>OK</v>
      </c>
      <c r="I233" t="str">
        <f>IF(OR(BOQ_Table[[#This Row],[Quantity]]="",BOQ_Table[[#This Row],[Rate]]=""),"Missing","OK")</f>
        <v>OK</v>
      </c>
    </row>
    <row r="234" spans="1:9" x14ac:dyDescent="0.35">
      <c r="A234" t="s">
        <v>258</v>
      </c>
      <c r="B234" t="s">
        <v>56</v>
      </c>
      <c r="C234" t="s">
        <v>8</v>
      </c>
      <c r="D234">
        <v>416.91</v>
      </c>
      <c r="E234" t="s">
        <v>18</v>
      </c>
      <c r="F234">
        <v>2090.87</v>
      </c>
      <c r="G234">
        <f t="shared" si="5"/>
        <v>871704.61170000001</v>
      </c>
      <c r="H234" t="str">
        <f>IF(BOQ_Table[[#This Row],[Amount]]&gt;100000,"Over Budget","OK")</f>
        <v>Over Budget</v>
      </c>
      <c r="I234" t="str">
        <f>IF(OR(BOQ_Table[[#This Row],[Quantity]]="",BOQ_Table[[#This Row],[Rate]]=""),"Missing","OK")</f>
        <v>OK</v>
      </c>
    </row>
    <row r="235" spans="1:9" x14ac:dyDescent="0.35">
      <c r="A235" t="s">
        <v>259</v>
      </c>
      <c r="B235" t="s">
        <v>32</v>
      </c>
      <c r="C235" t="s">
        <v>12</v>
      </c>
      <c r="D235">
        <v>495.63</v>
      </c>
      <c r="E235" t="s">
        <v>22</v>
      </c>
      <c r="F235">
        <v>4956.42</v>
      </c>
      <c r="G235">
        <f t="shared" si="5"/>
        <v>2456550.4446</v>
      </c>
      <c r="H235" t="str">
        <f>IF(BOQ_Table[[#This Row],[Amount]]&gt;100000,"Over Budget","OK")</f>
        <v>Over Budget</v>
      </c>
      <c r="I235" t="str">
        <f>IF(OR(BOQ_Table[[#This Row],[Quantity]]="",BOQ_Table[[#This Row],[Rate]]=""),"Missing","OK")</f>
        <v>OK</v>
      </c>
    </row>
    <row r="236" spans="1:9" x14ac:dyDescent="0.35">
      <c r="A236" t="s">
        <v>260</v>
      </c>
      <c r="B236" t="s">
        <v>40</v>
      </c>
      <c r="C236" t="s">
        <v>21</v>
      </c>
      <c r="D236">
        <v>29.36</v>
      </c>
      <c r="E236" t="s">
        <v>27</v>
      </c>
      <c r="F236">
        <v>2667.56</v>
      </c>
      <c r="G236">
        <f t="shared" si="5"/>
        <v>78319.561600000001</v>
      </c>
      <c r="H236" t="str">
        <f>IF(BOQ_Table[[#This Row],[Amount]]&gt;100000,"Over Budget","OK")</f>
        <v>OK</v>
      </c>
      <c r="I236" t="str">
        <f>IF(OR(BOQ_Table[[#This Row],[Quantity]]="",BOQ_Table[[#This Row],[Rate]]=""),"Missing","OK")</f>
        <v>OK</v>
      </c>
    </row>
    <row r="237" spans="1:9" x14ac:dyDescent="0.35">
      <c r="A237" t="s">
        <v>261</v>
      </c>
      <c r="B237" t="s">
        <v>46</v>
      </c>
      <c r="C237" t="s">
        <v>38</v>
      </c>
      <c r="D237">
        <v>291.83</v>
      </c>
      <c r="E237" t="s">
        <v>27</v>
      </c>
      <c r="F237">
        <v>2280.9499999999998</v>
      </c>
      <c r="G237">
        <f t="shared" si="5"/>
        <v>665649.63849999988</v>
      </c>
      <c r="H237" t="str">
        <f>IF(BOQ_Table[[#This Row],[Amount]]&gt;100000,"Over Budget","OK")</f>
        <v>Over Budget</v>
      </c>
      <c r="I237" t="str">
        <f>IF(OR(BOQ_Table[[#This Row],[Quantity]]="",BOQ_Table[[#This Row],[Rate]]=""),"Missing","OK")</f>
        <v>OK</v>
      </c>
    </row>
    <row r="238" spans="1:9" x14ac:dyDescent="0.35">
      <c r="A238" t="s">
        <v>262</v>
      </c>
      <c r="B238" t="s">
        <v>11</v>
      </c>
      <c r="C238" t="s">
        <v>12</v>
      </c>
      <c r="D238">
        <v>230.53</v>
      </c>
      <c r="E238" t="s">
        <v>22</v>
      </c>
      <c r="F238">
        <v>426.76</v>
      </c>
      <c r="G238">
        <f t="shared" si="5"/>
        <v>98380.982799999998</v>
      </c>
      <c r="H238" t="str">
        <f>IF(BOQ_Table[[#This Row],[Amount]]&gt;100000,"Over Budget","OK")</f>
        <v>OK</v>
      </c>
      <c r="I238" t="str">
        <f>IF(OR(BOQ_Table[[#This Row],[Quantity]]="",BOQ_Table[[#This Row],[Rate]]=""),"Missing","OK")</f>
        <v>OK</v>
      </c>
    </row>
    <row r="239" spans="1:9" x14ac:dyDescent="0.35">
      <c r="A239" t="s">
        <v>263</v>
      </c>
      <c r="B239" t="s">
        <v>56</v>
      </c>
      <c r="C239" t="s">
        <v>8</v>
      </c>
      <c r="D239">
        <v>235.66</v>
      </c>
      <c r="E239" t="s">
        <v>9</v>
      </c>
      <c r="F239">
        <v>116.26</v>
      </c>
      <c r="G239">
        <f t="shared" si="5"/>
        <v>27397.831600000001</v>
      </c>
      <c r="H239" t="str">
        <f>IF(BOQ_Table[[#This Row],[Amount]]&gt;100000,"Over Budget","OK")</f>
        <v>OK</v>
      </c>
      <c r="I239" t="str">
        <f>IF(OR(BOQ_Table[[#This Row],[Quantity]]="",BOQ_Table[[#This Row],[Rate]]=""),"Missing","OK")</f>
        <v>OK</v>
      </c>
    </row>
    <row r="240" spans="1:9" x14ac:dyDescent="0.35">
      <c r="A240" t="s">
        <v>264</v>
      </c>
      <c r="B240" t="s">
        <v>7</v>
      </c>
      <c r="C240" t="s">
        <v>21</v>
      </c>
      <c r="D240">
        <v>60.9</v>
      </c>
      <c r="E240" t="s">
        <v>18</v>
      </c>
      <c r="F240">
        <v>4758.16</v>
      </c>
      <c r="G240">
        <f t="shared" si="5"/>
        <v>289771.94399999996</v>
      </c>
      <c r="H240" t="str">
        <f>IF(BOQ_Table[[#This Row],[Amount]]&gt;100000,"Over Budget","OK")</f>
        <v>Over Budget</v>
      </c>
      <c r="I240" t="str">
        <f>IF(OR(BOQ_Table[[#This Row],[Quantity]]="",BOQ_Table[[#This Row],[Rate]]=""),"Missing","OK")</f>
        <v>OK</v>
      </c>
    </row>
    <row r="241" spans="1:9" x14ac:dyDescent="0.35">
      <c r="A241" t="s">
        <v>265</v>
      </c>
      <c r="B241" t="s">
        <v>56</v>
      </c>
      <c r="C241" t="s">
        <v>17</v>
      </c>
      <c r="D241">
        <v>26.08</v>
      </c>
      <c r="E241" t="s">
        <v>27</v>
      </c>
      <c r="F241">
        <v>203.58</v>
      </c>
      <c r="G241">
        <f t="shared" si="5"/>
        <v>5309.3663999999999</v>
      </c>
      <c r="H241" t="str">
        <f>IF(BOQ_Table[[#This Row],[Amount]]&gt;100000,"Over Budget","OK")</f>
        <v>OK</v>
      </c>
      <c r="I241" t="str">
        <f>IF(OR(BOQ_Table[[#This Row],[Quantity]]="",BOQ_Table[[#This Row],[Rate]]=""),"Missing","OK")</f>
        <v>OK</v>
      </c>
    </row>
    <row r="242" spans="1:9" x14ac:dyDescent="0.35">
      <c r="A242" t="s">
        <v>266</v>
      </c>
      <c r="B242" t="s">
        <v>40</v>
      </c>
      <c r="C242" t="s">
        <v>21</v>
      </c>
      <c r="D242">
        <v>94.32</v>
      </c>
      <c r="E242" t="s">
        <v>9</v>
      </c>
      <c r="F242">
        <v>3718.98</v>
      </c>
      <c r="G242">
        <f t="shared" si="5"/>
        <v>350774.1936</v>
      </c>
      <c r="H242" t="str">
        <f>IF(BOQ_Table[[#This Row],[Amount]]&gt;100000,"Over Budget","OK")</f>
        <v>Over Budget</v>
      </c>
      <c r="I242" t="str">
        <f>IF(OR(BOQ_Table[[#This Row],[Quantity]]="",BOQ_Table[[#This Row],[Rate]]=""),"Missing","OK")</f>
        <v>OK</v>
      </c>
    </row>
    <row r="243" spans="1:9" x14ac:dyDescent="0.35">
      <c r="A243" t="s">
        <v>267</v>
      </c>
      <c r="B243" t="s">
        <v>56</v>
      </c>
      <c r="C243" t="s">
        <v>17</v>
      </c>
      <c r="D243">
        <v>348.3</v>
      </c>
      <c r="E243" t="s">
        <v>22</v>
      </c>
      <c r="F243">
        <v>3908.35</v>
      </c>
      <c r="G243">
        <f t="shared" si="5"/>
        <v>1361278.3049999999</v>
      </c>
      <c r="H243" t="str">
        <f>IF(BOQ_Table[[#This Row],[Amount]]&gt;100000,"Over Budget","OK")</f>
        <v>Over Budget</v>
      </c>
      <c r="I243" t="str">
        <f>IF(OR(BOQ_Table[[#This Row],[Quantity]]="",BOQ_Table[[#This Row],[Rate]]=""),"Missing","OK")</f>
        <v>OK</v>
      </c>
    </row>
    <row r="244" spans="1:9" x14ac:dyDescent="0.35">
      <c r="A244" t="s">
        <v>268</v>
      </c>
      <c r="B244" t="s">
        <v>46</v>
      </c>
      <c r="C244" t="s">
        <v>17</v>
      </c>
      <c r="D244">
        <v>350.5</v>
      </c>
      <c r="E244" t="s">
        <v>9</v>
      </c>
      <c r="F244">
        <v>4757.37</v>
      </c>
      <c r="G244">
        <f t="shared" si="5"/>
        <v>1667458.1850000001</v>
      </c>
      <c r="H244" t="str">
        <f>IF(BOQ_Table[[#This Row],[Amount]]&gt;100000,"Over Budget","OK")</f>
        <v>Over Budget</v>
      </c>
      <c r="I244" t="str">
        <f>IF(OR(BOQ_Table[[#This Row],[Quantity]]="",BOQ_Table[[#This Row],[Rate]]=""),"Missing","OK")</f>
        <v>OK</v>
      </c>
    </row>
    <row r="245" spans="1:9" x14ac:dyDescent="0.35">
      <c r="A245" t="s">
        <v>269</v>
      </c>
      <c r="B245" t="s">
        <v>40</v>
      </c>
      <c r="C245" t="s">
        <v>17</v>
      </c>
      <c r="D245">
        <v>191.76</v>
      </c>
      <c r="E245" t="s">
        <v>18</v>
      </c>
      <c r="F245">
        <v>959.01</v>
      </c>
      <c r="G245">
        <f t="shared" si="5"/>
        <v>183899.75759999998</v>
      </c>
      <c r="H245" t="str">
        <f>IF(BOQ_Table[[#This Row],[Amount]]&gt;100000,"Over Budget","OK")</f>
        <v>Over Budget</v>
      </c>
      <c r="I245" t="str">
        <f>IF(OR(BOQ_Table[[#This Row],[Quantity]]="",BOQ_Table[[#This Row],[Rate]]=""),"Missing","OK")</f>
        <v>OK</v>
      </c>
    </row>
    <row r="246" spans="1:9" x14ac:dyDescent="0.35">
      <c r="A246" t="s">
        <v>270</v>
      </c>
      <c r="B246" t="s">
        <v>56</v>
      </c>
      <c r="C246" t="s">
        <v>12</v>
      </c>
      <c r="D246">
        <v>416.25</v>
      </c>
      <c r="E246" t="s">
        <v>18</v>
      </c>
      <c r="F246">
        <v>4633.7700000000004</v>
      </c>
      <c r="G246">
        <f t="shared" si="5"/>
        <v>1928806.7625000002</v>
      </c>
      <c r="H246" t="str">
        <f>IF(BOQ_Table[[#This Row],[Amount]]&gt;100000,"Over Budget","OK")</f>
        <v>Over Budget</v>
      </c>
      <c r="I246" t="str">
        <f>IF(OR(BOQ_Table[[#This Row],[Quantity]]="",BOQ_Table[[#This Row],[Rate]]=""),"Missing","OK")</f>
        <v>OK</v>
      </c>
    </row>
    <row r="247" spans="1:9" x14ac:dyDescent="0.35">
      <c r="A247" t="s">
        <v>271</v>
      </c>
      <c r="B247" t="s">
        <v>56</v>
      </c>
      <c r="C247" t="s">
        <v>38</v>
      </c>
      <c r="D247">
        <v>336.92</v>
      </c>
      <c r="E247" t="s">
        <v>14</v>
      </c>
      <c r="F247">
        <v>3190.51</v>
      </c>
      <c r="G247">
        <f t="shared" si="5"/>
        <v>1074946.6292000001</v>
      </c>
      <c r="H247" t="str">
        <f>IF(BOQ_Table[[#This Row],[Amount]]&gt;100000,"Over Budget","OK")</f>
        <v>Over Budget</v>
      </c>
      <c r="I247" t="str">
        <f>IF(OR(BOQ_Table[[#This Row],[Quantity]]="",BOQ_Table[[#This Row],[Rate]]=""),"Missing","OK")</f>
        <v>OK</v>
      </c>
    </row>
    <row r="248" spans="1:9" x14ac:dyDescent="0.35">
      <c r="A248" t="s">
        <v>272</v>
      </c>
      <c r="B248" t="s">
        <v>30</v>
      </c>
      <c r="C248" t="s">
        <v>21</v>
      </c>
      <c r="D248">
        <v>99.67</v>
      </c>
      <c r="E248" t="s">
        <v>9</v>
      </c>
      <c r="F248">
        <v>4841.07</v>
      </c>
      <c r="G248">
        <f t="shared" si="5"/>
        <v>482509.44689999998</v>
      </c>
      <c r="H248" t="str">
        <f>IF(BOQ_Table[[#This Row],[Amount]]&gt;100000,"Over Budget","OK")</f>
        <v>Over Budget</v>
      </c>
      <c r="I248" t="str">
        <f>IF(OR(BOQ_Table[[#This Row],[Quantity]]="",BOQ_Table[[#This Row],[Rate]]=""),"Missing","OK")</f>
        <v>OK</v>
      </c>
    </row>
    <row r="249" spans="1:9" x14ac:dyDescent="0.35">
      <c r="A249" t="s">
        <v>273</v>
      </c>
      <c r="B249" t="s">
        <v>30</v>
      </c>
      <c r="C249" t="s">
        <v>8</v>
      </c>
      <c r="D249">
        <v>453.79</v>
      </c>
      <c r="E249" t="s">
        <v>14</v>
      </c>
      <c r="F249">
        <v>444.94</v>
      </c>
      <c r="G249">
        <f t="shared" si="5"/>
        <v>201909.32260000001</v>
      </c>
      <c r="H249" t="str">
        <f>IF(BOQ_Table[[#This Row],[Amount]]&gt;100000,"Over Budget","OK")</f>
        <v>Over Budget</v>
      </c>
      <c r="I249" t="str">
        <f>IF(OR(BOQ_Table[[#This Row],[Quantity]]="",BOQ_Table[[#This Row],[Rate]]=""),"Missing","OK")</f>
        <v>OK</v>
      </c>
    </row>
    <row r="250" spans="1:9" x14ac:dyDescent="0.35">
      <c r="A250" t="s">
        <v>274</v>
      </c>
      <c r="B250" t="s">
        <v>30</v>
      </c>
      <c r="C250" t="s">
        <v>21</v>
      </c>
      <c r="D250">
        <v>182.36</v>
      </c>
      <c r="E250" t="s">
        <v>27</v>
      </c>
      <c r="F250">
        <v>1875.36</v>
      </c>
      <c r="G250">
        <f t="shared" si="5"/>
        <v>341990.6496</v>
      </c>
      <c r="H250" t="str">
        <f>IF(BOQ_Table[[#This Row],[Amount]]&gt;100000,"Over Budget","OK")</f>
        <v>Over Budget</v>
      </c>
      <c r="I250" t="str">
        <f>IF(OR(BOQ_Table[[#This Row],[Quantity]]="",BOQ_Table[[#This Row],[Rate]]=""),"Missing","OK")</f>
        <v>OK</v>
      </c>
    </row>
    <row r="251" spans="1:9" x14ac:dyDescent="0.35">
      <c r="A251" t="s">
        <v>275</v>
      </c>
      <c r="B251" t="s">
        <v>11</v>
      </c>
      <c r="C251" t="s">
        <v>12</v>
      </c>
      <c r="D251">
        <v>77.08</v>
      </c>
      <c r="E251" t="s">
        <v>14</v>
      </c>
      <c r="F251">
        <v>3459.4</v>
      </c>
      <c r="G251">
        <f t="shared" si="5"/>
        <v>266650.55200000003</v>
      </c>
      <c r="H251" t="str">
        <f>IF(BOQ_Table[[#This Row],[Amount]]&gt;100000,"Over Budget","OK")</f>
        <v>Over Budget</v>
      </c>
      <c r="I251" t="str">
        <f>IF(OR(BOQ_Table[[#This Row],[Quantity]]="",BOQ_Table[[#This Row],[Rate]]=""),"Missing","OK")</f>
        <v>OK</v>
      </c>
    </row>
    <row r="252" spans="1:9" x14ac:dyDescent="0.35">
      <c r="A252" t="s">
        <v>276</v>
      </c>
      <c r="B252" t="s">
        <v>42</v>
      </c>
      <c r="C252" t="s">
        <v>17</v>
      </c>
      <c r="D252">
        <v>69.53</v>
      </c>
      <c r="E252" t="s">
        <v>22</v>
      </c>
      <c r="F252">
        <v>2180.87</v>
      </c>
      <c r="G252">
        <f t="shared" si="5"/>
        <v>151635.89110000001</v>
      </c>
      <c r="H252" t="str">
        <f>IF(BOQ_Table[[#This Row],[Amount]]&gt;100000,"Over Budget","OK")</f>
        <v>Over Budget</v>
      </c>
      <c r="I252" t="str">
        <f>IF(OR(BOQ_Table[[#This Row],[Quantity]]="",BOQ_Table[[#This Row],[Rate]]=""),"Missing","OK")</f>
        <v>OK</v>
      </c>
    </row>
    <row r="253" spans="1:9" x14ac:dyDescent="0.35">
      <c r="A253" t="s">
        <v>277</v>
      </c>
      <c r="B253" t="s">
        <v>56</v>
      </c>
      <c r="C253" t="s">
        <v>12</v>
      </c>
      <c r="D253">
        <v>428.19</v>
      </c>
      <c r="E253" t="s">
        <v>27</v>
      </c>
      <c r="F253">
        <v>2835.67</v>
      </c>
      <c r="G253">
        <f t="shared" si="5"/>
        <v>1214205.5373</v>
      </c>
      <c r="H253" t="str">
        <f>IF(BOQ_Table[[#This Row],[Amount]]&gt;100000,"Over Budget","OK")</f>
        <v>Over Budget</v>
      </c>
      <c r="I253" t="str">
        <f>IF(OR(BOQ_Table[[#This Row],[Quantity]]="",BOQ_Table[[#This Row],[Rate]]=""),"Missing","OK")</f>
        <v>OK</v>
      </c>
    </row>
    <row r="254" spans="1:9" x14ac:dyDescent="0.35">
      <c r="A254" t="s">
        <v>278</v>
      </c>
      <c r="B254" t="s">
        <v>40</v>
      </c>
      <c r="C254" t="s">
        <v>8</v>
      </c>
      <c r="D254">
        <v>341.44</v>
      </c>
      <c r="E254" t="s">
        <v>14</v>
      </c>
      <c r="F254">
        <v>868.58</v>
      </c>
      <c r="G254">
        <f t="shared" si="5"/>
        <v>296567.95520000003</v>
      </c>
      <c r="H254" t="str">
        <f>IF(BOQ_Table[[#This Row],[Amount]]&gt;100000,"Over Budget","OK")</f>
        <v>Over Budget</v>
      </c>
      <c r="I254" t="str">
        <f>IF(OR(BOQ_Table[[#This Row],[Quantity]]="",BOQ_Table[[#This Row],[Rate]]=""),"Missing","OK")</f>
        <v>OK</v>
      </c>
    </row>
    <row r="255" spans="1:9" x14ac:dyDescent="0.35">
      <c r="A255" t="s">
        <v>279</v>
      </c>
      <c r="B255" t="s">
        <v>7</v>
      </c>
      <c r="C255" t="s">
        <v>8</v>
      </c>
      <c r="D255">
        <v>180.57</v>
      </c>
      <c r="E255" t="s">
        <v>18</v>
      </c>
      <c r="F255">
        <v>3744.7</v>
      </c>
      <c r="G255">
        <f t="shared" si="5"/>
        <v>676180.47899999993</v>
      </c>
      <c r="H255" t="str">
        <f>IF(BOQ_Table[[#This Row],[Amount]]&gt;100000,"Over Budget","OK")</f>
        <v>Over Budget</v>
      </c>
      <c r="I255" t="str">
        <f>IF(OR(BOQ_Table[[#This Row],[Quantity]]="",BOQ_Table[[#This Row],[Rate]]=""),"Missing","OK")</f>
        <v>OK</v>
      </c>
    </row>
    <row r="256" spans="1:9" x14ac:dyDescent="0.35">
      <c r="A256" t="s">
        <v>280</v>
      </c>
      <c r="B256" t="s">
        <v>56</v>
      </c>
      <c r="C256" t="s">
        <v>17</v>
      </c>
      <c r="D256">
        <v>205.23</v>
      </c>
      <c r="E256" t="s">
        <v>14</v>
      </c>
      <c r="F256">
        <v>2143.94</v>
      </c>
      <c r="G256">
        <f t="shared" si="5"/>
        <v>440000.80619999999</v>
      </c>
      <c r="H256" t="str">
        <f>IF(BOQ_Table[[#This Row],[Amount]]&gt;100000,"Over Budget","OK")</f>
        <v>Over Budget</v>
      </c>
      <c r="I256" t="str">
        <f>IF(OR(BOQ_Table[[#This Row],[Quantity]]="",BOQ_Table[[#This Row],[Rate]]=""),"Missing","OK")</f>
        <v>OK</v>
      </c>
    </row>
    <row r="257" spans="1:9" x14ac:dyDescent="0.35">
      <c r="A257" t="s">
        <v>281</v>
      </c>
      <c r="B257" t="s">
        <v>40</v>
      </c>
      <c r="C257" t="s">
        <v>8</v>
      </c>
      <c r="D257">
        <v>130.19</v>
      </c>
      <c r="E257" t="s">
        <v>14</v>
      </c>
      <c r="F257">
        <v>2242.23</v>
      </c>
      <c r="G257">
        <f t="shared" si="5"/>
        <v>291915.92369999998</v>
      </c>
      <c r="H257" t="str">
        <f>IF(BOQ_Table[[#This Row],[Amount]]&gt;100000,"Over Budget","OK")</f>
        <v>Over Budget</v>
      </c>
      <c r="I257" t="str">
        <f>IF(OR(BOQ_Table[[#This Row],[Quantity]]="",BOQ_Table[[#This Row],[Rate]]=""),"Missing","OK")</f>
        <v>OK</v>
      </c>
    </row>
    <row r="258" spans="1:9" x14ac:dyDescent="0.35">
      <c r="A258" t="s">
        <v>282</v>
      </c>
      <c r="B258" t="s">
        <v>42</v>
      </c>
      <c r="C258" t="s">
        <v>17</v>
      </c>
      <c r="D258">
        <v>8.76</v>
      </c>
      <c r="E258" t="s">
        <v>18</v>
      </c>
      <c r="F258">
        <v>1163.96</v>
      </c>
      <c r="G258">
        <f t="shared" ref="G258:G321" si="6">D258*F258</f>
        <v>10196.2896</v>
      </c>
      <c r="H258" t="str">
        <f>IF(BOQ_Table[[#This Row],[Amount]]&gt;100000,"Over Budget","OK")</f>
        <v>OK</v>
      </c>
      <c r="I258" t="str">
        <f>IF(OR(BOQ_Table[[#This Row],[Quantity]]="",BOQ_Table[[#This Row],[Rate]]=""),"Missing","OK")</f>
        <v>OK</v>
      </c>
    </row>
    <row r="259" spans="1:9" x14ac:dyDescent="0.35">
      <c r="A259" t="s">
        <v>283</v>
      </c>
      <c r="B259" t="s">
        <v>42</v>
      </c>
      <c r="C259" t="s">
        <v>12</v>
      </c>
      <c r="D259">
        <v>74.5</v>
      </c>
      <c r="E259" t="s">
        <v>14</v>
      </c>
      <c r="F259">
        <v>863.62</v>
      </c>
      <c r="G259">
        <f t="shared" si="6"/>
        <v>64339.69</v>
      </c>
      <c r="H259" t="str">
        <f>IF(BOQ_Table[[#This Row],[Amount]]&gt;100000,"Over Budget","OK")</f>
        <v>OK</v>
      </c>
      <c r="I259" t="str">
        <f>IF(OR(BOQ_Table[[#This Row],[Quantity]]="",BOQ_Table[[#This Row],[Rate]]=""),"Missing","OK")</f>
        <v>OK</v>
      </c>
    </row>
    <row r="260" spans="1:9" x14ac:dyDescent="0.35">
      <c r="A260" t="s">
        <v>284</v>
      </c>
      <c r="B260" t="s">
        <v>46</v>
      </c>
      <c r="C260" t="s">
        <v>12</v>
      </c>
      <c r="D260">
        <v>100.25</v>
      </c>
      <c r="E260" t="s">
        <v>22</v>
      </c>
      <c r="F260">
        <v>2807.22</v>
      </c>
      <c r="G260">
        <f t="shared" si="6"/>
        <v>281423.80499999999</v>
      </c>
      <c r="H260" t="str">
        <f>IF(BOQ_Table[[#This Row],[Amount]]&gt;100000,"Over Budget","OK")</f>
        <v>Over Budget</v>
      </c>
      <c r="I260" t="str">
        <f>IF(OR(BOQ_Table[[#This Row],[Quantity]]="",BOQ_Table[[#This Row],[Rate]]=""),"Missing","OK")</f>
        <v>OK</v>
      </c>
    </row>
    <row r="261" spans="1:9" x14ac:dyDescent="0.35">
      <c r="A261" t="s">
        <v>285</v>
      </c>
      <c r="B261" t="s">
        <v>30</v>
      </c>
      <c r="C261" t="s">
        <v>17</v>
      </c>
      <c r="D261">
        <v>60.26</v>
      </c>
      <c r="E261" t="s">
        <v>22</v>
      </c>
      <c r="F261">
        <v>2558.87</v>
      </c>
      <c r="G261">
        <f t="shared" si="6"/>
        <v>154197.50619999997</v>
      </c>
      <c r="H261" t="str">
        <f>IF(BOQ_Table[[#This Row],[Amount]]&gt;100000,"Over Budget","OK")</f>
        <v>Over Budget</v>
      </c>
      <c r="I261" t="str">
        <f>IF(OR(BOQ_Table[[#This Row],[Quantity]]="",BOQ_Table[[#This Row],[Rate]]=""),"Missing","OK")</f>
        <v>OK</v>
      </c>
    </row>
    <row r="262" spans="1:9" x14ac:dyDescent="0.35">
      <c r="A262" t="s">
        <v>286</v>
      </c>
      <c r="B262" t="s">
        <v>32</v>
      </c>
      <c r="C262" t="s">
        <v>21</v>
      </c>
      <c r="D262">
        <v>135.55000000000001</v>
      </c>
      <c r="E262" t="s">
        <v>9</v>
      </c>
      <c r="F262">
        <v>4676.67</v>
      </c>
      <c r="G262">
        <f t="shared" si="6"/>
        <v>633922.6185000001</v>
      </c>
      <c r="H262" t="str">
        <f>IF(BOQ_Table[[#This Row],[Amount]]&gt;100000,"Over Budget","OK")</f>
        <v>Over Budget</v>
      </c>
      <c r="I262" t="str">
        <f>IF(OR(BOQ_Table[[#This Row],[Quantity]]="",BOQ_Table[[#This Row],[Rate]]=""),"Missing","OK")</f>
        <v>OK</v>
      </c>
    </row>
    <row r="263" spans="1:9" x14ac:dyDescent="0.35">
      <c r="A263" t="s">
        <v>287</v>
      </c>
      <c r="B263" t="s">
        <v>32</v>
      </c>
      <c r="C263" t="s">
        <v>17</v>
      </c>
      <c r="D263">
        <v>366.15</v>
      </c>
      <c r="E263" t="s">
        <v>27</v>
      </c>
      <c r="F263">
        <v>4138.67</v>
      </c>
      <c r="G263">
        <f t="shared" si="6"/>
        <v>1515374.0204999999</v>
      </c>
      <c r="H263" t="str">
        <f>IF(BOQ_Table[[#This Row],[Amount]]&gt;100000,"Over Budget","OK")</f>
        <v>Over Budget</v>
      </c>
      <c r="I263" t="str">
        <f>IF(OR(BOQ_Table[[#This Row],[Quantity]]="",BOQ_Table[[#This Row],[Rate]]=""),"Missing","OK")</f>
        <v>OK</v>
      </c>
    </row>
    <row r="264" spans="1:9" x14ac:dyDescent="0.35">
      <c r="A264" t="s">
        <v>288</v>
      </c>
      <c r="B264" t="s">
        <v>16</v>
      </c>
      <c r="C264" t="s">
        <v>21</v>
      </c>
      <c r="D264">
        <v>89.61</v>
      </c>
      <c r="E264" t="s">
        <v>14</v>
      </c>
      <c r="F264">
        <v>2085.12</v>
      </c>
      <c r="G264">
        <f t="shared" si="6"/>
        <v>186847.60319999998</v>
      </c>
      <c r="H264" t="str">
        <f>IF(BOQ_Table[[#This Row],[Amount]]&gt;100000,"Over Budget","OK")</f>
        <v>Over Budget</v>
      </c>
      <c r="I264" t="str">
        <f>IF(OR(BOQ_Table[[#This Row],[Quantity]]="",BOQ_Table[[#This Row],[Rate]]=""),"Missing","OK")</f>
        <v>OK</v>
      </c>
    </row>
    <row r="265" spans="1:9" x14ac:dyDescent="0.35">
      <c r="A265" t="s">
        <v>289</v>
      </c>
      <c r="B265" t="s">
        <v>16</v>
      </c>
      <c r="C265" t="s">
        <v>38</v>
      </c>
      <c r="D265">
        <v>80.900000000000006</v>
      </c>
      <c r="E265" t="s">
        <v>14</v>
      </c>
      <c r="F265">
        <v>64.67</v>
      </c>
      <c r="G265">
        <f t="shared" si="6"/>
        <v>5231.8030000000008</v>
      </c>
      <c r="H265" t="str">
        <f>IF(BOQ_Table[[#This Row],[Amount]]&gt;100000,"Over Budget","OK")</f>
        <v>OK</v>
      </c>
      <c r="I265" t="str">
        <f>IF(OR(BOQ_Table[[#This Row],[Quantity]]="",BOQ_Table[[#This Row],[Rate]]=""),"Missing","OK")</f>
        <v>OK</v>
      </c>
    </row>
    <row r="266" spans="1:9" x14ac:dyDescent="0.35">
      <c r="A266" t="s">
        <v>290</v>
      </c>
      <c r="B266" t="s">
        <v>46</v>
      </c>
      <c r="C266" t="s">
        <v>8</v>
      </c>
      <c r="D266">
        <v>469.64</v>
      </c>
      <c r="E266" t="s">
        <v>22</v>
      </c>
      <c r="F266">
        <v>2289.77</v>
      </c>
      <c r="G266">
        <f t="shared" si="6"/>
        <v>1075367.5828</v>
      </c>
      <c r="H266" t="str">
        <f>IF(BOQ_Table[[#This Row],[Amount]]&gt;100000,"Over Budget","OK")</f>
        <v>Over Budget</v>
      </c>
      <c r="I266" t="str">
        <f>IF(OR(BOQ_Table[[#This Row],[Quantity]]="",BOQ_Table[[#This Row],[Rate]]=""),"Missing","OK")</f>
        <v>OK</v>
      </c>
    </row>
    <row r="267" spans="1:9" x14ac:dyDescent="0.35">
      <c r="A267" t="s">
        <v>291</v>
      </c>
      <c r="B267" t="s">
        <v>56</v>
      </c>
      <c r="C267" t="s">
        <v>38</v>
      </c>
      <c r="D267">
        <v>454.46</v>
      </c>
      <c r="E267" t="s">
        <v>22</v>
      </c>
      <c r="F267">
        <v>3669.81</v>
      </c>
      <c r="G267">
        <f t="shared" si="6"/>
        <v>1667781.8525999999</v>
      </c>
      <c r="H267" t="str">
        <f>IF(BOQ_Table[[#This Row],[Amount]]&gt;100000,"Over Budget","OK")</f>
        <v>Over Budget</v>
      </c>
      <c r="I267" t="str">
        <f>IF(OR(BOQ_Table[[#This Row],[Quantity]]="",BOQ_Table[[#This Row],[Rate]]=""),"Missing","OK")</f>
        <v>OK</v>
      </c>
    </row>
    <row r="268" spans="1:9" x14ac:dyDescent="0.35">
      <c r="A268" t="s">
        <v>292</v>
      </c>
      <c r="B268" t="s">
        <v>42</v>
      </c>
      <c r="C268" t="s">
        <v>12</v>
      </c>
      <c r="D268">
        <v>221.86</v>
      </c>
      <c r="E268" t="s">
        <v>18</v>
      </c>
      <c r="F268">
        <v>1444.72</v>
      </c>
      <c r="G268">
        <f t="shared" si="6"/>
        <v>320525.57920000004</v>
      </c>
      <c r="H268" t="str">
        <f>IF(BOQ_Table[[#This Row],[Amount]]&gt;100000,"Over Budget","OK")</f>
        <v>Over Budget</v>
      </c>
      <c r="I268" t="str">
        <f>IF(OR(BOQ_Table[[#This Row],[Quantity]]="",BOQ_Table[[#This Row],[Rate]]=""),"Missing","OK")</f>
        <v>OK</v>
      </c>
    </row>
    <row r="269" spans="1:9" x14ac:dyDescent="0.35">
      <c r="A269" t="s">
        <v>293</v>
      </c>
      <c r="B269" t="s">
        <v>42</v>
      </c>
      <c r="C269" t="s">
        <v>12</v>
      </c>
      <c r="D269">
        <v>259.04000000000002</v>
      </c>
      <c r="E269" t="s">
        <v>18</v>
      </c>
      <c r="F269">
        <v>748.34</v>
      </c>
      <c r="G269">
        <f t="shared" si="6"/>
        <v>193849.99360000002</v>
      </c>
      <c r="H269" t="str">
        <f>IF(BOQ_Table[[#This Row],[Amount]]&gt;100000,"Over Budget","OK")</f>
        <v>Over Budget</v>
      </c>
      <c r="I269" t="str">
        <f>IF(OR(BOQ_Table[[#This Row],[Quantity]]="",BOQ_Table[[#This Row],[Rate]]=""),"Missing","OK")</f>
        <v>OK</v>
      </c>
    </row>
    <row r="270" spans="1:9" x14ac:dyDescent="0.35">
      <c r="A270" t="s">
        <v>294</v>
      </c>
      <c r="B270" t="s">
        <v>40</v>
      </c>
      <c r="C270" t="s">
        <v>21</v>
      </c>
      <c r="D270">
        <v>333.2</v>
      </c>
      <c r="E270" t="s">
        <v>22</v>
      </c>
      <c r="F270">
        <v>1313.91</v>
      </c>
      <c r="G270">
        <f t="shared" si="6"/>
        <v>437794.81200000003</v>
      </c>
      <c r="H270" t="str">
        <f>IF(BOQ_Table[[#This Row],[Amount]]&gt;100000,"Over Budget","OK")</f>
        <v>Over Budget</v>
      </c>
      <c r="I270" t="str">
        <f>IF(OR(BOQ_Table[[#This Row],[Quantity]]="",BOQ_Table[[#This Row],[Rate]]=""),"Missing","OK")</f>
        <v>OK</v>
      </c>
    </row>
    <row r="271" spans="1:9" x14ac:dyDescent="0.35">
      <c r="A271" t="s">
        <v>295</v>
      </c>
      <c r="B271" t="s">
        <v>30</v>
      </c>
      <c r="C271" t="s">
        <v>21</v>
      </c>
      <c r="D271">
        <v>203.23</v>
      </c>
      <c r="E271" t="s">
        <v>18</v>
      </c>
      <c r="F271">
        <v>3424.79</v>
      </c>
      <c r="G271">
        <f t="shared" si="6"/>
        <v>696020.07169999997</v>
      </c>
      <c r="H271" t="str">
        <f>IF(BOQ_Table[[#This Row],[Amount]]&gt;100000,"Over Budget","OK")</f>
        <v>Over Budget</v>
      </c>
      <c r="I271" t="str">
        <f>IF(OR(BOQ_Table[[#This Row],[Quantity]]="",BOQ_Table[[#This Row],[Rate]]=""),"Missing","OK")</f>
        <v>OK</v>
      </c>
    </row>
    <row r="272" spans="1:9" x14ac:dyDescent="0.35">
      <c r="A272" t="s">
        <v>296</v>
      </c>
      <c r="B272" t="s">
        <v>7</v>
      </c>
      <c r="C272" t="s">
        <v>8</v>
      </c>
      <c r="D272">
        <v>455.78</v>
      </c>
      <c r="E272" t="s">
        <v>9</v>
      </c>
      <c r="F272">
        <v>4986.17</v>
      </c>
      <c r="G272">
        <f t="shared" si="6"/>
        <v>2272596.5625999998</v>
      </c>
      <c r="H272" t="str">
        <f>IF(BOQ_Table[[#This Row],[Amount]]&gt;100000,"Over Budget","OK")</f>
        <v>Over Budget</v>
      </c>
      <c r="I272" t="str">
        <f>IF(OR(BOQ_Table[[#This Row],[Quantity]]="",BOQ_Table[[#This Row],[Rate]]=""),"Missing","OK")</f>
        <v>OK</v>
      </c>
    </row>
    <row r="273" spans="1:9" x14ac:dyDescent="0.35">
      <c r="A273" t="s">
        <v>297</v>
      </c>
      <c r="B273" t="s">
        <v>32</v>
      </c>
      <c r="C273" t="s">
        <v>12</v>
      </c>
      <c r="D273">
        <v>104.54</v>
      </c>
      <c r="E273" t="s">
        <v>18</v>
      </c>
      <c r="F273">
        <v>4381.3100000000004</v>
      </c>
      <c r="G273">
        <f t="shared" si="6"/>
        <v>458022.14740000007</v>
      </c>
      <c r="H273" t="str">
        <f>IF(BOQ_Table[[#This Row],[Amount]]&gt;100000,"Over Budget","OK")</f>
        <v>Over Budget</v>
      </c>
      <c r="I273" t="str">
        <f>IF(OR(BOQ_Table[[#This Row],[Quantity]]="",BOQ_Table[[#This Row],[Rate]]=""),"Missing","OK")</f>
        <v>OK</v>
      </c>
    </row>
    <row r="274" spans="1:9" x14ac:dyDescent="0.35">
      <c r="A274" t="s">
        <v>298</v>
      </c>
      <c r="B274" t="s">
        <v>46</v>
      </c>
      <c r="C274" t="s">
        <v>38</v>
      </c>
      <c r="D274">
        <v>128.78</v>
      </c>
      <c r="E274" t="s">
        <v>18</v>
      </c>
      <c r="F274">
        <v>4533.8500000000004</v>
      </c>
      <c r="G274">
        <f t="shared" si="6"/>
        <v>583869.2030000001</v>
      </c>
      <c r="H274" t="str">
        <f>IF(BOQ_Table[[#This Row],[Amount]]&gt;100000,"Over Budget","OK")</f>
        <v>Over Budget</v>
      </c>
      <c r="I274" t="str">
        <f>IF(OR(BOQ_Table[[#This Row],[Quantity]]="",BOQ_Table[[#This Row],[Rate]]=""),"Missing","OK")</f>
        <v>OK</v>
      </c>
    </row>
    <row r="275" spans="1:9" x14ac:dyDescent="0.35">
      <c r="A275" t="s">
        <v>299</v>
      </c>
      <c r="B275" t="s">
        <v>11</v>
      </c>
      <c r="C275" t="s">
        <v>8</v>
      </c>
      <c r="D275">
        <v>480.83</v>
      </c>
      <c r="E275" t="s">
        <v>22</v>
      </c>
      <c r="F275">
        <v>3889.14</v>
      </c>
      <c r="G275">
        <f t="shared" si="6"/>
        <v>1870015.1861999999</v>
      </c>
      <c r="H275" t="str">
        <f>IF(BOQ_Table[[#This Row],[Amount]]&gt;100000,"Over Budget","OK")</f>
        <v>Over Budget</v>
      </c>
      <c r="I275" t="str">
        <f>IF(OR(BOQ_Table[[#This Row],[Quantity]]="",BOQ_Table[[#This Row],[Rate]]=""),"Missing","OK")</f>
        <v>OK</v>
      </c>
    </row>
    <row r="276" spans="1:9" x14ac:dyDescent="0.35">
      <c r="A276" t="s">
        <v>300</v>
      </c>
      <c r="B276" t="s">
        <v>7</v>
      </c>
      <c r="C276" t="s">
        <v>17</v>
      </c>
      <c r="D276">
        <v>43.03</v>
      </c>
      <c r="E276" t="s">
        <v>22</v>
      </c>
      <c r="F276">
        <v>809.6</v>
      </c>
      <c r="G276">
        <f t="shared" si="6"/>
        <v>34837.088000000003</v>
      </c>
      <c r="H276" t="str">
        <f>IF(BOQ_Table[[#This Row],[Amount]]&gt;100000,"Over Budget","OK")</f>
        <v>OK</v>
      </c>
      <c r="I276" t="str">
        <f>IF(OR(BOQ_Table[[#This Row],[Quantity]]="",BOQ_Table[[#This Row],[Rate]]=""),"Missing","OK")</f>
        <v>OK</v>
      </c>
    </row>
    <row r="277" spans="1:9" x14ac:dyDescent="0.35">
      <c r="A277" t="s">
        <v>301</v>
      </c>
      <c r="B277" t="s">
        <v>16</v>
      </c>
      <c r="C277" t="s">
        <v>12</v>
      </c>
      <c r="D277">
        <v>189.74</v>
      </c>
      <c r="E277" t="s">
        <v>9</v>
      </c>
      <c r="F277">
        <v>1567.35</v>
      </c>
      <c r="G277">
        <f t="shared" si="6"/>
        <v>297388.989</v>
      </c>
      <c r="H277" t="str">
        <f>IF(BOQ_Table[[#This Row],[Amount]]&gt;100000,"Over Budget","OK")</f>
        <v>Over Budget</v>
      </c>
      <c r="I277" t="str">
        <f>IF(OR(BOQ_Table[[#This Row],[Quantity]]="",BOQ_Table[[#This Row],[Rate]]=""),"Missing","OK")</f>
        <v>OK</v>
      </c>
    </row>
    <row r="278" spans="1:9" x14ac:dyDescent="0.35">
      <c r="A278" t="s">
        <v>302</v>
      </c>
      <c r="B278" t="s">
        <v>30</v>
      </c>
      <c r="C278" t="s">
        <v>38</v>
      </c>
      <c r="D278">
        <v>216.08</v>
      </c>
      <c r="E278" t="s">
        <v>14</v>
      </c>
      <c r="F278">
        <v>615.08000000000004</v>
      </c>
      <c r="G278">
        <f t="shared" si="6"/>
        <v>132906.48640000002</v>
      </c>
      <c r="H278" t="str">
        <f>IF(BOQ_Table[[#This Row],[Amount]]&gt;100000,"Over Budget","OK")</f>
        <v>Over Budget</v>
      </c>
      <c r="I278" t="str">
        <f>IF(OR(BOQ_Table[[#This Row],[Quantity]]="",BOQ_Table[[#This Row],[Rate]]=""),"Missing","OK")</f>
        <v>OK</v>
      </c>
    </row>
    <row r="279" spans="1:9" x14ac:dyDescent="0.35">
      <c r="A279" t="s">
        <v>303</v>
      </c>
      <c r="B279" t="s">
        <v>40</v>
      </c>
      <c r="C279" t="s">
        <v>17</v>
      </c>
      <c r="D279">
        <v>367.04</v>
      </c>
      <c r="E279" t="s">
        <v>27</v>
      </c>
      <c r="F279">
        <v>64.41</v>
      </c>
      <c r="G279">
        <f t="shared" si="6"/>
        <v>23641.046399999999</v>
      </c>
      <c r="H279" t="str">
        <f>IF(BOQ_Table[[#This Row],[Amount]]&gt;100000,"Over Budget","OK")</f>
        <v>OK</v>
      </c>
      <c r="I279" t="str">
        <f>IF(OR(BOQ_Table[[#This Row],[Quantity]]="",BOQ_Table[[#This Row],[Rate]]=""),"Missing","OK")</f>
        <v>OK</v>
      </c>
    </row>
    <row r="280" spans="1:9" x14ac:dyDescent="0.35">
      <c r="A280" t="s">
        <v>304</v>
      </c>
      <c r="B280" t="s">
        <v>11</v>
      </c>
      <c r="C280" t="s">
        <v>21</v>
      </c>
      <c r="D280">
        <v>385.86</v>
      </c>
      <c r="E280" t="s">
        <v>14</v>
      </c>
      <c r="F280">
        <v>1882.21</v>
      </c>
      <c r="G280">
        <f t="shared" si="6"/>
        <v>726269.55060000008</v>
      </c>
      <c r="H280" t="str">
        <f>IF(BOQ_Table[[#This Row],[Amount]]&gt;100000,"Over Budget","OK")</f>
        <v>Over Budget</v>
      </c>
      <c r="I280" t="str">
        <f>IF(OR(BOQ_Table[[#This Row],[Quantity]]="",BOQ_Table[[#This Row],[Rate]]=""),"Missing","OK")</f>
        <v>OK</v>
      </c>
    </row>
    <row r="281" spans="1:9" x14ac:dyDescent="0.35">
      <c r="A281" t="s">
        <v>305</v>
      </c>
      <c r="B281" t="s">
        <v>20</v>
      </c>
      <c r="C281" t="s">
        <v>8</v>
      </c>
      <c r="D281">
        <v>383.68</v>
      </c>
      <c r="E281" t="s">
        <v>9</v>
      </c>
      <c r="F281">
        <v>2638.89</v>
      </c>
      <c r="G281">
        <f t="shared" si="6"/>
        <v>1012489.3152</v>
      </c>
      <c r="H281" t="str">
        <f>IF(BOQ_Table[[#This Row],[Amount]]&gt;100000,"Over Budget","OK")</f>
        <v>Over Budget</v>
      </c>
      <c r="I281" t="str">
        <f>IF(OR(BOQ_Table[[#This Row],[Quantity]]="",BOQ_Table[[#This Row],[Rate]]=""),"Missing","OK")</f>
        <v>OK</v>
      </c>
    </row>
    <row r="282" spans="1:9" x14ac:dyDescent="0.35">
      <c r="A282" t="s">
        <v>306</v>
      </c>
      <c r="B282" t="s">
        <v>20</v>
      </c>
      <c r="C282" t="s">
        <v>8</v>
      </c>
      <c r="D282">
        <v>31.39</v>
      </c>
      <c r="E282" t="s">
        <v>18</v>
      </c>
      <c r="F282">
        <v>3319.81</v>
      </c>
      <c r="G282">
        <f t="shared" si="6"/>
        <v>104208.83590000001</v>
      </c>
      <c r="H282" t="str">
        <f>IF(BOQ_Table[[#This Row],[Amount]]&gt;100000,"Over Budget","OK")</f>
        <v>Over Budget</v>
      </c>
      <c r="I282" t="str">
        <f>IF(OR(BOQ_Table[[#This Row],[Quantity]]="",BOQ_Table[[#This Row],[Rate]]=""),"Missing","OK")</f>
        <v>OK</v>
      </c>
    </row>
    <row r="283" spans="1:9" x14ac:dyDescent="0.35">
      <c r="A283" t="s">
        <v>307</v>
      </c>
      <c r="B283" t="s">
        <v>16</v>
      </c>
      <c r="C283" t="s">
        <v>12</v>
      </c>
      <c r="D283">
        <v>356.78</v>
      </c>
      <c r="E283" t="s">
        <v>9</v>
      </c>
      <c r="F283">
        <v>3272.4</v>
      </c>
      <c r="G283">
        <f t="shared" si="6"/>
        <v>1167526.872</v>
      </c>
      <c r="H283" t="str">
        <f>IF(BOQ_Table[[#This Row],[Amount]]&gt;100000,"Over Budget","OK")</f>
        <v>Over Budget</v>
      </c>
      <c r="I283" t="str">
        <f>IF(OR(BOQ_Table[[#This Row],[Quantity]]="",BOQ_Table[[#This Row],[Rate]]=""),"Missing","OK")</f>
        <v>OK</v>
      </c>
    </row>
    <row r="284" spans="1:9" x14ac:dyDescent="0.35">
      <c r="A284" t="s">
        <v>308</v>
      </c>
      <c r="B284" t="s">
        <v>32</v>
      </c>
      <c r="C284" t="s">
        <v>8</v>
      </c>
      <c r="D284">
        <v>210.64</v>
      </c>
      <c r="E284" t="s">
        <v>18</v>
      </c>
      <c r="F284">
        <v>823.96</v>
      </c>
      <c r="G284">
        <f t="shared" si="6"/>
        <v>173558.9344</v>
      </c>
      <c r="H284" t="str">
        <f>IF(BOQ_Table[[#This Row],[Amount]]&gt;100000,"Over Budget","OK")</f>
        <v>Over Budget</v>
      </c>
      <c r="I284" t="str">
        <f>IF(OR(BOQ_Table[[#This Row],[Quantity]]="",BOQ_Table[[#This Row],[Rate]]=""),"Missing","OK")</f>
        <v>OK</v>
      </c>
    </row>
    <row r="285" spans="1:9" x14ac:dyDescent="0.35">
      <c r="A285" t="s">
        <v>309</v>
      </c>
      <c r="B285" t="s">
        <v>30</v>
      </c>
      <c r="C285" t="s">
        <v>21</v>
      </c>
      <c r="D285">
        <v>247.58</v>
      </c>
      <c r="E285" t="s">
        <v>14</v>
      </c>
      <c r="F285">
        <v>1184.74</v>
      </c>
      <c r="G285">
        <f t="shared" si="6"/>
        <v>293317.92920000001</v>
      </c>
      <c r="H285" t="str">
        <f>IF(BOQ_Table[[#This Row],[Amount]]&gt;100000,"Over Budget","OK")</f>
        <v>Over Budget</v>
      </c>
      <c r="I285" t="str">
        <f>IF(OR(BOQ_Table[[#This Row],[Quantity]]="",BOQ_Table[[#This Row],[Rate]]=""),"Missing","OK")</f>
        <v>OK</v>
      </c>
    </row>
    <row r="286" spans="1:9" x14ac:dyDescent="0.35">
      <c r="A286" t="s">
        <v>310</v>
      </c>
      <c r="B286" t="s">
        <v>20</v>
      </c>
      <c r="C286" t="s">
        <v>12</v>
      </c>
      <c r="D286">
        <v>265.58</v>
      </c>
      <c r="E286" t="s">
        <v>22</v>
      </c>
      <c r="F286">
        <v>486.8</v>
      </c>
      <c r="G286">
        <f t="shared" si="6"/>
        <v>129284.344</v>
      </c>
      <c r="H286" t="str">
        <f>IF(BOQ_Table[[#This Row],[Amount]]&gt;100000,"Over Budget","OK")</f>
        <v>Over Budget</v>
      </c>
      <c r="I286" t="str">
        <f>IF(OR(BOQ_Table[[#This Row],[Quantity]]="",BOQ_Table[[#This Row],[Rate]]=""),"Missing","OK")</f>
        <v>OK</v>
      </c>
    </row>
    <row r="287" spans="1:9" x14ac:dyDescent="0.35">
      <c r="A287" t="s">
        <v>311</v>
      </c>
      <c r="B287" t="s">
        <v>46</v>
      </c>
      <c r="C287" t="s">
        <v>12</v>
      </c>
      <c r="D287">
        <v>216.81</v>
      </c>
      <c r="E287" t="s">
        <v>14</v>
      </c>
      <c r="F287">
        <v>276.12</v>
      </c>
      <c r="G287">
        <f t="shared" si="6"/>
        <v>59865.5772</v>
      </c>
      <c r="H287" t="str">
        <f>IF(BOQ_Table[[#This Row],[Amount]]&gt;100000,"Over Budget","OK")</f>
        <v>OK</v>
      </c>
      <c r="I287" t="str">
        <f>IF(OR(BOQ_Table[[#This Row],[Quantity]]="",BOQ_Table[[#This Row],[Rate]]=""),"Missing","OK")</f>
        <v>OK</v>
      </c>
    </row>
    <row r="288" spans="1:9" x14ac:dyDescent="0.35">
      <c r="A288" t="s">
        <v>312</v>
      </c>
      <c r="B288" t="s">
        <v>7</v>
      </c>
      <c r="C288" t="s">
        <v>21</v>
      </c>
      <c r="D288">
        <v>248.76</v>
      </c>
      <c r="E288" t="s">
        <v>27</v>
      </c>
      <c r="F288">
        <v>4599.72</v>
      </c>
      <c r="G288">
        <f t="shared" si="6"/>
        <v>1144226.3472</v>
      </c>
      <c r="H288" t="str">
        <f>IF(BOQ_Table[[#This Row],[Amount]]&gt;100000,"Over Budget","OK")</f>
        <v>Over Budget</v>
      </c>
      <c r="I288" t="str">
        <f>IF(OR(BOQ_Table[[#This Row],[Quantity]]="",BOQ_Table[[#This Row],[Rate]]=""),"Missing","OK")</f>
        <v>OK</v>
      </c>
    </row>
    <row r="289" spans="1:9" x14ac:dyDescent="0.35">
      <c r="A289" t="s">
        <v>313</v>
      </c>
      <c r="B289" t="s">
        <v>11</v>
      </c>
      <c r="C289" t="s">
        <v>38</v>
      </c>
      <c r="D289">
        <v>53.94</v>
      </c>
      <c r="E289" t="s">
        <v>22</v>
      </c>
      <c r="F289">
        <v>4938.09</v>
      </c>
      <c r="G289">
        <f t="shared" si="6"/>
        <v>266360.57459999999</v>
      </c>
      <c r="H289" t="str">
        <f>IF(BOQ_Table[[#This Row],[Amount]]&gt;100000,"Over Budget","OK")</f>
        <v>Over Budget</v>
      </c>
      <c r="I289" t="str">
        <f>IF(OR(BOQ_Table[[#This Row],[Quantity]]="",BOQ_Table[[#This Row],[Rate]]=""),"Missing","OK")</f>
        <v>OK</v>
      </c>
    </row>
    <row r="290" spans="1:9" x14ac:dyDescent="0.35">
      <c r="A290" t="s">
        <v>314</v>
      </c>
      <c r="B290" t="s">
        <v>32</v>
      </c>
      <c r="C290" t="s">
        <v>8</v>
      </c>
      <c r="D290">
        <v>172.54</v>
      </c>
      <c r="E290" t="s">
        <v>14</v>
      </c>
      <c r="F290">
        <v>2273.4699999999998</v>
      </c>
      <c r="G290">
        <f t="shared" si="6"/>
        <v>392264.51379999996</v>
      </c>
      <c r="H290" t="str">
        <f>IF(BOQ_Table[[#This Row],[Amount]]&gt;100000,"Over Budget","OK")</f>
        <v>Over Budget</v>
      </c>
      <c r="I290" t="str">
        <f>IF(OR(BOQ_Table[[#This Row],[Quantity]]="",BOQ_Table[[#This Row],[Rate]]=""),"Missing","OK")</f>
        <v>OK</v>
      </c>
    </row>
    <row r="291" spans="1:9" x14ac:dyDescent="0.35">
      <c r="A291" t="s">
        <v>315</v>
      </c>
      <c r="B291" t="s">
        <v>16</v>
      </c>
      <c r="C291" t="s">
        <v>12</v>
      </c>
      <c r="D291">
        <v>357.45</v>
      </c>
      <c r="E291" t="s">
        <v>18</v>
      </c>
      <c r="F291">
        <v>2893.46</v>
      </c>
      <c r="G291">
        <f t="shared" si="6"/>
        <v>1034267.277</v>
      </c>
      <c r="H291" t="str">
        <f>IF(BOQ_Table[[#This Row],[Amount]]&gt;100000,"Over Budget","OK")</f>
        <v>Over Budget</v>
      </c>
      <c r="I291" t="str">
        <f>IF(OR(BOQ_Table[[#This Row],[Quantity]]="",BOQ_Table[[#This Row],[Rate]]=""),"Missing","OK")</f>
        <v>OK</v>
      </c>
    </row>
    <row r="292" spans="1:9" x14ac:dyDescent="0.35">
      <c r="A292" t="s">
        <v>316</v>
      </c>
      <c r="B292" t="s">
        <v>40</v>
      </c>
      <c r="C292" t="s">
        <v>38</v>
      </c>
      <c r="D292">
        <v>13.01</v>
      </c>
      <c r="E292" t="s">
        <v>14</v>
      </c>
      <c r="F292">
        <v>2158.52</v>
      </c>
      <c r="G292">
        <f t="shared" si="6"/>
        <v>28082.3452</v>
      </c>
      <c r="H292" t="str">
        <f>IF(BOQ_Table[[#This Row],[Amount]]&gt;100000,"Over Budget","OK")</f>
        <v>OK</v>
      </c>
      <c r="I292" t="str">
        <f>IF(OR(BOQ_Table[[#This Row],[Quantity]]="",BOQ_Table[[#This Row],[Rate]]=""),"Missing","OK")</f>
        <v>OK</v>
      </c>
    </row>
    <row r="293" spans="1:9" x14ac:dyDescent="0.35">
      <c r="A293" t="s">
        <v>317</v>
      </c>
      <c r="B293" t="s">
        <v>7</v>
      </c>
      <c r="C293" t="s">
        <v>8</v>
      </c>
      <c r="D293">
        <v>181.64</v>
      </c>
      <c r="E293" t="s">
        <v>27</v>
      </c>
      <c r="F293">
        <v>4300.55</v>
      </c>
      <c r="G293">
        <f t="shared" si="6"/>
        <v>781151.902</v>
      </c>
      <c r="H293" t="str">
        <f>IF(BOQ_Table[[#This Row],[Amount]]&gt;100000,"Over Budget","OK")</f>
        <v>Over Budget</v>
      </c>
      <c r="I293" t="str">
        <f>IF(OR(BOQ_Table[[#This Row],[Quantity]]="",BOQ_Table[[#This Row],[Rate]]=""),"Missing","OK")</f>
        <v>OK</v>
      </c>
    </row>
    <row r="294" spans="1:9" x14ac:dyDescent="0.35">
      <c r="A294" t="s">
        <v>318</v>
      </c>
      <c r="B294" t="s">
        <v>56</v>
      </c>
      <c r="C294" t="s">
        <v>21</v>
      </c>
      <c r="D294">
        <v>18.510000000000002</v>
      </c>
      <c r="E294" t="s">
        <v>22</v>
      </c>
      <c r="F294">
        <v>936.19</v>
      </c>
      <c r="G294">
        <f t="shared" si="6"/>
        <v>17328.876900000003</v>
      </c>
      <c r="H294" t="str">
        <f>IF(BOQ_Table[[#This Row],[Amount]]&gt;100000,"Over Budget","OK")</f>
        <v>OK</v>
      </c>
      <c r="I294" t="str">
        <f>IF(OR(BOQ_Table[[#This Row],[Quantity]]="",BOQ_Table[[#This Row],[Rate]]=""),"Missing","OK")</f>
        <v>OK</v>
      </c>
    </row>
    <row r="295" spans="1:9" x14ac:dyDescent="0.35">
      <c r="A295" t="s">
        <v>319</v>
      </c>
      <c r="B295" t="s">
        <v>42</v>
      </c>
      <c r="C295" t="s">
        <v>8</v>
      </c>
      <c r="D295">
        <v>365.65</v>
      </c>
      <c r="E295" t="s">
        <v>22</v>
      </c>
      <c r="F295">
        <v>4332.51</v>
      </c>
      <c r="G295">
        <f t="shared" si="6"/>
        <v>1584182.2815</v>
      </c>
      <c r="H295" t="str">
        <f>IF(BOQ_Table[[#This Row],[Amount]]&gt;100000,"Over Budget","OK")</f>
        <v>Over Budget</v>
      </c>
      <c r="I295" t="str">
        <f>IF(OR(BOQ_Table[[#This Row],[Quantity]]="",BOQ_Table[[#This Row],[Rate]]=""),"Missing","OK")</f>
        <v>OK</v>
      </c>
    </row>
    <row r="296" spans="1:9" x14ac:dyDescent="0.35">
      <c r="A296" t="s">
        <v>320</v>
      </c>
      <c r="B296" t="s">
        <v>16</v>
      </c>
      <c r="C296" t="s">
        <v>38</v>
      </c>
      <c r="D296">
        <v>65.569999999999993</v>
      </c>
      <c r="E296" t="s">
        <v>22</v>
      </c>
      <c r="F296">
        <v>4553.12</v>
      </c>
      <c r="G296">
        <f t="shared" si="6"/>
        <v>298548.07839999994</v>
      </c>
      <c r="H296" t="str">
        <f>IF(BOQ_Table[[#This Row],[Amount]]&gt;100000,"Over Budget","OK")</f>
        <v>Over Budget</v>
      </c>
      <c r="I296" t="str">
        <f>IF(OR(BOQ_Table[[#This Row],[Quantity]]="",BOQ_Table[[#This Row],[Rate]]=""),"Missing","OK")</f>
        <v>OK</v>
      </c>
    </row>
    <row r="297" spans="1:9" x14ac:dyDescent="0.35">
      <c r="A297" t="s">
        <v>321</v>
      </c>
      <c r="B297" t="s">
        <v>42</v>
      </c>
      <c r="C297" t="s">
        <v>17</v>
      </c>
      <c r="D297">
        <v>247.04</v>
      </c>
      <c r="E297" t="s">
        <v>18</v>
      </c>
      <c r="F297">
        <v>1542.77</v>
      </c>
      <c r="G297">
        <f t="shared" si="6"/>
        <v>381125.9008</v>
      </c>
      <c r="H297" t="str">
        <f>IF(BOQ_Table[[#This Row],[Amount]]&gt;100000,"Over Budget","OK")</f>
        <v>Over Budget</v>
      </c>
      <c r="I297" t="str">
        <f>IF(OR(BOQ_Table[[#This Row],[Quantity]]="",BOQ_Table[[#This Row],[Rate]]=""),"Missing","OK")</f>
        <v>OK</v>
      </c>
    </row>
    <row r="298" spans="1:9" x14ac:dyDescent="0.35">
      <c r="A298" t="s">
        <v>322</v>
      </c>
      <c r="B298" t="s">
        <v>56</v>
      </c>
      <c r="C298" t="s">
        <v>8</v>
      </c>
      <c r="D298">
        <v>203.58</v>
      </c>
      <c r="E298" t="s">
        <v>18</v>
      </c>
      <c r="F298">
        <v>3460.32</v>
      </c>
      <c r="G298">
        <f t="shared" si="6"/>
        <v>704451.94560000009</v>
      </c>
      <c r="H298" t="str">
        <f>IF(BOQ_Table[[#This Row],[Amount]]&gt;100000,"Over Budget","OK")</f>
        <v>Over Budget</v>
      </c>
      <c r="I298" t="str">
        <f>IF(OR(BOQ_Table[[#This Row],[Quantity]]="",BOQ_Table[[#This Row],[Rate]]=""),"Missing","OK")</f>
        <v>OK</v>
      </c>
    </row>
    <row r="299" spans="1:9" x14ac:dyDescent="0.35">
      <c r="A299" t="s">
        <v>323</v>
      </c>
      <c r="B299" t="s">
        <v>46</v>
      </c>
      <c r="C299" t="s">
        <v>38</v>
      </c>
      <c r="D299">
        <v>259.12</v>
      </c>
      <c r="E299" t="s">
        <v>22</v>
      </c>
      <c r="F299">
        <v>4099.7700000000004</v>
      </c>
      <c r="G299">
        <f t="shared" si="6"/>
        <v>1062332.4024</v>
      </c>
      <c r="H299" t="str">
        <f>IF(BOQ_Table[[#This Row],[Amount]]&gt;100000,"Over Budget","OK")</f>
        <v>Over Budget</v>
      </c>
      <c r="I299" t="str">
        <f>IF(OR(BOQ_Table[[#This Row],[Quantity]]="",BOQ_Table[[#This Row],[Rate]]=""),"Missing","OK")</f>
        <v>OK</v>
      </c>
    </row>
    <row r="300" spans="1:9" x14ac:dyDescent="0.35">
      <c r="A300" t="s">
        <v>324</v>
      </c>
      <c r="B300" t="s">
        <v>46</v>
      </c>
      <c r="C300" t="s">
        <v>12</v>
      </c>
      <c r="D300">
        <v>413.73</v>
      </c>
      <c r="E300" t="s">
        <v>22</v>
      </c>
      <c r="F300">
        <v>4602.45</v>
      </c>
      <c r="G300">
        <f t="shared" si="6"/>
        <v>1904171.6385000001</v>
      </c>
      <c r="H300" t="str">
        <f>IF(BOQ_Table[[#This Row],[Amount]]&gt;100000,"Over Budget","OK")</f>
        <v>Over Budget</v>
      </c>
      <c r="I300" t="str">
        <f>IF(OR(BOQ_Table[[#This Row],[Quantity]]="",BOQ_Table[[#This Row],[Rate]]=""),"Missing","OK")</f>
        <v>OK</v>
      </c>
    </row>
    <row r="301" spans="1:9" x14ac:dyDescent="0.35">
      <c r="A301" t="s">
        <v>325</v>
      </c>
      <c r="B301" t="s">
        <v>46</v>
      </c>
      <c r="C301" t="s">
        <v>17</v>
      </c>
      <c r="D301">
        <v>355.28</v>
      </c>
      <c r="E301" t="s">
        <v>9</v>
      </c>
      <c r="F301">
        <v>1737.11</v>
      </c>
      <c r="G301">
        <f t="shared" si="6"/>
        <v>617160.44079999987</v>
      </c>
      <c r="H301" t="str">
        <f>IF(BOQ_Table[[#This Row],[Amount]]&gt;100000,"Over Budget","OK")</f>
        <v>Over Budget</v>
      </c>
      <c r="I301" t="str">
        <f>IF(OR(BOQ_Table[[#This Row],[Quantity]]="",BOQ_Table[[#This Row],[Rate]]=""),"Missing","OK")</f>
        <v>OK</v>
      </c>
    </row>
    <row r="302" spans="1:9" x14ac:dyDescent="0.35">
      <c r="A302" t="s">
        <v>326</v>
      </c>
      <c r="B302" t="s">
        <v>40</v>
      </c>
      <c r="C302" t="s">
        <v>17</v>
      </c>
      <c r="D302">
        <v>117.41</v>
      </c>
      <c r="E302" t="s">
        <v>9</v>
      </c>
      <c r="F302">
        <v>4433.99</v>
      </c>
      <c r="G302">
        <f t="shared" si="6"/>
        <v>520594.76589999994</v>
      </c>
      <c r="H302" t="str">
        <f>IF(BOQ_Table[[#This Row],[Amount]]&gt;100000,"Over Budget","OK")</f>
        <v>Over Budget</v>
      </c>
      <c r="I302" t="str">
        <f>IF(OR(BOQ_Table[[#This Row],[Quantity]]="",BOQ_Table[[#This Row],[Rate]]=""),"Missing","OK")</f>
        <v>OK</v>
      </c>
    </row>
    <row r="303" spans="1:9" x14ac:dyDescent="0.35">
      <c r="A303" t="s">
        <v>327</v>
      </c>
      <c r="B303" t="s">
        <v>40</v>
      </c>
      <c r="C303" t="s">
        <v>17</v>
      </c>
      <c r="D303">
        <v>231.17</v>
      </c>
      <c r="E303" t="s">
        <v>22</v>
      </c>
      <c r="F303">
        <v>2232.48</v>
      </c>
      <c r="G303">
        <f t="shared" si="6"/>
        <v>516082.40159999998</v>
      </c>
      <c r="H303" t="str">
        <f>IF(BOQ_Table[[#This Row],[Amount]]&gt;100000,"Over Budget","OK")</f>
        <v>Over Budget</v>
      </c>
      <c r="I303" t="str">
        <f>IF(OR(BOQ_Table[[#This Row],[Quantity]]="",BOQ_Table[[#This Row],[Rate]]=""),"Missing","OK")</f>
        <v>OK</v>
      </c>
    </row>
    <row r="304" spans="1:9" x14ac:dyDescent="0.35">
      <c r="A304" t="s">
        <v>328</v>
      </c>
      <c r="B304" t="s">
        <v>42</v>
      </c>
      <c r="C304" t="s">
        <v>12</v>
      </c>
      <c r="D304">
        <v>270.43</v>
      </c>
      <c r="E304" t="s">
        <v>22</v>
      </c>
      <c r="F304">
        <v>3194.67</v>
      </c>
      <c r="G304">
        <f t="shared" si="6"/>
        <v>863934.60810000007</v>
      </c>
      <c r="H304" t="str">
        <f>IF(BOQ_Table[[#This Row],[Amount]]&gt;100000,"Over Budget","OK")</f>
        <v>Over Budget</v>
      </c>
      <c r="I304" t="str">
        <f>IF(OR(BOQ_Table[[#This Row],[Quantity]]="",BOQ_Table[[#This Row],[Rate]]=""),"Missing","OK")</f>
        <v>OK</v>
      </c>
    </row>
    <row r="305" spans="1:9" x14ac:dyDescent="0.35">
      <c r="A305" t="s">
        <v>329</v>
      </c>
      <c r="B305" t="s">
        <v>16</v>
      </c>
      <c r="C305" t="s">
        <v>8</v>
      </c>
      <c r="D305">
        <v>444.2</v>
      </c>
      <c r="E305" t="s">
        <v>14</v>
      </c>
      <c r="F305">
        <v>975.71</v>
      </c>
      <c r="G305">
        <f t="shared" si="6"/>
        <v>433410.38199999998</v>
      </c>
      <c r="H305" t="str">
        <f>IF(BOQ_Table[[#This Row],[Amount]]&gt;100000,"Over Budget","OK")</f>
        <v>Over Budget</v>
      </c>
      <c r="I305" t="str">
        <f>IF(OR(BOQ_Table[[#This Row],[Quantity]]="",BOQ_Table[[#This Row],[Rate]]=""),"Missing","OK")</f>
        <v>OK</v>
      </c>
    </row>
    <row r="306" spans="1:9" x14ac:dyDescent="0.35">
      <c r="A306" t="s">
        <v>330</v>
      </c>
      <c r="B306" t="s">
        <v>11</v>
      </c>
      <c r="C306" t="s">
        <v>38</v>
      </c>
      <c r="D306">
        <v>468.35</v>
      </c>
      <c r="E306" t="s">
        <v>22</v>
      </c>
      <c r="F306">
        <v>2423.1</v>
      </c>
      <c r="G306">
        <f t="shared" si="6"/>
        <v>1134858.885</v>
      </c>
      <c r="H306" t="str">
        <f>IF(BOQ_Table[[#This Row],[Amount]]&gt;100000,"Over Budget","OK")</f>
        <v>Over Budget</v>
      </c>
      <c r="I306" t="str">
        <f>IF(OR(BOQ_Table[[#This Row],[Quantity]]="",BOQ_Table[[#This Row],[Rate]]=""),"Missing","OK")</f>
        <v>OK</v>
      </c>
    </row>
    <row r="307" spans="1:9" x14ac:dyDescent="0.35">
      <c r="A307" t="s">
        <v>331</v>
      </c>
      <c r="B307" t="s">
        <v>30</v>
      </c>
      <c r="C307" t="s">
        <v>12</v>
      </c>
      <c r="D307">
        <v>254.08</v>
      </c>
      <c r="E307" t="s">
        <v>18</v>
      </c>
      <c r="F307">
        <v>2219.25</v>
      </c>
      <c r="G307">
        <f t="shared" si="6"/>
        <v>563867.04</v>
      </c>
      <c r="H307" t="str">
        <f>IF(BOQ_Table[[#This Row],[Amount]]&gt;100000,"Over Budget","OK")</f>
        <v>Over Budget</v>
      </c>
      <c r="I307" t="str">
        <f>IF(OR(BOQ_Table[[#This Row],[Quantity]]="",BOQ_Table[[#This Row],[Rate]]=""),"Missing","OK")</f>
        <v>OK</v>
      </c>
    </row>
    <row r="308" spans="1:9" x14ac:dyDescent="0.35">
      <c r="A308" t="s">
        <v>332</v>
      </c>
      <c r="B308" t="s">
        <v>32</v>
      </c>
      <c r="C308" t="s">
        <v>21</v>
      </c>
      <c r="D308">
        <v>493.4</v>
      </c>
      <c r="E308" t="s">
        <v>18</v>
      </c>
      <c r="F308">
        <v>1304.24</v>
      </c>
      <c r="G308">
        <f t="shared" si="6"/>
        <v>643512.01599999995</v>
      </c>
      <c r="H308" t="str">
        <f>IF(BOQ_Table[[#This Row],[Amount]]&gt;100000,"Over Budget","OK")</f>
        <v>Over Budget</v>
      </c>
      <c r="I308" t="str">
        <f>IF(OR(BOQ_Table[[#This Row],[Quantity]]="",BOQ_Table[[#This Row],[Rate]]=""),"Missing","OK")</f>
        <v>OK</v>
      </c>
    </row>
    <row r="309" spans="1:9" x14ac:dyDescent="0.35">
      <c r="A309" t="s">
        <v>333</v>
      </c>
      <c r="B309" t="s">
        <v>40</v>
      </c>
      <c r="C309" t="s">
        <v>21</v>
      </c>
      <c r="D309">
        <v>210.13</v>
      </c>
      <c r="E309" t="s">
        <v>9</v>
      </c>
      <c r="F309">
        <v>2724.44</v>
      </c>
      <c r="G309">
        <f t="shared" si="6"/>
        <v>572486.57719999994</v>
      </c>
      <c r="H309" t="str">
        <f>IF(BOQ_Table[[#This Row],[Amount]]&gt;100000,"Over Budget","OK")</f>
        <v>Over Budget</v>
      </c>
      <c r="I309" t="str">
        <f>IF(OR(BOQ_Table[[#This Row],[Quantity]]="",BOQ_Table[[#This Row],[Rate]]=""),"Missing","OK")</f>
        <v>OK</v>
      </c>
    </row>
    <row r="310" spans="1:9" x14ac:dyDescent="0.35">
      <c r="A310" t="s">
        <v>334</v>
      </c>
      <c r="B310" t="s">
        <v>32</v>
      </c>
      <c r="C310" t="s">
        <v>8</v>
      </c>
      <c r="D310">
        <v>220.59</v>
      </c>
      <c r="E310" t="s">
        <v>27</v>
      </c>
      <c r="F310">
        <v>2391.58</v>
      </c>
      <c r="G310">
        <f t="shared" si="6"/>
        <v>527558.63219999999</v>
      </c>
      <c r="H310" t="str">
        <f>IF(BOQ_Table[[#This Row],[Amount]]&gt;100000,"Over Budget","OK")</f>
        <v>Over Budget</v>
      </c>
      <c r="I310" t="str">
        <f>IF(OR(BOQ_Table[[#This Row],[Quantity]]="",BOQ_Table[[#This Row],[Rate]]=""),"Missing","OK")</f>
        <v>OK</v>
      </c>
    </row>
    <row r="311" spans="1:9" x14ac:dyDescent="0.35">
      <c r="A311" t="s">
        <v>335</v>
      </c>
      <c r="B311" t="s">
        <v>46</v>
      </c>
      <c r="C311" t="s">
        <v>8</v>
      </c>
      <c r="D311">
        <v>477.5</v>
      </c>
      <c r="E311" t="s">
        <v>18</v>
      </c>
      <c r="F311">
        <v>2147.16</v>
      </c>
      <c r="G311">
        <f t="shared" si="6"/>
        <v>1025268.8999999999</v>
      </c>
      <c r="H311" t="str">
        <f>IF(BOQ_Table[[#This Row],[Amount]]&gt;100000,"Over Budget","OK")</f>
        <v>Over Budget</v>
      </c>
      <c r="I311" t="str">
        <f>IF(OR(BOQ_Table[[#This Row],[Quantity]]="",BOQ_Table[[#This Row],[Rate]]=""),"Missing","OK")</f>
        <v>OK</v>
      </c>
    </row>
    <row r="312" spans="1:9" x14ac:dyDescent="0.35">
      <c r="A312" t="s">
        <v>336</v>
      </c>
      <c r="B312" t="s">
        <v>7</v>
      </c>
      <c r="C312" t="s">
        <v>8</v>
      </c>
      <c r="D312">
        <v>64.430000000000007</v>
      </c>
      <c r="E312" t="s">
        <v>18</v>
      </c>
      <c r="F312">
        <v>460.81</v>
      </c>
      <c r="G312">
        <f t="shared" si="6"/>
        <v>29689.988300000005</v>
      </c>
      <c r="H312" t="str">
        <f>IF(BOQ_Table[[#This Row],[Amount]]&gt;100000,"Over Budget","OK")</f>
        <v>OK</v>
      </c>
      <c r="I312" t="str">
        <f>IF(OR(BOQ_Table[[#This Row],[Quantity]]="",BOQ_Table[[#This Row],[Rate]]=""),"Missing","OK")</f>
        <v>OK</v>
      </c>
    </row>
    <row r="313" spans="1:9" x14ac:dyDescent="0.35">
      <c r="A313" t="s">
        <v>337</v>
      </c>
      <c r="B313" t="s">
        <v>30</v>
      </c>
      <c r="C313" t="s">
        <v>21</v>
      </c>
      <c r="D313">
        <v>326.62</v>
      </c>
      <c r="E313" t="s">
        <v>22</v>
      </c>
      <c r="F313">
        <v>2816</v>
      </c>
      <c r="G313">
        <f t="shared" si="6"/>
        <v>919761.92000000004</v>
      </c>
      <c r="H313" t="str">
        <f>IF(BOQ_Table[[#This Row],[Amount]]&gt;100000,"Over Budget","OK")</f>
        <v>Over Budget</v>
      </c>
      <c r="I313" t="str">
        <f>IF(OR(BOQ_Table[[#This Row],[Quantity]]="",BOQ_Table[[#This Row],[Rate]]=""),"Missing","OK")</f>
        <v>OK</v>
      </c>
    </row>
    <row r="314" spans="1:9" x14ac:dyDescent="0.35">
      <c r="A314" t="s">
        <v>338</v>
      </c>
      <c r="B314" t="s">
        <v>7</v>
      </c>
      <c r="C314" t="s">
        <v>21</v>
      </c>
      <c r="D314">
        <v>347.28</v>
      </c>
      <c r="E314" t="s">
        <v>14</v>
      </c>
      <c r="F314">
        <v>2457.66</v>
      </c>
      <c r="G314">
        <f t="shared" si="6"/>
        <v>853496.16479999991</v>
      </c>
      <c r="H314" t="str">
        <f>IF(BOQ_Table[[#This Row],[Amount]]&gt;100000,"Over Budget","OK")</f>
        <v>Over Budget</v>
      </c>
      <c r="I314" t="str">
        <f>IF(OR(BOQ_Table[[#This Row],[Quantity]]="",BOQ_Table[[#This Row],[Rate]]=""),"Missing","OK")</f>
        <v>OK</v>
      </c>
    </row>
    <row r="315" spans="1:9" x14ac:dyDescent="0.35">
      <c r="A315" t="s">
        <v>339</v>
      </c>
      <c r="B315" t="s">
        <v>7</v>
      </c>
      <c r="C315" t="s">
        <v>8</v>
      </c>
      <c r="D315">
        <v>261.76</v>
      </c>
      <c r="E315" t="s">
        <v>9</v>
      </c>
      <c r="F315">
        <v>283.88</v>
      </c>
      <c r="G315">
        <f t="shared" si="6"/>
        <v>74308.428799999994</v>
      </c>
      <c r="H315" t="str">
        <f>IF(BOQ_Table[[#This Row],[Amount]]&gt;100000,"Over Budget","OK")</f>
        <v>OK</v>
      </c>
      <c r="I315" t="str">
        <f>IF(OR(BOQ_Table[[#This Row],[Quantity]]="",BOQ_Table[[#This Row],[Rate]]=""),"Missing","OK")</f>
        <v>OK</v>
      </c>
    </row>
    <row r="316" spans="1:9" x14ac:dyDescent="0.35">
      <c r="A316" t="s">
        <v>340</v>
      </c>
      <c r="B316" t="s">
        <v>20</v>
      </c>
      <c r="C316" t="s">
        <v>21</v>
      </c>
      <c r="D316">
        <v>267.44</v>
      </c>
      <c r="E316" t="s">
        <v>27</v>
      </c>
      <c r="F316">
        <v>3132.75</v>
      </c>
      <c r="G316">
        <f t="shared" si="6"/>
        <v>837822.66</v>
      </c>
      <c r="H316" t="str">
        <f>IF(BOQ_Table[[#This Row],[Amount]]&gt;100000,"Over Budget","OK")</f>
        <v>Over Budget</v>
      </c>
      <c r="I316" t="str">
        <f>IF(OR(BOQ_Table[[#This Row],[Quantity]]="",BOQ_Table[[#This Row],[Rate]]=""),"Missing","OK")</f>
        <v>OK</v>
      </c>
    </row>
    <row r="317" spans="1:9" x14ac:dyDescent="0.35">
      <c r="A317" t="s">
        <v>341</v>
      </c>
      <c r="B317" t="s">
        <v>46</v>
      </c>
      <c r="C317" t="s">
        <v>8</v>
      </c>
      <c r="D317">
        <v>22.38</v>
      </c>
      <c r="E317" t="s">
        <v>9</v>
      </c>
      <c r="F317">
        <v>4070.74</v>
      </c>
      <c r="G317">
        <f t="shared" si="6"/>
        <v>91103.161199999988</v>
      </c>
      <c r="H317" t="str">
        <f>IF(BOQ_Table[[#This Row],[Amount]]&gt;100000,"Over Budget","OK")</f>
        <v>OK</v>
      </c>
      <c r="I317" t="str">
        <f>IF(OR(BOQ_Table[[#This Row],[Quantity]]="",BOQ_Table[[#This Row],[Rate]]=""),"Missing","OK")</f>
        <v>OK</v>
      </c>
    </row>
    <row r="318" spans="1:9" x14ac:dyDescent="0.35">
      <c r="A318" t="s">
        <v>342</v>
      </c>
      <c r="B318" t="s">
        <v>7</v>
      </c>
      <c r="C318" t="s">
        <v>38</v>
      </c>
      <c r="D318">
        <v>199.35</v>
      </c>
      <c r="E318" t="s">
        <v>14</v>
      </c>
      <c r="F318">
        <v>3892.24</v>
      </c>
      <c r="G318">
        <f t="shared" si="6"/>
        <v>775918.04399999988</v>
      </c>
      <c r="H318" t="str">
        <f>IF(BOQ_Table[[#This Row],[Amount]]&gt;100000,"Over Budget","OK")</f>
        <v>Over Budget</v>
      </c>
      <c r="I318" t="str">
        <f>IF(OR(BOQ_Table[[#This Row],[Quantity]]="",BOQ_Table[[#This Row],[Rate]]=""),"Missing","OK")</f>
        <v>OK</v>
      </c>
    </row>
    <row r="319" spans="1:9" x14ac:dyDescent="0.35">
      <c r="A319" t="s">
        <v>343</v>
      </c>
      <c r="B319" t="s">
        <v>40</v>
      </c>
      <c r="C319" t="s">
        <v>12</v>
      </c>
      <c r="D319">
        <v>149.76</v>
      </c>
      <c r="E319" t="s">
        <v>27</v>
      </c>
      <c r="F319">
        <v>4469.58</v>
      </c>
      <c r="G319">
        <f t="shared" si="6"/>
        <v>669364.30079999997</v>
      </c>
      <c r="H319" t="str">
        <f>IF(BOQ_Table[[#This Row],[Amount]]&gt;100000,"Over Budget","OK")</f>
        <v>Over Budget</v>
      </c>
      <c r="I319" t="str">
        <f>IF(OR(BOQ_Table[[#This Row],[Quantity]]="",BOQ_Table[[#This Row],[Rate]]=""),"Missing","OK")</f>
        <v>OK</v>
      </c>
    </row>
    <row r="320" spans="1:9" x14ac:dyDescent="0.35">
      <c r="A320" t="s">
        <v>344</v>
      </c>
      <c r="B320" t="s">
        <v>7</v>
      </c>
      <c r="C320" t="s">
        <v>38</v>
      </c>
      <c r="D320">
        <v>208.96</v>
      </c>
      <c r="E320" t="s">
        <v>22</v>
      </c>
      <c r="F320">
        <v>3634.07</v>
      </c>
      <c r="G320">
        <f t="shared" si="6"/>
        <v>759375.26720000012</v>
      </c>
      <c r="H320" t="str">
        <f>IF(BOQ_Table[[#This Row],[Amount]]&gt;100000,"Over Budget","OK")</f>
        <v>Over Budget</v>
      </c>
      <c r="I320" t="str">
        <f>IF(OR(BOQ_Table[[#This Row],[Quantity]]="",BOQ_Table[[#This Row],[Rate]]=""),"Missing","OK")</f>
        <v>OK</v>
      </c>
    </row>
    <row r="321" spans="1:9" x14ac:dyDescent="0.35">
      <c r="A321" t="s">
        <v>345</v>
      </c>
      <c r="B321" t="s">
        <v>32</v>
      </c>
      <c r="C321" t="s">
        <v>21</v>
      </c>
      <c r="D321">
        <v>283.91000000000003</v>
      </c>
      <c r="E321" t="s">
        <v>14</v>
      </c>
      <c r="F321">
        <v>2257.9</v>
      </c>
      <c r="G321">
        <f t="shared" si="6"/>
        <v>641040.38900000008</v>
      </c>
      <c r="H321" t="str">
        <f>IF(BOQ_Table[[#This Row],[Amount]]&gt;100000,"Over Budget","OK")</f>
        <v>Over Budget</v>
      </c>
      <c r="I321" t="str">
        <f>IF(OR(BOQ_Table[[#This Row],[Quantity]]="",BOQ_Table[[#This Row],[Rate]]=""),"Missing","OK")</f>
        <v>OK</v>
      </c>
    </row>
    <row r="322" spans="1:9" x14ac:dyDescent="0.35">
      <c r="A322" t="s">
        <v>346</v>
      </c>
      <c r="B322" t="s">
        <v>16</v>
      </c>
      <c r="C322" t="s">
        <v>21</v>
      </c>
      <c r="D322">
        <v>482.66</v>
      </c>
      <c r="E322" t="s">
        <v>27</v>
      </c>
      <c r="F322">
        <v>1751.61</v>
      </c>
      <c r="G322">
        <f t="shared" ref="G322:G385" si="7">D322*F322</f>
        <v>845432.08259999997</v>
      </c>
      <c r="H322" t="str">
        <f>IF(BOQ_Table[[#This Row],[Amount]]&gt;100000,"Over Budget","OK")</f>
        <v>Over Budget</v>
      </c>
      <c r="I322" t="str">
        <f>IF(OR(BOQ_Table[[#This Row],[Quantity]]="",BOQ_Table[[#This Row],[Rate]]=""),"Missing","OK")</f>
        <v>OK</v>
      </c>
    </row>
    <row r="323" spans="1:9" x14ac:dyDescent="0.35">
      <c r="A323" t="s">
        <v>347</v>
      </c>
      <c r="B323" t="s">
        <v>46</v>
      </c>
      <c r="C323" t="s">
        <v>17</v>
      </c>
      <c r="D323">
        <v>259.87</v>
      </c>
      <c r="E323" t="s">
        <v>14</v>
      </c>
      <c r="F323">
        <v>1831.83</v>
      </c>
      <c r="G323">
        <f t="shared" si="7"/>
        <v>476037.66210000002</v>
      </c>
      <c r="H323" t="str">
        <f>IF(BOQ_Table[[#This Row],[Amount]]&gt;100000,"Over Budget","OK")</f>
        <v>Over Budget</v>
      </c>
      <c r="I323" t="str">
        <f>IF(OR(BOQ_Table[[#This Row],[Quantity]]="",BOQ_Table[[#This Row],[Rate]]=""),"Missing","OK")</f>
        <v>OK</v>
      </c>
    </row>
    <row r="324" spans="1:9" x14ac:dyDescent="0.35">
      <c r="A324" t="s">
        <v>348</v>
      </c>
      <c r="B324" t="s">
        <v>32</v>
      </c>
      <c r="C324" t="s">
        <v>12</v>
      </c>
      <c r="D324">
        <v>206.12</v>
      </c>
      <c r="E324" t="s">
        <v>22</v>
      </c>
      <c r="F324">
        <v>1044.25</v>
      </c>
      <c r="G324">
        <f t="shared" si="7"/>
        <v>215240.81</v>
      </c>
      <c r="H324" t="str">
        <f>IF(BOQ_Table[[#This Row],[Amount]]&gt;100000,"Over Budget","OK")</f>
        <v>Over Budget</v>
      </c>
      <c r="I324" t="str">
        <f>IF(OR(BOQ_Table[[#This Row],[Quantity]]="",BOQ_Table[[#This Row],[Rate]]=""),"Missing","OK")</f>
        <v>OK</v>
      </c>
    </row>
    <row r="325" spans="1:9" x14ac:dyDescent="0.35">
      <c r="A325" t="s">
        <v>349</v>
      </c>
      <c r="B325" t="s">
        <v>46</v>
      </c>
      <c r="C325" t="s">
        <v>17</v>
      </c>
      <c r="D325">
        <v>386.57</v>
      </c>
      <c r="E325" t="s">
        <v>18</v>
      </c>
      <c r="F325">
        <v>4292.33</v>
      </c>
      <c r="G325">
        <f t="shared" si="7"/>
        <v>1659286.0081</v>
      </c>
      <c r="H325" t="str">
        <f>IF(BOQ_Table[[#This Row],[Amount]]&gt;100000,"Over Budget","OK")</f>
        <v>Over Budget</v>
      </c>
      <c r="I325" t="str">
        <f>IF(OR(BOQ_Table[[#This Row],[Quantity]]="",BOQ_Table[[#This Row],[Rate]]=""),"Missing","OK")</f>
        <v>OK</v>
      </c>
    </row>
    <row r="326" spans="1:9" x14ac:dyDescent="0.35">
      <c r="A326" t="s">
        <v>350</v>
      </c>
      <c r="B326" t="s">
        <v>20</v>
      </c>
      <c r="C326" t="s">
        <v>17</v>
      </c>
      <c r="D326">
        <v>405.2</v>
      </c>
      <c r="E326" t="s">
        <v>9</v>
      </c>
      <c r="F326">
        <v>264.69</v>
      </c>
      <c r="G326">
        <f t="shared" si="7"/>
        <v>107252.38799999999</v>
      </c>
      <c r="H326" t="str">
        <f>IF(BOQ_Table[[#This Row],[Amount]]&gt;100000,"Over Budget","OK")</f>
        <v>Over Budget</v>
      </c>
      <c r="I326" t="str">
        <f>IF(OR(BOQ_Table[[#This Row],[Quantity]]="",BOQ_Table[[#This Row],[Rate]]=""),"Missing","OK")</f>
        <v>OK</v>
      </c>
    </row>
    <row r="327" spans="1:9" x14ac:dyDescent="0.35">
      <c r="A327" t="s">
        <v>351</v>
      </c>
      <c r="B327" t="s">
        <v>46</v>
      </c>
      <c r="C327" t="s">
        <v>8</v>
      </c>
      <c r="D327">
        <v>79.459999999999994</v>
      </c>
      <c r="E327" t="s">
        <v>27</v>
      </c>
      <c r="F327">
        <v>3557.43</v>
      </c>
      <c r="G327">
        <f t="shared" si="7"/>
        <v>282673.38779999997</v>
      </c>
      <c r="H327" t="str">
        <f>IF(BOQ_Table[[#This Row],[Amount]]&gt;100000,"Over Budget","OK")</f>
        <v>Over Budget</v>
      </c>
      <c r="I327" t="str">
        <f>IF(OR(BOQ_Table[[#This Row],[Quantity]]="",BOQ_Table[[#This Row],[Rate]]=""),"Missing","OK")</f>
        <v>OK</v>
      </c>
    </row>
    <row r="328" spans="1:9" x14ac:dyDescent="0.35">
      <c r="A328" t="s">
        <v>352</v>
      </c>
      <c r="B328" t="s">
        <v>46</v>
      </c>
      <c r="C328" t="s">
        <v>12</v>
      </c>
      <c r="D328">
        <v>86.15</v>
      </c>
      <c r="E328" t="s">
        <v>18</v>
      </c>
      <c r="F328">
        <v>2789.12</v>
      </c>
      <c r="G328">
        <f t="shared" si="7"/>
        <v>240282.68799999999</v>
      </c>
      <c r="H328" t="str">
        <f>IF(BOQ_Table[[#This Row],[Amount]]&gt;100000,"Over Budget","OK")</f>
        <v>Over Budget</v>
      </c>
      <c r="I328" t="str">
        <f>IF(OR(BOQ_Table[[#This Row],[Quantity]]="",BOQ_Table[[#This Row],[Rate]]=""),"Missing","OK")</f>
        <v>OK</v>
      </c>
    </row>
    <row r="329" spans="1:9" x14ac:dyDescent="0.35">
      <c r="A329" t="s">
        <v>353</v>
      </c>
      <c r="B329" t="s">
        <v>20</v>
      </c>
      <c r="C329" t="s">
        <v>38</v>
      </c>
      <c r="D329">
        <v>12.64</v>
      </c>
      <c r="E329" t="s">
        <v>22</v>
      </c>
      <c r="F329">
        <v>157.94999999999999</v>
      </c>
      <c r="G329">
        <f t="shared" si="7"/>
        <v>1996.4880000000001</v>
      </c>
      <c r="H329" t="str">
        <f>IF(BOQ_Table[[#This Row],[Amount]]&gt;100000,"Over Budget","OK")</f>
        <v>OK</v>
      </c>
      <c r="I329" t="str">
        <f>IF(OR(BOQ_Table[[#This Row],[Quantity]]="",BOQ_Table[[#This Row],[Rate]]=""),"Missing","OK")</f>
        <v>OK</v>
      </c>
    </row>
    <row r="330" spans="1:9" x14ac:dyDescent="0.35">
      <c r="A330" t="s">
        <v>354</v>
      </c>
      <c r="B330" t="s">
        <v>11</v>
      </c>
      <c r="C330" t="s">
        <v>8</v>
      </c>
      <c r="D330">
        <v>433.63</v>
      </c>
      <c r="E330" t="s">
        <v>22</v>
      </c>
      <c r="F330">
        <v>2504.8000000000002</v>
      </c>
      <c r="G330">
        <f t="shared" si="7"/>
        <v>1086156.4240000001</v>
      </c>
      <c r="H330" t="str">
        <f>IF(BOQ_Table[[#This Row],[Amount]]&gt;100000,"Over Budget","OK")</f>
        <v>Over Budget</v>
      </c>
      <c r="I330" t="str">
        <f>IF(OR(BOQ_Table[[#This Row],[Quantity]]="",BOQ_Table[[#This Row],[Rate]]=""),"Missing","OK")</f>
        <v>OK</v>
      </c>
    </row>
    <row r="331" spans="1:9" x14ac:dyDescent="0.35">
      <c r="A331" t="s">
        <v>355</v>
      </c>
      <c r="B331" t="s">
        <v>7</v>
      </c>
      <c r="C331" t="s">
        <v>38</v>
      </c>
      <c r="D331">
        <v>23.96</v>
      </c>
      <c r="E331" t="s">
        <v>22</v>
      </c>
      <c r="F331">
        <v>2507.17</v>
      </c>
      <c r="G331">
        <f t="shared" si="7"/>
        <v>60071.793200000007</v>
      </c>
      <c r="H331" t="str">
        <f>IF(BOQ_Table[[#This Row],[Amount]]&gt;100000,"Over Budget","OK")</f>
        <v>OK</v>
      </c>
      <c r="I331" t="str">
        <f>IF(OR(BOQ_Table[[#This Row],[Quantity]]="",BOQ_Table[[#This Row],[Rate]]=""),"Missing","OK")</f>
        <v>OK</v>
      </c>
    </row>
    <row r="332" spans="1:9" x14ac:dyDescent="0.35">
      <c r="A332" t="s">
        <v>356</v>
      </c>
      <c r="B332" t="s">
        <v>7</v>
      </c>
      <c r="C332" t="s">
        <v>17</v>
      </c>
      <c r="D332">
        <v>138.44999999999999</v>
      </c>
      <c r="E332" t="s">
        <v>9</v>
      </c>
      <c r="F332">
        <v>1427.42</v>
      </c>
      <c r="G332">
        <f t="shared" si="7"/>
        <v>197626.299</v>
      </c>
      <c r="H332" t="str">
        <f>IF(BOQ_Table[[#This Row],[Amount]]&gt;100000,"Over Budget","OK")</f>
        <v>Over Budget</v>
      </c>
      <c r="I332" t="str">
        <f>IF(OR(BOQ_Table[[#This Row],[Quantity]]="",BOQ_Table[[#This Row],[Rate]]=""),"Missing","OK")</f>
        <v>OK</v>
      </c>
    </row>
    <row r="333" spans="1:9" x14ac:dyDescent="0.35">
      <c r="A333" t="s">
        <v>357</v>
      </c>
      <c r="B333" t="s">
        <v>46</v>
      </c>
      <c r="C333" t="s">
        <v>17</v>
      </c>
      <c r="D333">
        <v>10.38</v>
      </c>
      <c r="E333" t="s">
        <v>9</v>
      </c>
      <c r="F333">
        <v>4661.63</v>
      </c>
      <c r="G333">
        <f t="shared" si="7"/>
        <v>48387.719400000002</v>
      </c>
      <c r="H333" t="str">
        <f>IF(BOQ_Table[[#This Row],[Amount]]&gt;100000,"Over Budget","OK")</f>
        <v>OK</v>
      </c>
      <c r="I333" t="str">
        <f>IF(OR(BOQ_Table[[#This Row],[Quantity]]="",BOQ_Table[[#This Row],[Rate]]=""),"Missing","OK")</f>
        <v>OK</v>
      </c>
    </row>
    <row r="334" spans="1:9" x14ac:dyDescent="0.35">
      <c r="A334" t="s">
        <v>358</v>
      </c>
      <c r="B334" t="s">
        <v>7</v>
      </c>
      <c r="C334" t="s">
        <v>17</v>
      </c>
      <c r="D334">
        <v>487.46</v>
      </c>
      <c r="E334" t="s">
        <v>27</v>
      </c>
      <c r="F334">
        <v>3209.8</v>
      </c>
      <c r="G334">
        <f t="shared" si="7"/>
        <v>1564649.108</v>
      </c>
      <c r="H334" t="str">
        <f>IF(BOQ_Table[[#This Row],[Amount]]&gt;100000,"Over Budget","OK")</f>
        <v>Over Budget</v>
      </c>
      <c r="I334" t="str">
        <f>IF(OR(BOQ_Table[[#This Row],[Quantity]]="",BOQ_Table[[#This Row],[Rate]]=""),"Missing","OK")</f>
        <v>OK</v>
      </c>
    </row>
    <row r="335" spans="1:9" x14ac:dyDescent="0.35">
      <c r="A335" t="s">
        <v>359</v>
      </c>
      <c r="B335" t="s">
        <v>40</v>
      </c>
      <c r="C335" t="s">
        <v>21</v>
      </c>
      <c r="D335">
        <v>97.09</v>
      </c>
      <c r="E335" t="s">
        <v>18</v>
      </c>
      <c r="F335">
        <v>100.73</v>
      </c>
      <c r="G335">
        <f t="shared" si="7"/>
        <v>9779.8757000000005</v>
      </c>
      <c r="H335" t="str">
        <f>IF(BOQ_Table[[#This Row],[Amount]]&gt;100000,"Over Budget","OK")</f>
        <v>OK</v>
      </c>
      <c r="I335" t="str">
        <f>IF(OR(BOQ_Table[[#This Row],[Quantity]]="",BOQ_Table[[#This Row],[Rate]]=""),"Missing","OK")</f>
        <v>OK</v>
      </c>
    </row>
    <row r="336" spans="1:9" x14ac:dyDescent="0.35">
      <c r="A336" t="s">
        <v>360</v>
      </c>
      <c r="B336" t="s">
        <v>16</v>
      </c>
      <c r="C336" t="s">
        <v>17</v>
      </c>
      <c r="D336">
        <v>467.41</v>
      </c>
      <c r="E336" t="s">
        <v>27</v>
      </c>
      <c r="F336">
        <v>2815.79</v>
      </c>
      <c r="G336">
        <f t="shared" si="7"/>
        <v>1316128.4039</v>
      </c>
      <c r="H336" t="str">
        <f>IF(BOQ_Table[[#This Row],[Amount]]&gt;100000,"Over Budget","OK")</f>
        <v>Over Budget</v>
      </c>
      <c r="I336" t="str">
        <f>IF(OR(BOQ_Table[[#This Row],[Quantity]]="",BOQ_Table[[#This Row],[Rate]]=""),"Missing","OK")</f>
        <v>OK</v>
      </c>
    </row>
    <row r="337" spans="1:9" x14ac:dyDescent="0.35">
      <c r="A337" t="s">
        <v>361</v>
      </c>
      <c r="B337" t="s">
        <v>16</v>
      </c>
      <c r="C337" t="s">
        <v>38</v>
      </c>
      <c r="D337">
        <v>149.47</v>
      </c>
      <c r="E337" t="s">
        <v>14</v>
      </c>
      <c r="F337">
        <v>4726.32</v>
      </c>
      <c r="G337">
        <f t="shared" si="7"/>
        <v>706443.05039999995</v>
      </c>
      <c r="H337" t="str">
        <f>IF(BOQ_Table[[#This Row],[Amount]]&gt;100000,"Over Budget","OK")</f>
        <v>Over Budget</v>
      </c>
      <c r="I337" t="str">
        <f>IF(OR(BOQ_Table[[#This Row],[Quantity]]="",BOQ_Table[[#This Row],[Rate]]=""),"Missing","OK")</f>
        <v>OK</v>
      </c>
    </row>
    <row r="338" spans="1:9" x14ac:dyDescent="0.35">
      <c r="A338" t="s">
        <v>362</v>
      </c>
      <c r="B338" t="s">
        <v>40</v>
      </c>
      <c r="C338" t="s">
        <v>8</v>
      </c>
      <c r="D338">
        <v>394.47</v>
      </c>
      <c r="E338" t="s">
        <v>9</v>
      </c>
      <c r="F338">
        <v>2777.05</v>
      </c>
      <c r="G338">
        <f t="shared" si="7"/>
        <v>1095462.9135000003</v>
      </c>
      <c r="H338" t="str">
        <f>IF(BOQ_Table[[#This Row],[Amount]]&gt;100000,"Over Budget","OK")</f>
        <v>Over Budget</v>
      </c>
      <c r="I338" t="str">
        <f>IF(OR(BOQ_Table[[#This Row],[Quantity]]="",BOQ_Table[[#This Row],[Rate]]=""),"Missing","OK")</f>
        <v>OK</v>
      </c>
    </row>
    <row r="339" spans="1:9" x14ac:dyDescent="0.35">
      <c r="A339" t="s">
        <v>363</v>
      </c>
      <c r="B339" t="s">
        <v>40</v>
      </c>
      <c r="C339" t="s">
        <v>38</v>
      </c>
      <c r="D339">
        <v>212.87</v>
      </c>
      <c r="E339" t="s">
        <v>18</v>
      </c>
      <c r="F339">
        <v>1801.79</v>
      </c>
      <c r="G339">
        <f t="shared" si="7"/>
        <v>383547.03730000003</v>
      </c>
      <c r="H339" t="str">
        <f>IF(BOQ_Table[[#This Row],[Amount]]&gt;100000,"Over Budget","OK")</f>
        <v>Over Budget</v>
      </c>
      <c r="I339" t="str">
        <f>IF(OR(BOQ_Table[[#This Row],[Quantity]]="",BOQ_Table[[#This Row],[Rate]]=""),"Missing","OK")</f>
        <v>OK</v>
      </c>
    </row>
    <row r="340" spans="1:9" x14ac:dyDescent="0.35">
      <c r="A340" t="s">
        <v>364</v>
      </c>
      <c r="B340" t="s">
        <v>7</v>
      </c>
      <c r="C340" t="s">
        <v>8</v>
      </c>
      <c r="D340">
        <v>229.01</v>
      </c>
      <c r="E340" t="s">
        <v>14</v>
      </c>
      <c r="F340">
        <v>4242.96</v>
      </c>
      <c r="G340">
        <f t="shared" si="7"/>
        <v>971680.2696</v>
      </c>
      <c r="H340" t="str">
        <f>IF(BOQ_Table[[#This Row],[Amount]]&gt;100000,"Over Budget","OK")</f>
        <v>Over Budget</v>
      </c>
      <c r="I340" t="str">
        <f>IF(OR(BOQ_Table[[#This Row],[Quantity]]="",BOQ_Table[[#This Row],[Rate]]=""),"Missing","OK")</f>
        <v>OK</v>
      </c>
    </row>
    <row r="341" spans="1:9" x14ac:dyDescent="0.35">
      <c r="A341" t="s">
        <v>365</v>
      </c>
      <c r="B341" t="s">
        <v>30</v>
      </c>
      <c r="C341" t="s">
        <v>8</v>
      </c>
      <c r="D341">
        <v>230.31</v>
      </c>
      <c r="E341" t="s">
        <v>9</v>
      </c>
      <c r="F341">
        <v>3376.83</v>
      </c>
      <c r="G341">
        <f t="shared" si="7"/>
        <v>777717.71730000002</v>
      </c>
      <c r="H341" t="str">
        <f>IF(BOQ_Table[[#This Row],[Amount]]&gt;100000,"Over Budget","OK")</f>
        <v>Over Budget</v>
      </c>
      <c r="I341" t="str">
        <f>IF(OR(BOQ_Table[[#This Row],[Quantity]]="",BOQ_Table[[#This Row],[Rate]]=""),"Missing","OK")</f>
        <v>OK</v>
      </c>
    </row>
    <row r="342" spans="1:9" x14ac:dyDescent="0.35">
      <c r="A342" t="s">
        <v>366</v>
      </c>
      <c r="B342" t="s">
        <v>7</v>
      </c>
      <c r="C342" t="s">
        <v>17</v>
      </c>
      <c r="D342">
        <v>430.99</v>
      </c>
      <c r="E342" t="s">
        <v>27</v>
      </c>
      <c r="F342">
        <v>2220.61</v>
      </c>
      <c r="G342">
        <f t="shared" si="7"/>
        <v>957060.70390000008</v>
      </c>
      <c r="H342" t="str">
        <f>IF(BOQ_Table[[#This Row],[Amount]]&gt;100000,"Over Budget","OK")</f>
        <v>Over Budget</v>
      </c>
      <c r="I342" t="str">
        <f>IF(OR(BOQ_Table[[#This Row],[Quantity]]="",BOQ_Table[[#This Row],[Rate]]=""),"Missing","OK")</f>
        <v>OK</v>
      </c>
    </row>
    <row r="343" spans="1:9" x14ac:dyDescent="0.35">
      <c r="A343" t="s">
        <v>367</v>
      </c>
      <c r="B343" t="s">
        <v>56</v>
      </c>
      <c r="C343" t="s">
        <v>17</v>
      </c>
      <c r="D343">
        <v>90.2</v>
      </c>
      <c r="E343" t="s">
        <v>22</v>
      </c>
      <c r="F343">
        <v>2851.48</v>
      </c>
      <c r="G343">
        <f t="shared" si="7"/>
        <v>257203.49600000001</v>
      </c>
      <c r="H343" t="str">
        <f>IF(BOQ_Table[[#This Row],[Amount]]&gt;100000,"Over Budget","OK")</f>
        <v>Over Budget</v>
      </c>
      <c r="I343" t="str">
        <f>IF(OR(BOQ_Table[[#This Row],[Quantity]]="",BOQ_Table[[#This Row],[Rate]]=""),"Missing","OK")</f>
        <v>OK</v>
      </c>
    </row>
    <row r="344" spans="1:9" x14ac:dyDescent="0.35">
      <c r="A344" t="s">
        <v>368</v>
      </c>
      <c r="B344" t="s">
        <v>42</v>
      </c>
      <c r="C344" t="s">
        <v>17</v>
      </c>
      <c r="D344">
        <v>128.69999999999999</v>
      </c>
      <c r="E344" t="s">
        <v>27</v>
      </c>
      <c r="F344">
        <v>2094.19</v>
      </c>
      <c r="G344">
        <f t="shared" si="7"/>
        <v>269522.25299999997</v>
      </c>
      <c r="H344" t="str">
        <f>IF(BOQ_Table[[#This Row],[Amount]]&gt;100000,"Over Budget","OK")</f>
        <v>Over Budget</v>
      </c>
      <c r="I344" t="str">
        <f>IF(OR(BOQ_Table[[#This Row],[Quantity]]="",BOQ_Table[[#This Row],[Rate]]=""),"Missing","OK")</f>
        <v>OK</v>
      </c>
    </row>
    <row r="345" spans="1:9" x14ac:dyDescent="0.35">
      <c r="A345" t="s">
        <v>369</v>
      </c>
      <c r="B345" t="s">
        <v>7</v>
      </c>
      <c r="C345" t="s">
        <v>38</v>
      </c>
      <c r="D345">
        <v>247.62</v>
      </c>
      <c r="E345" t="s">
        <v>18</v>
      </c>
      <c r="F345">
        <v>1096.6199999999999</v>
      </c>
      <c r="G345">
        <f t="shared" si="7"/>
        <v>271545.04439999996</v>
      </c>
      <c r="H345" t="str">
        <f>IF(BOQ_Table[[#This Row],[Amount]]&gt;100000,"Over Budget","OK")</f>
        <v>Over Budget</v>
      </c>
      <c r="I345" t="str">
        <f>IF(OR(BOQ_Table[[#This Row],[Quantity]]="",BOQ_Table[[#This Row],[Rate]]=""),"Missing","OK")</f>
        <v>OK</v>
      </c>
    </row>
    <row r="346" spans="1:9" x14ac:dyDescent="0.35">
      <c r="A346" t="s">
        <v>370</v>
      </c>
      <c r="B346" t="s">
        <v>56</v>
      </c>
      <c r="C346" t="s">
        <v>38</v>
      </c>
      <c r="D346">
        <v>61.8</v>
      </c>
      <c r="E346" t="s">
        <v>18</v>
      </c>
      <c r="F346">
        <v>2354.37</v>
      </c>
      <c r="G346">
        <f t="shared" si="7"/>
        <v>145500.06599999999</v>
      </c>
      <c r="H346" t="str">
        <f>IF(BOQ_Table[[#This Row],[Amount]]&gt;100000,"Over Budget","OK")</f>
        <v>Over Budget</v>
      </c>
      <c r="I346" t="str">
        <f>IF(OR(BOQ_Table[[#This Row],[Quantity]]="",BOQ_Table[[#This Row],[Rate]]=""),"Missing","OK")</f>
        <v>OK</v>
      </c>
    </row>
    <row r="347" spans="1:9" x14ac:dyDescent="0.35">
      <c r="A347" t="s">
        <v>371</v>
      </c>
      <c r="B347" t="s">
        <v>16</v>
      </c>
      <c r="C347" t="s">
        <v>21</v>
      </c>
      <c r="D347">
        <v>423.56</v>
      </c>
      <c r="E347" t="s">
        <v>22</v>
      </c>
      <c r="F347">
        <v>2078.04</v>
      </c>
      <c r="G347">
        <f t="shared" si="7"/>
        <v>880174.62239999999</v>
      </c>
      <c r="H347" t="str">
        <f>IF(BOQ_Table[[#This Row],[Amount]]&gt;100000,"Over Budget","OK")</f>
        <v>Over Budget</v>
      </c>
      <c r="I347" t="str">
        <f>IF(OR(BOQ_Table[[#This Row],[Quantity]]="",BOQ_Table[[#This Row],[Rate]]=""),"Missing","OK")</f>
        <v>OK</v>
      </c>
    </row>
    <row r="348" spans="1:9" x14ac:dyDescent="0.35">
      <c r="A348" t="s">
        <v>372</v>
      </c>
      <c r="B348" t="s">
        <v>46</v>
      </c>
      <c r="C348" t="s">
        <v>38</v>
      </c>
      <c r="D348">
        <v>63.63</v>
      </c>
      <c r="E348" t="s">
        <v>14</v>
      </c>
      <c r="F348">
        <v>4472.82</v>
      </c>
      <c r="G348">
        <f t="shared" si="7"/>
        <v>284605.53659999999</v>
      </c>
      <c r="H348" t="str">
        <f>IF(BOQ_Table[[#This Row],[Amount]]&gt;100000,"Over Budget","OK")</f>
        <v>Over Budget</v>
      </c>
      <c r="I348" t="str">
        <f>IF(OR(BOQ_Table[[#This Row],[Quantity]]="",BOQ_Table[[#This Row],[Rate]]=""),"Missing","OK")</f>
        <v>OK</v>
      </c>
    </row>
    <row r="349" spans="1:9" x14ac:dyDescent="0.35">
      <c r="A349" t="s">
        <v>373</v>
      </c>
      <c r="B349" t="s">
        <v>16</v>
      </c>
      <c r="C349" t="s">
        <v>38</v>
      </c>
      <c r="D349">
        <v>359</v>
      </c>
      <c r="E349" t="s">
        <v>14</v>
      </c>
      <c r="F349">
        <v>2987.06</v>
      </c>
      <c r="G349">
        <f t="shared" si="7"/>
        <v>1072354.54</v>
      </c>
      <c r="H349" t="str">
        <f>IF(BOQ_Table[[#This Row],[Amount]]&gt;100000,"Over Budget","OK")</f>
        <v>Over Budget</v>
      </c>
      <c r="I349" t="str">
        <f>IF(OR(BOQ_Table[[#This Row],[Quantity]]="",BOQ_Table[[#This Row],[Rate]]=""),"Missing","OK")</f>
        <v>OK</v>
      </c>
    </row>
    <row r="350" spans="1:9" x14ac:dyDescent="0.35">
      <c r="A350" t="s">
        <v>374</v>
      </c>
      <c r="B350" t="s">
        <v>42</v>
      </c>
      <c r="C350" t="s">
        <v>12</v>
      </c>
      <c r="D350">
        <v>410.83</v>
      </c>
      <c r="E350" t="s">
        <v>22</v>
      </c>
      <c r="F350">
        <v>4176.29</v>
      </c>
      <c r="G350">
        <f t="shared" si="7"/>
        <v>1715745.2206999999</v>
      </c>
      <c r="H350" t="str">
        <f>IF(BOQ_Table[[#This Row],[Amount]]&gt;100000,"Over Budget","OK")</f>
        <v>Over Budget</v>
      </c>
      <c r="I350" t="str">
        <f>IF(OR(BOQ_Table[[#This Row],[Quantity]]="",BOQ_Table[[#This Row],[Rate]]=""),"Missing","OK")</f>
        <v>OK</v>
      </c>
    </row>
    <row r="351" spans="1:9" x14ac:dyDescent="0.35">
      <c r="A351" t="s">
        <v>375</v>
      </c>
      <c r="B351" t="s">
        <v>11</v>
      </c>
      <c r="C351" t="s">
        <v>38</v>
      </c>
      <c r="D351">
        <v>162.74</v>
      </c>
      <c r="E351" t="s">
        <v>9</v>
      </c>
      <c r="F351">
        <v>2950.93</v>
      </c>
      <c r="G351">
        <f t="shared" si="7"/>
        <v>480234.34820000001</v>
      </c>
      <c r="H351" t="str">
        <f>IF(BOQ_Table[[#This Row],[Amount]]&gt;100000,"Over Budget","OK")</f>
        <v>Over Budget</v>
      </c>
      <c r="I351" t="str">
        <f>IF(OR(BOQ_Table[[#This Row],[Quantity]]="",BOQ_Table[[#This Row],[Rate]]=""),"Missing","OK")</f>
        <v>OK</v>
      </c>
    </row>
    <row r="352" spans="1:9" x14ac:dyDescent="0.35">
      <c r="A352" t="s">
        <v>376</v>
      </c>
      <c r="B352" t="s">
        <v>32</v>
      </c>
      <c r="C352" t="s">
        <v>21</v>
      </c>
      <c r="D352">
        <v>364.38</v>
      </c>
      <c r="E352" t="s">
        <v>18</v>
      </c>
      <c r="F352">
        <v>500.95</v>
      </c>
      <c r="G352">
        <f t="shared" si="7"/>
        <v>182536.16099999999</v>
      </c>
      <c r="H352" t="str">
        <f>IF(BOQ_Table[[#This Row],[Amount]]&gt;100000,"Over Budget","OK")</f>
        <v>Over Budget</v>
      </c>
      <c r="I352" t="str">
        <f>IF(OR(BOQ_Table[[#This Row],[Quantity]]="",BOQ_Table[[#This Row],[Rate]]=""),"Missing","OK")</f>
        <v>OK</v>
      </c>
    </row>
    <row r="353" spans="1:9" x14ac:dyDescent="0.35">
      <c r="A353" t="s">
        <v>377</v>
      </c>
      <c r="B353" t="s">
        <v>20</v>
      </c>
      <c r="C353" t="s">
        <v>8</v>
      </c>
      <c r="D353">
        <v>48.27</v>
      </c>
      <c r="E353" t="s">
        <v>22</v>
      </c>
      <c r="F353">
        <v>375.96</v>
      </c>
      <c r="G353">
        <f t="shared" si="7"/>
        <v>18147.589199999999</v>
      </c>
      <c r="H353" t="str">
        <f>IF(BOQ_Table[[#This Row],[Amount]]&gt;100000,"Over Budget","OK")</f>
        <v>OK</v>
      </c>
      <c r="I353" t="str">
        <f>IF(OR(BOQ_Table[[#This Row],[Quantity]]="",BOQ_Table[[#This Row],[Rate]]=""),"Missing","OK")</f>
        <v>OK</v>
      </c>
    </row>
    <row r="354" spans="1:9" x14ac:dyDescent="0.35">
      <c r="A354" t="s">
        <v>378</v>
      </c>
      <c r="B354" t="s">
        <v>30</v>
      </c>
      <c r="C354" t="s">
        <v>21</v>
      </c>
      <c r="D354">
        <v>163.02000000000001</v>
      </c>
      <c r="E354" t="s">
        <v>9</v>
      </c>
      <c r="F354">
        <v>4555.3999999999996</v>
      </c>
      <c r="G354">
        <f t="shared" si="7"/>
        <v>742621.30799999996</v>
      </c>
      <c r="H354" t="str">
        <f>IF(BOQ_Table[[#This Row],[Amount]]&gt;100000,"Over Budget","OK")</f>
        <v>Over Budget</v>
      </c>
      <c r="I354" t="str">
        <f>IF(OR(BOQ_Table[[#This Row],[Quantity]]="",BOQ_Table[[#This Row],[Rate]]=""),"Missing","OK")</f>
        <v>OK</v>
      </c>
    </row>
    <row r="355" spans="1:9" x14ac:dyDescent="0.35">
      <c r="A355" t="s">
        <v>379</v>
      </c>
      <c r="B355" t="s">
        <v>7</v>
      </c>
      <c r="C355" t="s">
        <v>38</v>
      </c>
      <c r="D355">
        <v>130.25</v>
      </c>
      <c r="E355" t="s">
        <v>14</v>
      </c>
      <c r="F355">
        <v>1683.86</v>
      </c>
      <c r="G355">
        <f t="shared" si="7"/>
        <v>219322.76499999998</v>
      </c>
      <c r="H355" t="str">
        <f>IF(BOQ_Table[[#This Row],[Amount]]&gt;100000,"Over Budget","OK")</f>
        <v>Over Budget</v>
      </c>
      <c r="I355" t="str">
        <f>IF(OR(BOQ_Table[[#This Row],[Quantity]]="",BOQ_Table[[#This Row],[Rate]]=""),"Missing","OK")</f>
        <v>OK</v>
      </c>
    </row>
    <row r="356" spans="1:9" x14ac:dyDescent="0.35">
      <c r="A356" t="s">
        <v>380</v>
      </c>
      <c r="B356" t="s">
        <v>42</v>
      </c>
      <c r="C356" t="s">
        <v>17</v>
      </c>
      <c r="D356">
        <v>56.7</v>
      </c>
      <c r="E356" t="s">
        <v>18</v>
      </c>
      <c r="F356">
        <v>4021.11</v>
      </c>
      <c r="G356">
        <f t="shared" si="7"/>
        <v>227996.93700000001</v>
      </c>
      <c r="H356" t="str">
        <f>IF(BOQ_Table[[#This Row],[Amount]]&gt;100000,"Over Budget","OK")</f>
        <v>Over Budget</v>
      </c>
      <c r="I356" t="str">
        <f>IF(OR(BOQ_Table[[#This Row],[Quantity]]="",BOQ_Table[[#This Row],[Rate]]=""),"Missing","OK")</f>
        <v>OK</v>
      </c>
    </row>
    <row r="357" spans="1:9" x14ac:dyDescent="0.35">
      <c r="A357" t="s">
        <v>381</v>
      </c>
      <c r="B357" t="s">
        <v>11</v>
      </c>
      <c r="C357" t="s">
        <v>8</v>
      </c>
      <c r="D357">
        <v>206.7</v>
      </c>
      <c r="E357" t="s">
        <v>22</v>
      </c>
      <c r="F357">
        <v>775.24</v>
      </c>
      <c r="G357">
        <f t="shared" si="7"/>
        <v>160242.10800000001</v>
      </c>
      <c r="H357" t="str">
        <f>IF(BOQ_Table[[#This Row],[Amount]]&gt;100000,"Over Budget","OK")</f>
        <v>Over Budget</v>
      </c>
      <c r="I357" t="str">
        <f>IF(OR(BOQ_Table[[#This Row],[Quantity]]="",BOQ_Table[[#This Row],[Rate]]=""),"Missing","OK")</f>
        <v>OK</v>
      </c>
    </row>
    <row r="358" spans="1:9" x14ac:dyDescent="0.35">
      <c r="A358" t="s">
        <v>382</v>
      </c>
      <c r="B358" t="s">
        <v>40</v>
      </c>
      <c r="C358" t="s">
        <v>38</v>
      </c>
      <c r="D358">
        <v>394.47</v>
      </c>
      <c r="E358" t="s">
        <v>9</v>
      </c>
      <c r="F358">
        <v>2467.84</v>
      </c>
      <c r="G358">
        <f t="shared" si="7"/>
        <v>973488.84480000008</v>
      </c>
      <c r="H358" t="str">
        <f>IF(BOQ_Table[[#This Row],[Amount]]&gt;100000,"Over Budget","OK")</f>
        <v>Over Budget</v>
      </c>
      <c r="I358" t="str">
        <f>IF(OR(BOQ_Table[[#This Row],[Quantity]]="",BOQ_Table[[#This Row],[Rate]]=""),"Missing","OK")</f>
        <v>OK</v>
      </c>
    </row>
    <row r="359" spans="1:9" x14ac:dyDescent="0.35">
      <c r="A359" t="s">
        <v>383</v>
      </c>
      <c r="B359" t="s">
        <v>7</v>
      </c>
      <c r="C359" t="s">
        <v>17</v>
      </c>
      <c r="D359">
        <v>201.42</v>
      </c>
      <c r="E359" t="s">
        <v>27</v>
      </c>
      <c r="F359">
        <v>2621.42</v>
      </c>
      <c r="G359">
        <f t="shared" si="7"/>
        <v>528006.41639999999</v>
      </c>
      <c r="H359" t="str">
        <f>IF(BOQ_Table[[#This Row],[Amount]]&gt;100000,"Over Budget","OK")</f>
        <v>Over Budget</v>
      </c>
      <c r="I359" t="str">
        <f>IF(OR(BOQ_Table[[#This Row],[Quantity]]="",BOQ_Table[[#This Row],[Rate]]=""),"Missing","OK")</f>
        <v>OK</v>
      </c>
    </row>
    <row r="360" spans="1:9" x14ac:dyDescent="0.35">
      <c r="A360" t="s">
        <v>384</v>
      </c>
      <c r="B360" t="s">
        <v>42</v>
      </c>
      <c r="C360" t="s">
        <v>17</v>
      </c>
      <c r="D360">
        <v>457.94</v>
      </c>
      <c r="E360" t="s">
        <v>27</v>
      </c>
      <c r="F360">
        <v>1390.94</v>
      </c>
      <c r="G360">
        <f t="shared" si="7"/>
        <v>636967.06359999999</v>
      </c>
      <c r="H360" t="str">
        <f>IF(BOQ_Table[[#This Row],[Amount]]&gt;100000,"Over Budget","OK")</f>
        <v>Over Budget</v>
      </c>
      <c r="I360" t="str">
        <f>IF(OR(BOQ_Table[[#This Row],[Quantity]]="",BOQ_Table[[#This Row],[Rate]]=""),"Missing","OK")</f>
        <v>OK</v>
      </c>
    </row>
    <row r="361" spans="1:9" x14ac:dyDescent="0.35">
      <c r="A361" t="s">
        <v>385</v>
      </c>
      <c r="B361" t="s">
        <v>7</v>
      </c>
      <c r="C361" t="s">
        <v>8</v>
      </c>
      <c r="D361">
        <v>33.130000000000003</v>
      </c>
      <c r="E361" t="s">
        <v>18</v>
      </c>
      <c r="F361">
        <v>854.69</v>
      </c>
      <c r="G361">
        <f t="shared" si="7"/>
        <v>28315.879700000005</v>
      </c>
      <c r="H361" t="str">
        <f>IF(BOQ_Table[[#This Row],[Amount]]&gt;100000,"Over Budget","OK")</f>
        <v>OK</v>
      </c>
      <c r="I361" t="str">
        <f>IF(OR(BOQ_Table[[#This Row],[Quantity]]="",BOQ_Table[[#This Row],[Rate]]=""),"Missing","OK")</f>
        <v>OK</v>
      </c>
    </row>
    <row r="362" spans="1:9" x14ac:dyDescent="0.35">
      <c r="A362" t="s">
        <v>386</v>
      </c>
      <c r="B362" t="s">
        <v>30</v>
      </c>
      <c r="C362" t="s">
        <v>8</v>
      </c>
      <c r="D362">
        <v>350.22</v>
      </c>
      <c r="E362" t="s">
        <v>27</v>
      </c>
      <c r="F362">
        <v>3886.29</v>
      </c>
      <c r="G362">
        <f t="shared" si="7"/>
        <v>1361056.4838</v>
      </c>
      <c r="H362" t="str">
        <f>IF(BOQ_Table[[#This Row],[Amount]]&gt;100000,"Over Budget","OK")</f>
        <v>Over Budget</v>
      </c>
      <c r="I362" t="str">
        <f>IF(OR(BOQ_Table[[#This Row],[Quantity]]="",BOQ_Table[[#This Row],[Rate]]=""),"Missing","OK")</f>
        <v>OK</v>
      </c>
    </row>
    <row r="363" spans="1:9" x14ac:dyDescent="0.35">
      <c r="A363" t="s">
        <v>387</v>
      </c>
      <c r="B363" t="s">
        <v>46</v>
      </c>
      <c r="C363" t="s">
        <v>12</v>
      </c>
      <c r="D363">
        <v>425.9</v>
      </c>
      <c r="E363" t="s">
        <v>22</v>
      </c>
      <c r="F363">
        <v>918.39</v>
      </c>
      <c r="G363">
        <f t="shared" si="7"/>
        <v>391142.30099999998</v>
      </c>
      <c r="H363" t="str">
        <f>IF(BOQ_Table[[#This Row],[Amount]]&gt;100000,"Over Budget","OK")</f>
        <v>Over Budget</v>
      </c>
      <c r="I363" t="str">
        <f>IF(OR(BOQ_Table[[#This Row],[Quantity]]="",BOQ_Table[[#This Row],[Rate]]=""),"Missing","OK")</f>
        <v>OK</v>
      </c>
    </row>
    <row r="364" spans="1:9" x14ac:dyDescent="0.35">
      <c r="A364" t="s">
        <v>388</v>
      </c>
      <c r="B364" t="s">
        <v>20</v>
      </c>
      <c r="C364" t="s">
        <v>17</v>
      </c>
      <c r="D364">
        <v>443.76</v>
      </c>
      <c r="E364" t="s">
        <v>9</v>
      </c>
      <c r="F364">
        <v>1791.56</v>
      </c>
      <c r="G364">
        <f t="shared" si="7"/>
        <v>795022.66559999995</v>
      </c>
      <c r="H364" t="str">
        <f>IF(BOQ_Table[[#This Row],[Amount]]&gt;100000,"Over Budget","OK")</f>
        <v>Over Budget</v>
      </c>
      <c r="I364" t="str">
        <f>IF(OR(BOQ_Table[[#This Row],[Quantity]]="",BOQ_Table[[#This Row],[Rate]]=""),"Missing","OK")</f>
        <v>OK</v>
      </c>
    </row>
    <row r="365" spans="1:9" x14ac:dyDescent="0.35">
      <c r="A365" t="s">
        <v>389</v>
      </c>
      <c r="B365" t="s">
        <v>20</v>
      </c>
      <c r="C365" t="s">
        <v>17</v>
      </c>
      <c r="D365">
        <v>348.93</v>
      </c>
      <c r="E365" t="s">
        <v>27</v>
      </c>
      <c r="F365">
        <v>1804.75</v>
      </c>
      <c r="G365">
        <f t="shared" si="7"/>
        <v>629731.41749999998</v>
      </c>
      <c r="H365" t="str">
        <f>IF(BOQ_Table[[#This Row],[Amount]]&gt;100000,"Over Budget","OK")</f>
        <v>Over Budget</v>
      </c>
      <c r="I365" t="str">
        <f>IF(OR(BOQ_Table[[#This Row],[Quantity]]="",BOQ_Table[[#This Row],[Rate]]=""),"Missing","OK")</f>
        <v>OK</v>
      </c>
    </row>
    <row r="366" spans="1:9" x14ac:dyDescent="0.35">
      <c r="A366" t="s">
        <v>390</v>
      </c>
      <c r="B366" t="s">
        <v>20</v>
      </c>
      <c r="C366" t="s">
        <v>12</v>
      </c>
      <c r="D366">
        <v>409.27</v>
      </c>
      <c r="E366" t="s">
        <v>27</v>
      </c>
      <c r="F366">
        <v>3602.03</v>
      </c>
      <c r="G366">
        <f t="shared" si="7"/>
        <v>1474202.8181</v>
      </c>
      <c r="H366" t="str">
        <f>IF(BOQ_Table[[#This Row],[Amount]]&gt;100000,"Over Budget","OK")</f>
        <v>Over Budget</v>
      </c>
      <c r="I366" t="str">
        <f>IF(OR(BOQ_Table[[#This Row],[Quantity]]="",BOQ_Table[[#This Row],[Rate]]=""),"Missing","OK")</f>
        <v>OK</v>
      </c>
    </row>
    <row r="367" spans="1:9" x14ac:dyDescent="0.35">
      <c r="A367" t="s">
        <v>391</v>
      </c>
      <c r="B367" t="s">
        <v>32</v>
      </c>
      <c r="C367" t="s">
        <v>12</v>
      </c>
      <c r="D367">
        <v>37.76</v>
      </c>
      <c r="E367" t="s">
        <v>14</v>
      </c>
      <c r="F367">
        <v>1505.29</v>
      </c>
      <c r="G367">
        <f t="shared" si="7"/>
        <v>56839.750399999997</v>
      </c>
      <c r="H367" t="str">
        <f>IF(BOQ_Table[[#This Row],[Amount]]&gt;100000,"Over Budget","OK")</f>
        <v>OK</v>
      </c>
      <c r="I367" t="str">
        <f>IF(OR(BOQ_Table[[#This Row],[Quantity]]="",BOQ_Table[[#This Row],[Rate]]=""),"Missing","OK")</f>
        <v>OK</v>
      </c>
    </row>
    <row r="368" spans="1:9" x14ac:dyDescent="0.35">
      <c r="A368" t="s">
        <v>392</v>
      </c>
      <c r="B368" t="s">
        <v>40</v>
      </c>
      <c r="C368" t="s">
        <v>12</v>
      </c>
      <c r="D368">
        <v>49.9</v>
      </c>
      <c r="E368" t="s">
        <v>14</v>
      </c>
      <c r="F368">
        <v>2935.61</v>
      </c>
      <c r="G368">
        <f t="shared" si="7"/>
        <v>146486.93900000001</v>
      </c>
      <c r="H368" t="str">
        <f>IF(BOQ_Table[[#This Row],[Amount]]&gt;100000,"Over Budget","OK")</f>
        <v>Over Budget</v>
      </c>
      <c r="I368" t="str">
        <f>IF(OR(BOQ_Table[[#This Row],[Quantity]]="",BOQ_Table[[#This Row],[Rate]]=""),"Missing","OK")</f>
        <v>OK</v>
      </c>
    </row>
    <row r="369" spans="1:9" x14ac:dyDescent="0.35">
      <c r="A369" t="s">
        <v>393</v>
      </c>
      <c r="B369" t="s">
        <v>46</v>
      </c>
      <c r="C369" t="s">
        <v>38</v>
      </c>
      <c r="D369">
        <v>3.25</v>
      </c>
      <c r="E369" t="s">
        <v>27</v>
      </c>
      <c r="F369">
        <v>3462.25</v>
      </c>
      <c r="G369">
        <f t="shared" si="7"/>
        <v>11252.3125</v>
      </c>
      <c r="H369" t="str">
        <f>IF(BOQ_Table[[#This Row],[Amount]]&gt;100000,"Over Budget","OK")</f>
        <v>OK</v>
      </c>
      <c r="I369" t="str">
        <f>IF(OR(BOQ_Table[[#This Row],[Quantity]]="",BOQ_Table[[#This Row],[Rate]]=""),"Missing","OK")</f>
        <v>OK</v>
      </c>
    </row>
    <row r="370" spans="1:9" x14ac:dyDescent="0.35">
      <c r="A370" t="s">
        <v>394</v>
      </c>
      <c r="B370" t="s">
        <v>42</v>
      </c>
      <c r="C370" t="s">
        <v>8</v>
      </c>
      <c r="D370">
        <v>301.02</v>
      </c>
      <c r="E370" t="s">
        <v>14</v>
      </c>
      <c r="F370">
        <v>3566.65</v>
      </c>
      <c r="G370">
        <f t="shared" si="7"/>
        <v>1073632.983</v>
      </c>
      <c r="H370" t="str">
        <f>IF(BOQ_Table[[#This Row],[Amount]]&gt;100000,"Over Budget","OK")</f>
        <v>Over Budget</v>
      </c>
      <c r="I370" t="str">
        <f>IF(OR(BOQ_Table[[#This Row],[Quantity]]="",BOQ_Table[[#This Row],[Rate]]=""),"Missing","OK")</f>
        <v>OK</v>
      </c>
    </row>
    <row r="371" spans="1:9" x14ac:dyDescent="0.35">
      <c r="A371" t="s">
        <v>395</v>
      </c>
      <c r="B371" t="s">
        <v>20</v>
      </c>
      <c r="C371" t="s">
        <v>38</v>
      </c>
      <c r="D371">
        <v>179.73</v>
      </c>
      <c r="E371" t="s">
        <v>14</v>
      </c>
      <c r="F371">
        <v>758.06</v>
      </c>
      <c r="G371">
        <f t="shared" si="7"/>
        <v>136246.12379999997</v>
      </c>
      <c r="H371" t="str">
        <f>IF(BOQ_Table[[#This Row],[Amount]]&gt;100000,"Over Budget","OK")</f>
        <v>Over Budget</v>
      </c>
      <c r="I371" t="str">
        <f>IF(OR(BOQ_Table[[#This Row],[Quantity]]="",BOQ_Table[[#This Row],[Rate]]=""),"Missing","OK")</f>
        <v>OK</v>
      </c>
    </row>
    <row r="372" spans="1:9" x14ac:dyDescent="0.35">
      <c r="A372" t="s">
        <v>396</v>
      </c>
      <c r="B372" t="s">
        <v>56</v>
      </c>
      <c r="C372" t="s">
        <v>17</v>
      </c>
      <c r="D372">
        <v>473.39</v>
      </c>
      <c r="E372" t="s">
        <v>14</v>
      </c>
      <c r="F372">
        <v>4000.26</v>
      </c>
      <c r="G372">
        <f t="shared" si="7"/>
        <v>1893683.0814</v>
      </c>
      <c r="H372" t="str">
        <f>IF(BOQ_Table[[#This Row],[Amount]]&gt;100000,"Over Budget","OK")</f>
        <v>Over Budget</v>
      </c>
      <c r="I372" t="str">
        <f>IF(OR(BOQ_Table[[#This Row],[Quantity]]="",BOQ_Table[[#This Row],[Rate]]=""),"Missing","OK")</f>
        <v>OK</v>
      </c>
    </row>
    <row r="373" spans="1:9" x14ac:dyDescent="0.35">
      <c r="A373" t="s">
        <v>397</v>
      </c>
      <c r="B373" t="s">
        <v>11</v>
      </c>
      <c r="C373" t="s">
        <v>12</v>
      </c>
      <c r="D373">
        <v>328.16</v>
      </c>
      <c r="E373" t="s">
        <v>18</v>
      </c>
      <c r="F373">
        <v>2990.72</v>
      </c>
      <c r="G373">
        <f t="shared" si="7"/>
        <v>981434.67520000006</v>
      </c>
      <c r="H373" t="str">
        <f>IF(BOQ_Table[[#This Row],[Amount]]&gt;100000,"Over Budget","OK")</f>
        <v>Over Budget</v>
      </c>
      <c r="I373" t="str">
        <f>IF(OR(BOQ_Table[[#This Row],[Quantity]]="",BOQ_Table[[#This Row],[Rate]]=""),"Missing","OK")</f>
        <v>OK</v>
      </c>
    </row>
    <row r="374" spans="1:9" x14ac:dyDescent="0.35">
      <c r="A374" t="s">
        <v>398</v>
      </c>
      <c r="B374" t="s">
        <v>42</v>
      </c>
      <c r="C374" t="s">
        <v>17</v>
      </c>
      <c r="D374">
        <v>237.47</v>
      </c>
      <c r="E374" t="s">
        <v>18</v>
      </c>
      <c r="F374">
        <v>2731.03</v>
      </c>
      <c r="G374">
        <f t="shared" si="7"/>
        <v>648537.69410000008</v>
      </c>
      <c r="H374" t="str">
        <f>IF(BOQ_Table[[#This Row],[Amount]]&gt;100000,"Over Budget","OK")</f>
        <v>Over Budget</v>
      </c>
      <c r="I374" t="str">
        <f>IF(OR(BOQ_Table[[#This Row],[Quantity]]="",BOQ_Table[[#This Row],[Rate]]=""),"Missing","OK")</f>
        <v>OK</v>
      </c>
    </row>
    <row r="375" spans="1:9" x14ac:dyDescent="0.35">
      <c r="A375" t="s">
        <v>399</v>
      </c>
      <c r="B375" t="s">
        <v>46</v>
      </c>
      <c r="C375" t="s">
        <v>17</v>
      </c>
      <c r="D375">
        <v>426.29</v>
      </c>
      <c r="E375" t="s">
        <v>14</v>
      </c>
      <c r="F375">
        <v>2296.77</v>
      </c>
      <c r="G375">
        <f t="shared" si="7"/>
        <v>979090.08330000006</v>
      </c>
      <c r="H375" t="str">
        <f>IF(BOQ_Table[[#This Row],[Amount]]&gt;100000,"Over Budget","OK")</f>
        <v>Over Budget</v>
      </c>
      <c r="I375" t="str">
        <f>IF(OR(BOQ_Table[[#This Row],[Quantity]]="",BOQ_Table[[#This Row],[Rate]]=""),"Missing","OK")</f>
        <v>OK</v>
      </c>
    </row>
    <row r="376" spans="1:9" x14ac:dyDescent="0.35">
      <c r="A376" t="s">
        <v>400</v>
      </c>
      <c r="B376" t="s">
        <v>7</v>
      </c>
      <c r="C376" t="s">
        <v>38</v>
      </c>
      <c r="D376">
        <v>140.91999999999999</v>
      </c>
      <c r="E376" t="s">
        <v>9</v>
      </c>
      <c r="F376">
        <v>2245.0100000000002</v>
      </c>
      <c r="G376">
        <f t="shared" si="7"/>
        <v>316366.80920000002</v>
      </c>
      <c r="H376" t="str">
        <f>IF(BOQ_Table[[#This Row],[Amount]]&gt;100000,"Over Budget","OK")</f>
        <v>Over Budget</v>
      </c>
      <c r="I376" t="str">
        <f>IF(OR(BOQ_Table[[#This Row],[Quantity]]="",BOQ_Table[[#This Row],[Rate]]=""),"Missing","OK")</f>
        <v>OK</v>
      </c>
    </row>
    <row r="377" spans="1:9" x14ac:dyDescent="0.35">
      <c r="A377" t="s">
        <v>401</v>
      </c>
      <c r="B377" t="s">
        <v>30</v>
      </c>
      <c r="C377" t="s">
        <v>12</v>
      </c>
      <c r="D377">
        <v>43.62</v>
      </c>
      <c r="E377" t="s">
        <v>9</v>
      </c>
      <c r="F377">
        <v>4259.2700000000004</v>
      </c>
      <c r="G377">
        <f t="shared" si="7"/>
        <v>185789.35740000001</v>
      </c>
      <c r="H377" t="str">
        <f>IF(BOQ_Table[[#This Row],[Amount]]&gt;100000,"Over Budget","OK")</f>
        <v>Over Budget</v>
      </c>
      <c r="I377" t="str">
        <f>IF(OR(BOQ_Table[[#This Row],[Quantity]]="",BOQ_Table[[#This Row],[Rate]]=""),"Missing","OK")</f>
        <v>OK</v>
      </c>
    </row>
    <row r="378" spans="1:9" x14ac:dyDescent="0.35">
      <c r="A378" t="s">
        <v>402</v>
      </c>
      <c r="B378" t="s">
        <v>46</v>
      </c>
      <c r="C378" t="s">
        <v>12</v>
      </c>
      <c r="D378">
        <v>139.59</v>
      </c>
      <c r="E378" t="s">
        <v>27</v>
      </c>
      <c r="F378">
        <v>4843.99</v>
      </c>
      <c r="G378">
        <f t="shared" si="7"/>
        <v>676172.56409999996</v>
      </c>
      <c r="H378" t="str">
        <f>IF(BOQ_Table[[#This Row],[Amount]]&gt;100000,"Over Budget","OK")</f>
        <v>Over Budget</v>
      </c>
      <c r="I378" t="str">
        <f>IF(OR(BOQ_Table[[#This Row],[Quantity]]="",BOQ_Table[[#This Row],[Rate]]=""),"Missing","OK")</f>
        <v>OK</v>
      </c>
    </row>
    <row r="379" spans="1:9" x14ac:dyDescent="0.35">
      <c r="A379" t="s">
        <v>403</v>
      </c>
      <c r="B379" t="s">
        <v>32</v>
      </c>
      <c r="C379" t="s">
        <v>38</v>
      </c>
      <c r="D379">
        <v>259.77</v>
      </c>
      <c r="E379" t="s">
        <v>22</v>
      </c>
      <c r="F379">
        <v>2987.73</v>
      </c>
      <c r="G379">
        <f t="shared" si="7"/>
        <v>776122.62209999992</v>
      </c>
      <c r="H379" t="str">
        <f>IF(BOQ_Table[[#This Row],[Amount]]&gt;100000,"Over Budget","OK")</f>
        <v>Over Budget</v>
      </c>
      <c r="I379" t="str">
        <f>IF(OR(BOQ_Table[[#This Row],[Quantity]]="",BOQ_Table[[#This Row],[Rate]]=""),"Missing","OK")</f>
        <v>OK</v>
      </c>
    </row>
    <row r="380" spans="1:9" x14ac:dyDescent="0.35">
      <c r="A380" t="s">
        <v>404</v>
      </c>
      <c r="B380" t="s">
        <v>7</v>
      </c>
      <c r="C380" t="s">
        <v>17</v>
      </c>
      <c r="D380">
        <v>468.18</v>
      </c>
      <c r="E380" t="s">
        <v>22</v>
      </c>
      <c r="F380">
        <v>2631.29</v>
      </c>
      <c r="G380">
        <f t="shared" si="7"/>
        <v>1231917.3522000001</v>
      </c>
      <c r="H380" t="str">
        <f>IF(BOQ_Table[[#This Row],[Amount]]&gt;100000,"Over Budget","OK")</f>
        <v>Over Budget</v>
      </c>
      <c r="I380" t="str">
        <f>IF(OR(BOQ_Table[[#This Row],[Quantity]]="",BOQ_Table[[#This Row],[Rate]]=""),"Missing","OK")</f>
        <v>OK</v>
      </c>
    </row>
    <row r="381" spans="1:9" x14ac:dyDescent="0.35">
      <c r="A381" t="s">
        <v>405</v>
      </c>
      <c r="B381" t="s">
        <v>20</v>
      </c>
      <c r="C381" t="s">
        <v>8</v>
      </c>
      <c r="D381">
        <v>211.48</v>
      </c>
      <c r="E381" t="s">
        <v>22</v>
      </c>
      <c r="F381">
        <v>2957.96</v>
      </c>
      <c r="G381">
        <f t="shared" si="7"/>
        <v>625549.38079999993</v>
      </c>
      <c r="H381" t="str">
        <f>IF(BOQ_Table[[#This Row],[Amount]]&gt;100000,"Over Budget","OK")</f>
        <v>Over Budget</v>
      </c>
      <c r="I381" t="str">
        <f>IF(OR(BOQ_Table[[#This Row],[Quantity]]="",BOQ_Table[[#This Row],[Rate]]=""),"Missing","OK")</f>
        <v>OK</v>
      </c>
    </row>
    <row r="382" spans="1:9" x14ac:dyDescent="0.35">
      <c r="A382" t="s">
        <v>406</v>
      </c>
      <c r="B382" t="s">
        <v>42</v>
      </c>
      <c r="C382" t="s">
        <v>12</v>
      </c>
      <c r="D382">
        <v>22.37</v>
      </c>
      <c r="E382" t="s">
        <v>14</v>
      </c>
      <c r="F382">
        <v>4843.07</v>
      </c>
      <c r="G382">
        <f t="shared" si="7"/>
        <v>108339.4759</v>
      </c>
      <c r="H382" t="str">
        <f>IF(BOQ_Table[[#This Row],[Amount]]&gt;100000,"Over Budget","OK")</f>
        <v>Over Budget</v>
      </c>
      <c r="I382" t="str">
        <f>IF(OR(BOQ_Table[[#This Row],[Quantity]]="",BOQ_Table[[#This Row],[Rate]]=""),"Missing","OK")</f>
        <v>OK</v>
      </c>
    </row>
    <row r="383" spans="1:9" x14ac:dyDescent="0.35">
      <c r="A383" t="s">
        <v>407</v>
      </c>
      <c r="B383" t="s">
        <v>16</v>
      </c>
      <c r="C383" t="s">
        <v>17</v>
      </c>
      <c r="D383">
        <v>46.35</v>
      </c>
      <c r="E383" t="s">
        <v>9</v>
      </c>
      <c r="F383">
        <v>2288.89</v>
      </c>
      <c r="G383">
        <f t="shared" si="7"/>
        <v>106090.0515</v>
      </c>
      <c r="H383" t="str">
        <f>IF(BOQ_Table[[#This Row],[Amount]]&gt;100000,"Over Budget","OK")</f>
        <v>Over Budget</v>
      </c>
      <c r="I383" t="str">
        <f>IF(OR(BOQ_Table[[#This Row],[Quantity]]="",BOQ_Table[[#This Row],[Rate]]=""),"Missing","OK")</f>
        <v>OK</v>
      </c>
    </row>
    <row r="384" spans="1:9" x14ac:dyDescent="0.35">
      <c r="A384" t="s">
        <v>408</v>
      </c>
      <c r="B384" t="s">
        <v>46</v>
      </c>
      <c r="C384" t="s">
        <v>21</v>
      </c>
      <c r="D384">
        <v>177.2</v>
      </c>
      <c r="E384" t="s">
        <v>9</v>
      </c>
      <c r="F384">
        <v>660.65</v>
      </c>
      <c r="G384">
        <f t="shared" si="7"/>
        <v>117067.18</v>
      </c>
      <c r="H384" t="str">
        <f>IF(BOQ_Table[[#This Row],[Amount]]&gt;100000,"Over Budget","OK")</f>
        <v>Over Budget</v>
      </c>
      <c r="I384" t="str">
        <f>IF(OR(BOQ_Table[[#This Row],[Quantity]]="",BOQ_Table[[#This Row],[Rate]]=""),"Missing","OK")</f>
        <v>OK</v>
      </c>
    </row>
    <row r="385" spans="1:9" x14ac:dyDescent="0.35">
      <c r="A385" t="s">
        <v>409</v>
      </c>
      <c r="B385" t="s">
        <v>56</v>
      </c>
      <c r="C385" t="s">
        <v>21</v>
      </c>
      <c r="D385">
        <v>8.2899999999999991</v>
      </c>
      <c r="E385" t="s">
        <v>18</v>
      </c>
      <c r="F385">
        <v>4725.93</v>
      </c>
      <c r="G385">
        <f t="shared" si="7"/>
        <v>39177.959699999999</v>
      </c>
      <c r="H385" t="str">
        <f>IF(BOQ_Table[[#This Row],[Amount]]&gt;100000,"Over Budget","OK")</f>
        <v>OK</v>
      </c>
      <c r="I385" t="str">
        <f>IF(OR(BOQ_Table[[#This Row],[Quantity]]="",BOQ_Table[[#This Row],[Rate]]=""),"Missing","OK")</f>
        <v>OK</v>
      </c>
    </row>
    <row r="386" spans="1:9" x14ac:dyDescent="0.35">
      <c r="A386" t="s">
        <v>410</v>
      </c>
      <c r="B386" t="s">
        <v>30</v>
      </c>
      <c r="C386" t="s">
        <v>8</v>
      </c>
      <c r="D386">
        <v>222.38</v>
      </c>
      <c r="E386" t="s">
        <v>27</v>
      </c>
      <c r="F386">
        <v>3340.22</v>
      </c>
      <c r="G386">
        <f t="shared" ref="G386:G449" si="8">D386*F386</f>
        <v>742798.12359999993</v>
      </c>
      <c r="H386" t="str">
        <f>IF(BOQ_Table[[#This Row],[Amount]]&gt;100000,"Over Budget","OK")</f>
        <v>Over Budget</v>
      </c>
      <c r="I386" t="str">
        <f>IF(OR(BOQ_Table[[#This Row],[Quantity]]="",BOQ_Table[[#This Row],[Rate]]=""),"Missing","OK")</f>
        <v>OK</v>
      </c>
    </row>
    <row r="387" spans="1:9" x14ac:dyDescent="0.35">
      <c r="A387" t="s">
        <v>411</v>
      </c>
      <c r="B387" t="s">
        <v>40</v>
      </c>
      <c r="C387" t="s">
        <v>21</v>
      </c>
      <c r="D387">
        <v>196.49</v>
      </c>
      <c r="E387" t="s">
        <v>27</v>
      </c>
      <c r="F387">
        <v>2803.19</v>
      </c>
      <c r="G387">
        <f t="shared" si="8"/>
        <v>550798.80310000002</v>
      </c>
      <c r="H387" t="str">
        <f>IF(BOQ_Table[[#This Row],[Amount]]&gt;100000,"Over Budget","OK")</f>
        <v>Over Budget</v>
      </c>
      <c r="I387" t="str">
        <f>IF(OR(BOQ_Table[[#This Row],[Quantity]]="",BOQ_Table[[#This Row],[Rate]]=""),"Missing","OK")</f>
        <v>OK</v>
      </c>
    </row>
    <row r="388" spans="1:9" x14ac:dyDescent="0.35">
      <c r="A388" t="s">
        <v>412</v>
      </c>
      <c r="B388" t="s">
        <v>20</v>
      </c>
      <c r="C388" t="s">
        <v>8</v>
      </c>
      <c r="D388">
        <v>29.04</v>
      </c>
      <c r="E388" t="s">
        <v>9</v>
      </c>
      <c r="F388">
        <v>1555.02</v>
      </c>
      <c r="G388">
        <f t="shared" si="8"/>
        <v>45157.7808</v>
      </c>
      <c r="H388" t="str">
        <f>IF(BOQ_Table[[#This Row],[Amount]]&gt;100000,"Over Budget","OK")</f>
        <v>OK</v>
      </c>
      <c r="I388" t="str">
        <f>IF(OR(BOQ_Table[[#This Row],[Quantity]]="",BOQ_Table[[#This Row],[Rate]]=""),"Missing","OK")</f>
        <v>OK</v>
      </c>
    </row>
    <row r="389" spans="1:9" x14ac:dyDescent="0.35">
      <c r="A389" t="s">
        <v>413</v>
      </c>
      <c r="B389" t="s">
        <v>42</v>
      </c>
      <c r="C389" t="s">
        <v>17</v>
      </c>
      <c r="D389">
        <v>153.38999999999999</v>
      </c>
      <c r="E389" t="s">
        <v>9</v>
      </c>
      <c r="F389">
        <v>1763.32</v>
      </c>
      <c r="G389">
        <f t="shared" si="8"/>
        <v>270475.65479999996</v>
      </c>
      <c r="H389" t="str">
        <f>IF(BOQ_Table[[#This Row],[Amount]]&gt;100000,"Over Budget","OK")</f>
        <v>Over Budget</v>
      </c>
      <c r="I389" t="str">
        <f>IF(OR(BOQ_Table[[#This Row],[Quantity]]="",BOQ_Table[[#This Row],[Rate]]=""),"Missing","OK")</f>
        <v>OK</v>
      </c>
    </row>
    <row r="390" spans="1:9" x14ac:dyDescent="0.35">
      <c r="A390" t="s">
        <v>414</v>
      </c>
      <c r="B390" t="s">
        <v>42</v>
      </c>
      <c r="C390" t="s">
        <v>17</v>
      </c>
      <c r="D390">
        <v>125.18</v>
      </c>
      <c r="E390" t="s">
        <v>14</v>
      </c>
      <c r="F390">
        <v>3961.85</v>
      </c>
      <c r="G390">
        <f t="shared" si="8"/>
        <v>495944.38300000003</v>
      </c>
      <c r="H390" t="str">
        <f>IF(BOQ_Table[[#This Row],[Amount]]&gt;100000,"Over Budget","OK")</f>
        <v>Over Budget</v>
      </c>
      <c r="I390" t="str">
        <f>IF(OR(BOQ_Table[[#This Row],[Quantity]]="",BOQ_Table[[#This Row],[Rate]]=""),"Missing","OK")</f>
        <v>OK</v>
      </c>
    </row>
    <row r="391" spans="1:9" x14ac:dyDescent="0.35">
      <c r="A391" t="s">
        <v>415</v>
      </c>
      <c r="B391" t="s">
        <v>30</v>
      </c>
      <c r="C391" t="s">
        <v>8</v>
      </c>
      <c r="D391">
        <v>64.45</v>
      </c>
      <c r="E391" t="s">
        <v>27</v>
      </c>
      <c r="F391">
        <v>2511.14</v>
      </c>
      <c r="G391">
        <f t="shared" si="8"/>
        <v>161842.973</v>
      </c>
      <c r="H391" t="str">
        <f>IF(BOQ_Table[[#This Row],[Amount]]&gt;100000,"Over Budget","OK")</f>
        <v>Over Budget</v>
      </c>
      <c r="I391" t="str">
        <f>IF(OR(BOQ_Table[[#This Row],[Quantity]]="",BOQ_Table[[#This Row],[Rate]]=""),"Missing","OK")</f>
        <v>OK</v>
      </c>
    </row>
    <row r="392" spans="1:9" x14ac:dyDescent="0.35">
      <c r="A392" t="s">
        <v>416</v>
      </c>
      <c r="B392" t="s">
        <v>46</v>
      </c>
      <c r="C392" t="s">
        <v>38</v>
      </c>
      <c r="D392">
        <v>62.9</v>
      </c>
      <c r="E392" t="s">
        <v>27</v>
      </c>
      <c r="F392">
        <v>1404.41</v>
      </c>
      <c r="G392">
        <f t="shared" si="8"/>
        <v>88337.38900000001</v>
      </c>
      <c r="H392" t="str">
        <f>IF(BOQ_Table[[#This Row],[Amount]]&gt;100000,"Over Budget","OK")</f>
        <v>OK</v>
      </c>
      <c r="I392" t="str">
        <f>IF(OR(BOQ_Table[[#This Row],[Quantity]]="",BOQ_Table[[#This Row],[Rate]]=""),"Missing","OK")</f>
        <v>OK</v>
      </c>
    </row>
    <row r="393" spans="1:9" x14ac:dyDescent="0.35">
      <c r="A393" t="s">
        <v>417</v>
      </c>
      <c r="B393" t="s">
        <v>20</v>
      </c>
      <c r="C393" t="s">
        <v>21</v>
      </c>
      <c r="D393">
        <v>287.67</v>
      </c>
      <c r="E393" t="s">
        <v>18</v>
      </c>
      <c r="F393">
        <v>1394.17</v>
      </c>
      <c r="G393">
        <f t="shared" si="8"/>
        <v>401060.88390000002</v>
      </c>
      <c r="H393" t="str">
        <f>IF(BOQ_Table[[#This Row],[Amount]]&gt;100000,"Over Budget","OK")</f>
        <v>Over Budget</v>
      </c>
      <c r="I393" t="str">
        <f>IF(OR(BOQ_Table[[#This Row],[Quantity]]="",BOQ_Table[[#This Row],[Rate]]=""),"Missing","OK")</f>
        <v>OK</v>
      </c>
    </row>
    <row r="394" spans="1:9" x14ac:dyDescent="0.35">
      <c r="A394" t="s">
        <v>418</v>
      </c>
      <c r="B394" t="s">
        <v>46</v>
      </c>
      <c r="C394" t="s">
        <v>12</v>
      </c>
      <c r="D394">
        <v>214.28</v>
      </c>
      <c r="E394" t="s">
        <v>27</v>
      </c>
      <c r="F394">
        <v>3186.34</v>
      </c>
      <c r="G394">
        <f t="shared" si="8"/>
        <v>682768.93520000007</v>
      </c>
      <c r="H394" t="str">
        <f>IF(BOQ_Table[[#This Row],[Amount]]&gt;100000,"Over Budget","OK")</f>
        <v>Over Budget</v>
      </c>
      <c r="I394" t="str">
        <f>IF(OR(BOQ_Table[[#This Row],[Quantity]]="",BOQ_Table[[#This Row],[Rate]]=""),"Missing","OK")</f>
        <v>OK</v>
      </c>
    </row>
    <row r="395" spans="1:9" x14ac:dyDescent="0.35">
      <c r="A395" t="s">
        <v>419</v>
      </c>
      <c r="B395" t="s">
        <v>40</v>
      </c>
      <c r="C395" t="s">
        <v>21</v>
      </c>
      <c r="D395">
        <v>314.52999999999997</v>
      </c>
      <c r="E395" t="s">
        <v>14</v>
      </c>
      <c r="F395">
        <v>535.65</v>
      </c>
      <c r="G395">
        <f t="shared" si="8"/>
        <v>168477.99449999997</v>
      </c>
      <c r="H395" t="str">
        <f>IF(BOQ_Table[[#This Row],[Amount]]&gt;100000,"Over Budget","OK")</f>
        <v>Over Budget</v>
      </c>
      <c r="I395" t="str">
        <f>IF(OR(BOQ_Table[[#This Row],[Quantity]]="",BOQ_Table[[#This Row],[Rate]]=""),"Missing","OK")</f>
        <v>OK</v>
      </c>
    </row>
    <row r="396" spans="1:9" x14ac:dyDescent="0.35">
      <c r="A396" t="s">
        <v>420</v>
      </c>
      <c r="B396" t="s">
        <v>20</v>
      </c>
      <c r="C396" t="s">
        <v>21</v>
      </c>
      <c r="D396">
        <v>399.26</v>
      </c>
      <c r="E396" t="s">
        <v>27</v>
      </c>
      <c r="F396">
        <v>1262.55</v>
      </c>
      <c r="G396">
        <f t="shared" si="8"/>
        <v>504085.71299999999</v>
      </c>
      <c r="H396" t="str">
        <f>IF(BOQ_Table[[#This Row],[Amount]]&gt;100000,"Over Budget","OK")</f>
        <v>Over Budget</v>
      </c>
      <c r="I396" t="str">
        <f>IF(OR(BOQ_Table[[#This Row],[Quantity]]="",BOQ_Table[[#This Row],[Rate]]=""),"Missing","OK")</f>
        <v>OK</v>
      </c>
    </row>
    <row r="397" spans="1:9" x14ac:dyDescent="0.35">
      <c r="A397" t="s">
        <v>421</v>
      </c>
      <c r="B397" t="s">
        <v>30</v>
      </c>
      <c r="C397" t="s">
        <v>21</v>
      </c>
      <c r="D397">
        <v>329.09</v>
      </c>
      <c r="E397" t="s">
        <v>22</v>
      </c>
      <c r="F397">
        <v>2043.04</v>
      </c>
      <c r="G397">
        <f t="shared" si="8"/>
        <v>672344.03359999997</v>
      </c>
      <c r="H397" t="str">
        <f>IF(BOQ_Table[[#This Row],[Amount]]&gt;100000,"Over Budget","OK")</f>
        <v>Over Budget</v>
      </c>
      <c r="I397" t="str">
        <f>IF(OR(BOQ_Table[[#This Row],[Quantity]]="",BOQ_Table[[#This Row],[Rate]]=""),"Missing","OK")</f>
        <v>OK</v>
      </c>
    </row>
    <row r="398" spans="1:9" x14ac:dyDescent="0.35">
      <c r="A398" t="s">
        <v>422</v>
      </c>
      <c r="B398" t="s">
        <v>56</v>
      </c>
      <c r="C398" t="s">
        <v>38</v>
      </c>
      <c r="D398">
        <v>146.07</v>
      </c>
      <c r="E398" t="s">
        <v>9</v>
      </c>
      <c r="F398">
        <v>3034.88</v>
      </c>
      <c r="G398">
        <f t="shared" si="8"/>
        <v>443304.9216</v>
      </c>
      <c r="H398" t="str">
        <f>IF(BOQ_Table[[#This Row],[Amount]]&gt;100000,"Over Budget","OK")</f>
        <v>Over Budget</v>
      </c>
      <c r="I398" t="str">
        <f>IF(OR(BOQ_Table[[#This Row],[Quantity]]="",BOQ_Table[[#This Row],[Rate]]=""),"Missing","OK")</f>
        <v>OK</v>
      </c>
    </row>
    <row r="399" spans="1:9" x14ac:dyDescent="0.35">
      <c r="A399" t="s">
        <v>423</v>
      </c>
      <c r="B399" t="s">
        <v>11</v>
      </c>
      <c r="C399" t="s">
        <v>17</v>
      </c>
      <c r="D399">
        <v>21.25</v>
      </c>
      <c r="E399" t="s">
        <v>18</v>
      </c>
      <c r="F399">
        <v>3510.12</v>
      </c>
      <c r="G399">
        <f t="shared" si="8"/>
        <v>74590.05</v>
      </c>
      <c r="H399" t="str">
        <f>IF(BOQ_Table[[#This Row],[Amount]]&gt;100000,"Over Budget","OK")</f>
        <v>OK</v>
      </c>
      <c r="I399" t="str">
        <f>IF(OR(BOQ_Table[[#This Row],[Quantity]]="",BOQ_Table[[#This Row],[Rate]]=""),"Missing","OK")</f>
        <v>OK</v>
      </c>
    </row>
    <row r="400" spans="1:9" x14ac:dyDescent="0.35">
      <c r="A400" t="s">
        <v>424</v>
      </c>
      <c r="B400" t="s">
        <v>16</v>
      </c>
      <c r="C400" t="s">
        <v>38</v>
      </c>
      <c r="D400">
        <v>82.06</v>
      </c>
      <c r="E400" t="s">
        <v>14</v>
      </c>
      <c r="F400">
        <v>3027.11</v>
      </c>
      <c r="G400">
        <f t="shared" si="8"/>
        <v>248404.64660000001</v>
      </c>
      <c r="H400" t="str">
        <f>IF(BOQ_Table[[#This Row],[Amount]]&gt;100000,"Over Budget","OK")</f>
        <v>Over Budget</v>
      </c>
      <c r="I400" t="str">
        <f>IF(OR(BOQ_Table[[#This Row],[Quantity]]="",BOQ_Table[[#This Row],[Rate]]=""),"Missing","OK")</f>
        <v>OK</v>
      </c>
    </row>
    <row r="401" spans="1:9" x14ac:dyDescent="0.35">
      <c r="A401" t="s">
        <v>425</v>
      </c>
      <c r="B401" t="s">
        <v>11</v>
      </c>
      <c r="C401" t="s">
        <v>12</v>
      </c>
      <c r="D401">
        <v>355.28</v>
      </c>
      <c r="E401" t="s">
        <v>9</v>
      </c>
      <c r="F401">
        <v>4381.6899999999996</v>
      </c>
      <c r="G401">
        <f t="shared" si="8"/>
        <v>1556726.8231999998</v>
      </c>
      <c r="H401" t="str">
        <f>IF(BOQ_Table[[#This Row],[Amount]]&gt;100000,"Over Budget","OK")</f>
        <v>Over Budget</v>
      </c>
      <c r="I401" t="str">
        <f>IF(OR(BOQ_Table[[#This Row],[Quantity]]="",BOQ_Table[[#This Row],[Rate]]=""),"Missing","OK")</f>
        <v>OK</v>
      </c>
    </row>
    <row r="402" spans="1:9" x14ac:dyDescent="0.35">
      <c r="A402" t="s">
        <v>426</v>
      </c>
      <c r="B402" t="s">
        <v>30</v>
      </c>
      <c r="C402" t="s">
        <v>8</v>
      </c>
      <c r="D402">
        <v>217.36</v>
      </c>
      <c r="E402" t="s">
        <v>27</v>
      </c>
      <c r="F402">
        <v>3233.94</v>
      </c>
      <c r="G402">
        <f t="shared" si="8"/>
        <v>702929.19840000011</v>
      </c>
      <c r="H402" t="str">
        <f>IF(BOQ_Table[[#This Row],[Amount]]&gt;100000,"Over Budget","OK")</f>
        <v>Over Budget</v>
      </c>
      <c r="I402" t="str">
        <f>IF(OR(BOQ_Table[[#This Row],[Quantity]]="",BOQ_Table[[#This Row],[Rate]]=""),"Missing","OK")</f>
        <v>OK</v>
      </c>
    </row>
    <row r="403" spans="1:9" x14ac:dyDescent="0.35">
      <c r="A403" t="s">
        <v>427</v>
      </c>
      <c r="B403" t="s">
        <v>32</v>
      </c>
      <c r="C403" t="s">
        <v>21</v>
      </c>
      <c r="D403">
        <v>368.82</v>
      </c>
      <c r="E403" t="s">
        <v>9</v>
      </c>
      <c r="F403">
        <v>3386.46</v>
      </c>
      <c r="G403">
        <f t="shared" si="8"/>
        <v>1248994.1772</v>
      </c>
      <c r="H403" t="str">
        <f>IF(BOQ_Table[[#This Row],[Amount]]&gt;100000,"Over Budget","OK")</f>
        <v>Over Budget</v>
      </c>
      <c r="I403" t="str">
        <f>IF(OR(BOQ_Table[[#This Row],[Quantity]]="",BOQ_Table[[#This Row],[Rate]]=""),"Missing","OK")</f>
        <v>OK</v>
      </c>
    </row>
    <row r="404" spans="1:9" x14ac:dyDescent="0.35">
      <c r="A404" t="s">
        <v>428</v>
      </c>
      <c r="B404" t="s">
        <v>40</v>
      </c>
      <c r="C404" t="s">
        <v>8</v>
      </c>
      <c r="D404">
        <v>321.44</v>
      </c>
      <c r="E404" t="s">
        <v>9</v>
      </c>
      <c r="F404">
        <v>1462.33</v>
      </c>
      <c r="G404">
        <f t="shared" si="8"/>
        <v>470051.35519999999</v>
      </c>
      <c r="H404" t="str">
        <f>IF(BOQ_Table[[#This Row],[Amount]]&gt;100000,"Over Budget","OK")</f>
        <v>Over Budget</v>
      </c>
      <c r="I404" t="str">
        <f>IF(OR(BOQ_Table[[#This Row],[Quantity]]="",BOQ_Table[[#This Row],[Rate]]=""),"Missing","OK")</f>
        <v>OK</v>
      </c>
    </row>
    <row r="405" spans="1:9" x14ac:dyDescent="0.35">
      <c r="A405" t="s">
        <v>429</v>
      </c>
      <c r="B405" t="s">
        <v>7</v>
      </c>
      <c r="C405" t="s">
        <v>21</v>
      </c>
      <c r="D405">
        <v>257.99</v>
      </c>
      <c r="E405" t="s">
        <v>9</v>
      </c>
      <c r="F405">
        <v>1429.31</v>
      </c>
      <c r="G405">
        <f t="shared" si="8"/>
        <v>368747.68689999997</v>
      </c>
      <c r="H405" t="str">
        <f>IF(BOQ_Table[[#This Row],[Amount]]&gt;100000,"Over Budget","OK")</f>
        <v>Over Budget</v>
      </c>
      <c r="I405" t="str">
        <f>IF(OR(BOQ_Table[[#This Row],[Quantity]]="",BOQ_Table[[#This Row],[Rate]]=""),"Missing","OK")</f>
        <v>OK</v>
      </c>
    </row>
    <row r="406" spans="1:9" x14ac:dyDescent="0.35">
      <c r="A406" t="s">
        <v>430</v>
      </c>
      <c r="B406" t="s">
        <v>32</v>
      </c>
      <c r="C406" t="s">
        <v>38</v>
      </c>
      <c r="D406">
        <v>54.54</v>
      </c>
      <c r="E406" t="s">
        <v>18</v>
      </c>
      <c r="F406">
        <v>593.11</v>
      </c>
      <c r="G406">
        <f t="shared" si="8"/>
        <v>32348.219400000002</v>
      </c>
      <c r="H406" t="str">
        <f>IF(BOQ_Table[[#This Row],[Amount]]&gt;100000,"Over Budget","OK")</f>
        <v>OK</v>
      </c>
      <c r="I406" t="str">
        <f>IF(OR(BOQ_Table[[#This Row],[Quantity]]="",BOQ_Table[[#This Row],[Rate]]=""),"Missing","OK")</f>
        <v>OK</v>
      </c>
    </row>
    <row r="407" spans="1:9" x14ac:dyDescent="0.35">
      <c r="A407" t="s">
        <v>431</v>
      </c>
      <c r="B407" t="s">
        <v>56</v>
      </c>
      <c r="C407" t="s">
        <v>21</v>
      </c>
      <c r="D407">
        <v>331.86</v>
      </c>
      <c r="E407" t="s">
        <v>27</v>
      </c>
      <c r="F407">
        <v>1590.56</v>
      </c>
      <c r="G407">
        <f t="shared" si="8"/>
        <v>527843.24159999995</v>
      </c>
      <c r="H407" t="str">
        <f>IF(BOQ_Table[[#This Row],[Amount]]&gt;100000,"Over Budget","OK")</f>
        <v>Over Budget</v>
      </c>
      <c r="I407" t="str">
        <f>IF(OR(BOQ_Table[[#This Row],[Quantity]]="",BOQ_Table[[#This Row],[Rate]]=""),"Missing","OK")</f>
        <v>OK</v>
      </c>
    </row>
    <row r="408" spans="1:9" x14ac:dyDescent="0.35">
      <c r="A408" t="s">
        <v>432</v>
      </c>
      <c r="B408" t="s">
        <v>20</v>
      </c>
      <c r="C408" t="s">
        <v>12</v>
      </c>
      <c r="D408">
        <v>427.58</v>
      </c>
      <c r="E408" t="s">
        <v>18</v>
      </c>
      <c r="F408">
        <v>3770.82</v>
      </c>
      <c r="G408">
        <f t="shared" si="8"/>
        <v>1612327.2156</v>
      </c>
      <c r="H408" t="str">
        <f>IF(BOQ_Table[[#This Row],[Amount]]&gt;100000,"Over Budget","OK")</f>
        <v>Over Budget</v>
      </c>
      <c r="I408" t="str">
        <f>IF(OR(BOQ_Table[[#This Row],[Quantity]]="",BOQ_Table[[#This Row],[Rate]]=""),"Missing","OK")</f>
        <v>OK</v>
      </c>
    </row>
    <row r="409" spans="1:9" x14ac:dyDescent="0.35">
      <c r="A409" t="s">
        <v>433</v>
      </c>
      <c r="B409" t="s">
        <v>42</v>
      </c>
      <c r="C409" t="s">
        <v>17</v>
      </c>
      <c r="D409">
        <v>414.77</v>
      </c>
      <c r="E409" t="s">
        <v>9</v>
      </c>
      <c r="F409">
        <v>297.60000000000002</v>
      </c>
      <c r="G409">
        <f t="shared" si="8"/>
        <v>123435.55200000001</v>
      </c>
      <c r="H409" t="str">
        <f>IF(BOQ_Table[[#This Row],[Amount]]&gt;100000,"Over Budget","OK")</f>
        <v>Over Budget</v>
      </c>
      <c r="I409" t="str">
        <f>IF(OR(BOQ_Table[[#This Row],[Quantity]]="",BOQ_Table[[#This Row],[Rate]]=""),"Missing","OK")</f>
        <v>OK</v>
      </c>
    </row>
    <row r="410" spans="1:9" x14ac:dyDescent="0.35">
      <c r="A410" t="s">
        <v>434</v>
      </c>
      <c r="B410" t="s">
        <v>42</v>
      </c>
      <c r="C410" t="s">
        <v>21</v>
      </c>
      <c r="D410">
        <v>104.42</v>
      </c>
      <c r="E410" t="s">
        <v>14</v>
      </c>
      <c r="F410">
        <v>1112.92</v>
      </c>
      <c r="G410">
        <f t="shared" si="8"/>
        <v>116211.1064</v>
      </c>
      <c r="H410" t="str">
        <f>IF(BOQ_Table[[#This Row],[Amount]]&gt;100000,"Over Budget","OK")</f>
        <v>Over Budget</v>
      </c>
      <c r="I410" t="str">
        <f>IF(OR(BOQ_Table[[#This Row],[Quantity]]="",BOQ_Table[[#This Row],[Rate]]=""),"Missing","OK")</f>
        <v>OK</v>
      </c>
    </row>
    <row r="411" spans="1:9" x14ac:dyDescent="0.35">
      <c r="A411" t="s">
        <v>435</v>
      </c>
      <c r="B411" t="s">
        <v>11</v>
      </c>
      <c r="C411" t="s">
        <v>38</v>
      </c>
      <c r="D411">
        <v>182.43</v>
      </c>
      <c r="E411" t="s">
        <v>22</v>
      </c>
      <c r="F411">
        <v>1558.07</v>
      </c>
      <c r="G411">
        <f t="shared" si="8"/>
        <v>284238.71010000003</v>
      </c>
      <c r="H411" t="str">
        <f>IF(BOQ_Table[[#This Row],[Amount]]&gt;100000,"Over Budget","OK")</f>
        <v>Over Budget</v>
      </c>
      <c r="I411" t="str">
        <f>IF(OR(BOQ_Table[[#This Row],[Quantity]]="",BOQ_Table[[#This Row],[Rate]]=""),"Missing","OK")</f>
        <v>OK</v>
      </c>
    </row>
    <row r="412" spans="1:9" x14ac:dyDescent="0.35">
      <c r="A412" t="s">
        <v>436</v>
      </c>
      <c r="B412" t="s">
        <v>40</v>
      </c>
      <c r="C412" t="s">
        <v>17</v>
      </c>
      <c r="D412">
        <v>77.86</v>
      </c>
      <c r="E412" t="s">
        <v>18</v>
      </c>
      <c r="F412">
        <v>631.77</v>
      </c>
      <c r="G412">
        <f t="shared" si="8"/>
        <v>49189.612199999996</v>
      </c>
      <c r="H412" t="str">
        <f>IF(BOQ_Table[[#This Row],[Amount]]&gt;100000,"Over Budget","OK")</f>
        <v>OK</v>
      </c>
      <c r="I412" t="str">
        <f>IF(OR(BOQ_Table[[#This Row],[Quantity]]="",BOQ_Table[[#This Row],[Rate]]=""),"Missing","OK")</f>
        <v>OK</v>
      </c>
    </row>
    <row r="413" spans="1:9" x14ac:dyDescent="0.35">
      <c r="A413" t="s">
        <v>437</v>
      </c>
      <c r="B413" t="s">
        <v>30</v>
      </c>
      <c r="C413" t="s">
        <v>12</v>
      </c>
      <c r="D413">
        <v>157.59</v>
      </c>
      <c r="E413" t="s">
        <v>14</v>
      </c>
      <c r="F413">
        <v>171.39</v>
      </c>
      <c r="G413">
        <f t="shared" si="8"/>
        <v>27009.3501</v>
      </c>
      <c r="H413" t="str">
        <f>IF(BOQ_Table[[#This Row],[Amount]]&gt;100000,"Over Budget","OK")</f>
        <v>OK</v>
      </c>
      <c r="I413" t="str">
        <f>IF(OR(BOQ_Table[[#This Row],[Quantity]]="",BOQ_Table[[#This Row],[Rate]]=""),"Missing","OK")</f>
        <v>OK</v>
      </c>
    </row>
    <row r="414" spans="1:9" x14ac:dyDescent="0.35">
      <c r="A414" t="s">
        <v>438</v>
      </c>
      <c r="B414" t="s">
        <v>56</v>
      </c>
      <c r="C414" t="s">
        <v>17</v>
      </c>
      <c r="D414">
        <v>457.3</v>
      </c>
      <c r="E414" t="s">
        <v>18</v>
      </c>
      <c r="F414">
        <v>728.96</v>
      </c>
      <c r="G414">
        <f t="shared" si="8"/>
        <v>333353.40800000005</v>
      </c>
      <c r="H414" t="str">
        <f>IF(BOQ_Table[[#This Row],[Amount]]&gt;100000,"Over Budget","OK")</f>
        <v>Over Budget</v>
      </c>
      <c r="I414" t="str">
        <f>IF(OR(BOQ_Table[[#This Row],[Quantity]]="",BOQ_Table[[#This Row],[Rate]]=""),"Missing","OK")</f>
        <v>OK</v>
      </c>
    </row>
    <row r="415" spans="1:9" x14ac:dyDescent="0.35">
      <c r="A415" t="s">
        <v>439</v>
      </c>
      <c r="B415" t="s">
        <v>11</v>
      </c>
      <c r="C415" t="s">
        <v>38</v>
      </c>
      <c r="D415">
        <v>12.15</v>
      </c>
      <c r="E415" t="s">
        <v>9</v>
      </c>
      <c r="F415">
        <v>2378.0100000000002</v>
      </c>
      <c r="G415">
        <f t="shared" si="8"/>
        <v>28892.821500000002</v>
      </c>
      <c r="H415" t="str">
        <f>IF(BOQ_Table[[#This Row],[Amount]]&gt;100000,"Over Budget","OK")</f>
        <v>OK</v>
      </c>
      <c r="I415" t="str">
        <f>IF(OR(BOQ_Table[[#This Row],[Quantity]]="",BOQ_Table[[#This Row],[Rate]]=""),"Missing","OK")</f>
        <v>OK</v>
      </c>
    </row>
    <row r="416" spans="1:9" x14ac:dyDescent="0.35">
      <c r="A416" t="s">
        <v>440</v>
      </c>
      <c r="B416" t="s">
        <v>46</v>
      </c>
      <c r="C416" t="s">
        <v>12</v>
      </c>
      <c r="D416">
        <v>128.79</v>
      </c>
      <c r="E416" t="s">
        <v>14</v>
      </c>
      <c r="F416">
        <v>1066.03</v>
      </c>
      <c r="G416">
        <f t="shared" si="8"/>
        <v>137294.0037</v>
      </c>
      <c r="H416" t="str">
        <f>IF(BOQ_Table[[#This Row],[Amount]]&gt;100000,"Over Budget","OK")</f>
        <v>Over Budget</v>
      </c>
      <c r="I416" t="str">
        <f>IF(OR(BOQ_Table[[#This Row],[Quantity]]="",BOQ_Table[[#This Row],[Rate]]=""),"Missing","OK")</f>
        <v>OK</v>
      </c>
    </row>
    <row r="417" spans="1:9" x14ac:dyDescent="0.35">
      <c r="A417" t="s">
        <v>441</v>
      </c>
      <c r="B417" t="s">
        <v>46</v>
      </c>
      <c r="C417" t="s">
        <v>12</v>
      </c>
      <c r="D417">
        <v>188.41</v>
      </c>
      <c r="E417" t="s">
        <v>14</v>
      </c>
      <c r="F417">
        <v>142.07</v>
      </c>
      <c r="G417">
        <f t="shared" si="8"/>
        <v>26767.4087</v>
      </c>
      <c r="H417" t="str">
        <f>IF(BOQ_Table[[#This Row],[Amount]]&gt;100000,"Over Budget","OK")</f>
        <v>OK</v>
      </c>
      <c r="I417" t="str">
        <f>IF(OR(BOQ_Table[[#This Row],[Quantity]]="",BOQ_Table[[#This Row],[Rate]]=""),"Missing","OK")</f>
        <v>OK</v>
      </c>
    </row>
    <row r="418" spans="1:9" x14ac:dyDescent="0.35">
      <c r="A418" t="s">
        <v>442</v>
      </c>
      <c r="B418" t="s">
        <v>40</v>
      </c>
      <c r="C418" t="s">
        <v>12</v>
      </c>
      <c r="D418">
        <v>27.99</v>
      </c>
      <c r="E418" t="s">
        <v>22</v>
      </c>
      <c r="F418">
        <v>1154.58</v>
      </c>
      <c r="G418">
        <f t="shared" si="8"/>
        <v>32316.694199999994</v>
      </c>
      <c r="H418" t="str">
        <f>IF(BOQ_Table[[#This Row],[Amount]]&gt;100000,"Over Budget","OK")</f>
        <v>OK</v>
      </c>
      <c r="I418" t="str">
        <f>IF(OR(BOQ_Table[[#This Row],[Quantity]]="",BOQ_Table[[#This Row],[Rate]]=""),"Missing","OK")</f>
        <v>OK</v>
      </c>
    </row>
    <row r="419" spans="1:9" x14ac:dyDescent="0.35">
      <c r="A419" t="s">
        <v>443</v>
      </c>
      <c r="B419" t="s">
        <v>16</v>
      </c>
      <c r="C419" t="s">
        <v>21</v>
      </c>
      <c r="D419">
        <v>428.84</v>
      </c>
      <c r="E419" t="s">
        <v>18</v>
      </c>
      <c r="F419">
        <v>2448.36</v>
      </c>
      <c r="G419">
        <f t="shared" si="8"/>
        <v>1049954.7024000001</v>
      </c>
      <c r="H419" t="str">
        <f>IF(BOQ_Table[[#This Row],[Amount]]&gt;100000,"Over Budget","OK")</f>
        <v>Over Budget</v>
      </c>
      <c r="I419" t="str">
        <f>IF(OR(BOQ_Table[[#This Row],[Quantity]]="",BOQ_Table[[#This Row],[Rate]]=""),"Missing","OK")</f>
        <v>OK</v>
      </c>
    </row>
    <row r="420" spans="1:9" x14ac:dyDescent="0.35">
      <c r="A420" t="s">
        <v>444</v>
      </c>
      <c r="B420" t="s">
        <v>11</v>
      </c>
      <c r="C420" t="s">
        <v>12</v>
      </c>
      <c r="D420">
        <v>299.47000000000003</v>
      </c>
      <c r="E420" t="s">
        <v>18</v>
      </c>
      <c r="F420">
        <v>1448.12</v>
      </c>
      <c r="G420">
        <f t="shared" si="8"/>
        <v>433668.4964</v>
      </c>
      <c r="H420" t="str">
        <f>IF(BOQ_Table[[#This Row],[Amount]]&gt;100000,"Over Budget","OK")</f>
        <v>Over Budget</v>
      </c>
      <c r="I420" t="str">
        <f>IF(OR(BOQ_Table[[#This Row],[Quantity]]="",BOQ_Table[[#This Row],[Rate]]=""),"Missing","OK")</f>
        <v>OK</v>
      </c>
    </row>
    <row r="421" spans="1:9" x14ac:dyDescent="0.35">
      <c r="A421" t="s">
        <v>445</v>
      </c>
      <c r="B421" t="s">
        <v>20</v>
      </c>
      <c r="C421" t="s">
        <v>8</v>
      </c>
      <c r="D421">
        <v>384.98</v>
      </c>
      <c r="E421" t="s">
        <v>9</v>
      </c>
      <c r="F421">
        <v>4623.6099999999997</v>
      </c>
      <c r="G421">
        <f t="shared" si="8"/>
        <v>1779997.3777999999</v>
      </c>
      <c r="H421" t="str">
        <f>IF(BOQ_Table[[#This Row],[Amount]]&gt;100000,"Over Budget","OK")</f>
        <v>Over Budget</v>
      </c>
      <c r="I421" t="str">
        <f>IF(OR(BOQ_Table[[#This Row],[Quantity]]="",BOQ_Table[[#This Row],[Rate]]=""),"Missing","OK")</f>
        <v>OK</v>
      </c>
    </row>
    <row r="422" spans="1:9" x14ac:dyDescent="0.35">
      <c r="A422" t="s">
        <v>446</v>
      </c>
      <c r="B422" t="s">
        <v>56</v>
      </c>
      <c r="C422" t="s">
        <v>17</v>
      </c>
      <c r="D422">
        <v>200.52</v>
      </c>
      <c r="E422" t="s">
        <v>27</v>
      </c>
      <c r="F422">
        <v>4926.1099999999997</v>
      </c>
      <c r="G422">
        <f t="shared" si="8"/>
        <v>987783.57719999994</v>
      </c>
      <c r="H422" t="str">
        <f>IF(BOQ_Table[[#This Row],[Amount]]&gt;100000,"Over Budget","OK")</f>
        <v>Over Budget</v>
      </c>
      <c r="I422" t="str">
        <f>IF(OR(BOQ_Table[[#This Row],[Quantity]]="",BOQ_Table[[#This Row],[Rate]]=""),"Missing","OK")</f>
        <v>OK</v>
      </c>
    </row>
    <row r="423" spans="1:9" x14ac:dyDescent="0.35">
      <c r="A423" t="s">
        <v>447</v>
      </c>
      <c r="B423" t="s">
        <v>40</v>
      </c>
      <c r="C423" t="s">
        <v>12</v>
      </c>
      <c r="D423">
        <v>336.07</v>
      </c>
      <c r="E423" t="s">
        <v>22</v>
      </c>
      <c r="F423">
        <v>4306.07</v>
      </c>
      <c r="G423">
        <f t="shared" si="8"/>
        <v>1447140.9448999998</v>
      </c>
      <c r="H423" t="str">
        <f>IF(BOQ_Table[[#This Row],[Amount]]&gt;100000,"Over Budget","OK")</f>
        <v>Over Budget</v>
      </c>
      <c r="I423" t="str">
        <f>IF(OR(BOQ_Table[[#This Row],[Quantity]]="",BOQ_Table[[#This Row],[Rate]]=""),"Missing","OK")</f>
        <v>OK</v>
      </c>
    </row>
    <row r="424" spans="1:9" x14ac:dyDescent="0.35">
      <c r="A424" t="s">
        <v>448</v>
      </c>
      <c r="B424" t="s">
        <v>16</v>
      </c>
      <c r="C424" t="s">
        <v>17</v>
      </c>
      <c r="D424">
        <v>10.119999999999999</v>
      </c>
      <c r="E424" t="s">
        <v>9</v>
      </c>
      <c r="F424">
        <v>3659.05</v>
      </c>
      <c r="G424">
        <f t="shared" si="8"/>
        <v>37029.585999999996</v>
      </c>
      <c r="H424" t="str">
        <f>IF(BOQ_Table[[#This Row],[Amount]]&gt;100000,"Over Budget","OK")</f>
        <v>OK</v>
      </c>
      <c r="I424" t="str">
        <f>IF(OR(BOQ_Table[[#This Row],[Quantity]]="",BOQ_Table[[#This Row],[Rate]]=""),"Missing","OK")</f>
        <v>OK</v>
      </c>
    </row>
    <row r="425" spans="1:9" x14ac:dyDescent="0.35">
      <c r="A425" t="s">
        <v>449</v>
      </c>
      <c r="B425" t="s">
        <v>46</v>
      </c>
      <c r="C425" t="s">
        <v>8</v>
      </c>
      <c r="D425">
        <v>258.37</v>
      </c>
      <c r="E425" t="s">
        <v>27</v>
      </c>
      <c r="F425">
        <v>4687.18</v>
      </c>
      <c r="G425">
        <f t="shared" si="8"/>
        <v>1211026.6966000001</v>
      </c>
      <c r="H425" t="str">
        <f>IF(BOQ_Table[[#This Row],[Amount]]&gt;100000,"Over Budget","OK")</f>
        <v>Over Budget</v>
      </c>
      <c r="I425" t="str">
        <f>IF(OR(BOQ_Table[[#This Row],[Quantity]]="",BOQ_Table[[#This Row],[Rate]]=""),"Missing","OK")</f>
        <v>OK</v>
      </c>
    </row>
    <row r="426" spans="1:9" x14ac:dyDescent="0.35">
      <c r="A426" t="s">
        <v>450</v>
      </c>
      <c r="B426" t="s">
        <v>46</v>
      </c>
      <c r="C426" t="s">
        <v>38</v>
      </c>
      <c r="D426">
        <v>324.33</v>
      </c>
      <c r="E426" t="s">
        <v>9</v>
      </c>
      <c r="F426">
        <v>4911.79</v>
      </c>
      <c r="G426">
        <f t="shared" si="8"/>
        <v>1593040.8506999998</v>
      </c>
      <c r="H426" t="str">
        <f>IF(BOQ_Table[[#This Row],[Amount]]&gt;100000,"Over Budget","OK")</f>
        <v>Over Budget</v>
      </c>
      <c r="I426" t="str">
        <f>IF(OR(BOQ_Table[[#This Row],[Quantity]]="",BOQ_Table[[#This Row],[Rate]]=""),"Missing","OK")</f>
        <v>OK</v>
      </c>
    </row>
    <row r="427" spans="1:9" x14ac:dyDescent="0.35">
      <c r="A427" t="s">
        <v>451</v>
      </c>
      <c r="B427" t="s">
        <v>30</v>
      </c>
      <c r="C427" t="s">
        <v>17</v>
      </c>
      <c r="D427">
        <v>115.45</v>
      </c>
      <c r="E427" t="s">
        <v>9</v>
      </c>
      <c r="F427">
        <v>712.48</v>
      </c>
      <c r="G427">
        <f t="shared" si="8"/>
        <v>82255.816000000006</v>
      </c>
      <c r="H427" t="str">
        <f>IF(BOQ_Table[[#This Row],[Amount]]&gt;100000,"Over Budget","OK")</f>
        <v>OK</v>
      </c>
      <c r="I427" t="str">
        <f>IF(OR(BOQ_Table[[#This Row],[Quantity]]="",BOQ_Table[[#This Row],[Rate]]=""),"Missing","OK")</f>
        <v>OK</v>
      </c>
    </row>
    <row r="428" spans="1:9" x14ac:dyDescent="0.35">
      <c r="A428" t="s">
        <v>452</v>
      </c>
      <c r="B428" t="s">
        <v>56</v>
      </c>
      <c r="C428" t="s">
        <v>8</v>
      </c>
      <c r="D428">
        <v>426.63</v>
      </c>
      <c r="E428" t="s">
        <v>27</v>
      </c>
      <c r="F428">
        <v>3144.29</v>
      </c>
      <c r="G428">
        <f t="shared" si="8"/>
        <v>1341448.4427</v>
      </c>
      <c r="H428" t="str">
        <f>IF(BOQ_Table[[#This Row],[Amount]]&gt;100000,"Over Budget","OK")</f>
        <v>Over Budget</v>
      </c>
      <c r="I428" t="str">
        <f>IF(OR(BOQ_Table[[#This Row],[Quantity]]="",BOQ_Table[[#This Row],[Rate]]=""),"Missing","OK")</f>
        <v>OK</v>
      </c>
    </row>
    <row r="429" spans="1:9" x14ac:dyDescent="0.35">
      <c r="A429" t="s">
        <v>453</v>
      </c>
      <c r="B429" t="s">
        <v>16</v>
      </c>
      <c r="C429" t="s">
        <v>8</v>
      </c>
      <c r="D429">
        <v>139.32</v>
      </c>
      <c r="E429" t="s">
        <v>9</v>
      </c>
      <c r="F429">
        <v>4994.37</v>
      </c>
      <c r="G429">
        <f t="shared" si="8"/>
        <v>695815.62839999993</v>
      </c>
      <c r="H429" t="str">
        <f>IF(BOQ_Table[[#This Row],[Amount]]&gt;100000,"Over Budget","OK")</f>
        <v>Over Budget</v>
      </c>
      <c r="I429" t="str">
        <f>IF(OR(BOQ_Table[[#This Row],[Quantity]]="",BOQ_Table[[#This Row],[Rate]]=""),"Missing","OK")</f>
        <v>OK</v>
      </c>
    </row>
    <row r="430" spans="1:9" x14ac:dyDescent="0.35">
      <c r="A430" t="s">
        <v>454</v>
      </c>
      <c r="B430" t="s">
        <v>16</v>
      </c>
      <c r="C430" t="s">
        <v>12</v>
      </c>
      <c r="D430">
        <v>373.17</v>
      </c>
      <c r="E430" t="s">
        <v>18</v>
      </c>
      <c r="F430">
        <v>4094.39</v>
      </c>
      <c r="G430">
        <f t="shared" si="8"/>
        <v>1527903.5163</v>
      </c>
      <c r="H430" t="str">
        <f>IF(BOQ_Table[[#This Row],[Amount]]&gt;100000,"Over Budget","OK")</f>
        <v>Over Budget</v>
      </c>
      <c r="I430" t="str">
        <f>IF(OR(BOQ_Table[[#This Row],[Quantity]]="",BOQ_Table[[#This Row],[Rate]]=""),"Missing","OK")</f>
        <v>OK</v>
      </c>
    </row>
    <row r="431" spans="1:9" x14ac:dyDescent="0.35">
      <c r="A431" t="s">
        <v>455</v>
      </c>
      <c r="B431" t="s">
        <v>42</v>
      </c>
      <c r="C431" t="s">
        <v>38</v>
      </c>
      <c r="D431">
        <v>25.04</v>
      </c>
      <c r="E431" t="s">
        <v>14</v>
      </c>
      <c r="F431">
        <v>3569.13</v>
      </c>
      <c r="G431">
        <f t="shared" si="8"/>
        <v>89371.015199999994</v>
      </c>
      <c r="H431" t="str">
        <f>IF(BOQ_Table[[#This Row],[Amount]]&gt;100000,"Over Budget","OK")</f>
        <v>OK</v>
      </c>
      <c r="I431" t="str">
        <f>IF(OR(BOQ_Table[[#This Row],[Quantity]]="",BOQ_Table[[#This Row],[Rate]]=""),"Missing","OK")</f>
        <v>OK</v>
      </c>
    </row>
    <row r="432" spans="1:9" x14ac:dyDescent="0.35">
      <c r="A432" t="s">
        <v>456</v>
      </c>
      <c r="B432" t="s">
        <v>32</v>
      </c>
      <c r="C432" t="s">
        <v>21</v>
      </c>
      <c r="D432">
        <v>229.55</v>
      </c>
      <c r="E432" t="s">
        <v>18</v>
      </c>
      <c r="F432">
        <v>3921.5</v>
      </c>
      <c r="G432">
        <f t="shared" si="8"/>
        <v>900180.32500000007</v>
      </c>
      <c r="H432" t="str">
        <f>IF(BOQ_Table[[#This Row],[Amount]]&gt;100000,"Over Budget","OK")</f>
        <v>Over Budget</v>
      </c>
      <c r="I432" t="str">
        <f>IF(OR(BOQ_Table[[#This Row],[Quantity]]="",BOQ_Table[[#This Row],[Rate]]=""),"Missing","OK")</f>
        <v>OK</v>
      </c>
    </row>
    <row r="433" spans="1:9" x14ac:dyDescent="0.35">
      <c r="A433" t="s">
        <v>457</v>
      </c>
      <c r="B433" t="s">
        <v>11</v>
      </c>
      <c r="C433" t="s">
        <v>17</v>
      </c>
      <c r="D433">
        <v>268.23</v>
      </c>
      <c r="E433" t="s">
        <v>27</v>
      </c>
      <c r="F433">
        <v>1935.39</v>
      </c>
      <c r="G433">
        <f t="shared" si="8"/>
        <v>519129.65970000008</v>
      </c>
      <c r="H433" t="str">
        <f>IF(BOQ_Table[[#This Row],[Amount]]&gt;100000,"Over Budget","OK")</f>
        <v>Over Budget</v>
      </c>
      <c r="I433" t="str">
        <f>IF(OR(BOQ_Table[[#This Row],[Quantity]]="",BOQ_Table[[#This Row],[Rate]]=""),"Missing","OK")</f>
        <v>OK</v>
      </c>
    </row>
    <row r="434" spans="1:9" x14ac:dyDescent="0.35">
      <c r="A434" t="s">
        <v>458</v>
      </c>
      <c r="B434" t="s">
        <v>56</v>
      </c>
      <c r="C434" t="s">
        <v>8</v>
      </c>
      <c r="D434">
        <v>280.60000000000002</v>
      </c>
      <c r="E434" t="s">
        <v>27</v>
      </c>
      <c r="F434">
        <v>124.55</v>
      </c>
      <c r="G434">
        <f t="shared" si="8"/>
        <v>34948.730000000003</v>
      </c>
      <c r="H434" t="str">
        <f>IF(BOQ_Table[[#This Row],[Amount]]&gt;100000,"Over Budget","OK")</f>
        <v>OK</v>
      </c>
      <c r="I434" t="str">
        <f>IF(OR(BOQ_Table[[#This Row],[Quantity]]="",BOQ_Table[[#This Row],[Rate]]=""),"Missing","OK")</f>
        <v>OK</v>
      </c>
    </row>
    <row r="435" spans="1:9" x14ac:dyDescent="0.35">
      <c r="A435" t="s">
        <v>459</v>
      </c>
      <c r="B435" t="s">
        <v>7</v>
      </c>
      <c r="C435" t="s">
        <v>8</v>
      </c>
      <c r="D435">
        <v>314.79000000000002</v>
      </c>
      <c r="E435" t="s">
        <v>18</v>
      </c>
      <c r="F435">
        <v>1748.33</v>
      </c>
      <c r="G435">
        <f t="shared" si="8"/>
        <v>550356.80070000002</v>
      </c>
      <c r="H435" t="str">
        <f>IF(BOQ_Table[[#This Row],[Amount]]&gt;100000,"Over Budget","OK")</f>
        <v>Over Budget</v>
      </c>
      <c r="I435" t="str">
        <f>IF(OR(BOQ_Table[[#This Row],[Quantity]]="",BOQ_Table[[#This Row],[Rate]]=""),"Missing","OK")</f>
        <v>OK</v>
      </c>
    </row>
    <row r="436" spans="1:9" x14ac:dyDescent="0.35">
      <c r="A436" t="s">
        <v>460</v>
      </c>
      <c r="B436" t="s">
        <v>7</v>
      </c>
      <c r="C436" t="s">
        <v>17</v>
      </c>
      <c r="D436">
        <v>456.75</v>
      </c>
      <c r="E436" t="s">
        <v>14</v>
      </c>
      <c r="F436">
        <v>4391.83</v>
      </c>
      <c r="G436">
        <f t="shared" si="8"/>
        <v>2005968.3525</v>
      </c>
      <c r="H436" t="str">
        <f>IF(BOQ_Table[[#This Row],[Amount]]&gt;100000,"Over Budget","OK")</f>
        <v>Over Budget</v>
      </c>
      <c r="I436" t="str">
        <f>IF(OR(BOQ_Table[[#This Row],[Quantity]]="",BOQ_Table[[#This Row],[Rate]]=""),"Missing","OK")</f>
        <v>OK</v>
      </c>
    </row>
    <row r="437" spans="1:9" x14ac:dyDescent="0.35">
      <c r="A437" t="s">
        <v>461</v>
      </c>
      <c r="B437" t="s">
        <v>42</v>
      </c>
      <c r="C437" t="s">
        <v>12</v>
      </c>
      <c r="D437">
        <v>340.51</v>
      </c>
      <c r="E437" t="s">
        <v>18</v>
      </c>
      <c r="F437">
        <v>1688.1</v>
      </c>
      <c r="G437">
        <f t="shared" si="8"/>
        <v>574814.93099999998</v>
      </c>
      <c r="H437" t="str">
        <f>IF(BOQ_Table[[#This Row],[Amount]]&gt;100000,"Over Budget","OK")</f>
        <v>Over Budget</v>
      </c>
      <c r="I437" t="str">
        <f>IF(OR(BOQ_Table[[#This Row],[Quantity]]="",BOQ_Table[[#This Row],[Rate]]=""),"Missing","OK")</f>
        <v>OK</v>
      </c>
    </row>
    <row r="438" spans="1:9" x14ac:dyDescent="0.35">
      <c r="A438" t="s">
        <v>462</v>
      </c>
      <c r="B438" t="s">
        <v>32</v>
      </c>
      <c r="C438" t="s">
        <v>12</v>
      </c>
      <c r="D438">
        <v>489.62</v>
      </c>
      <c r="E438" t="s">
        <v>22</v>
      </c>
      <c r="F438">
        <v>2928.01</v>
      </c>
      <c r="G438">
        <f t="shared" si="8"/>
        <v>1433612.2562000002</v>
      </c>
      <c r="H438" t="str">
        <f>IF(BOQ_Table[[#This Row],[Amount]]&gt;100000,"Over Budget","OK")</f>
        <v>Over Budget</v>
      </c>
      <c r="I438" t="str">
        <f>IF(OR(BOQ_Table[[#This Row],[Quantity]]="",BOQ_Table[[#This Row],[Rate]]=""),"Missing","OK")</f>
        <v>OK</v>
      </c>
    </row>
    <row r="439" spans="1:9" x14ac:dyDescent="0.35">
      <c r="A439" t="s">
        <v>463</v>
      </c>
      <c r="B439" t="s">
        <v>46</v>
      </c>
      <c r="C439" t="s">
        <v>38</v>
      </c>
      <c r="D439">
        <v>485.85</v>
      </c>
      <c r="E439" t="s">
        <v>27</v>
      </c>
      <c r="F439">
        <v>4962.12</v>
      </c>
      <c r="G439">
        <f t="shared" si="8"/>
        <v>2410846.0019999999</v>
      </c>
      <c r="H439" t="str">
        <f>IF(BOQ_Table[[#This Row],[Amount]]&gt;100000,"Over Budget","OK")</f>
        <v>Over Budget</v>
      </c>
      <c r="I439" t="str">
        <f>IF(OR(BOQ_Table[[#This Row],[Quantity]]="",BOQ_Table[[#This Row],[Rate]]=""),"Missing","OK")</f>
        <v>OK</v>
      </c>
    </row>
    <row r="440" spans="1:9" x14ac:dyDescent="0.35">
      <c r="A440" t="s">
        <v>464</v>
      </c>
      <c r="B440" t="s">
        <v>30</v>
      </c>
      <c r="C440" t="s">
        <v>21</v>
      </c>
      <c r="D440">
        <v>85.56</v>
      </c>
      <c r="E440" t="s">
        <v>9</v>
      </c>
      <c r="F440">
        <v>1130.24</v>
      </c>
      <c r="G440">
        <f t="shared" si="8"/>
        <v>96703.334400000007</v>
      </c>
      <c r="H440" t="str">
        <f>IF(BOQ_Table[[#This Row],[Amount]]&gt;100000,"Over Budget","OK")</f>
        <v>OK</v>
      </c>
      <c r="I440" t="str">
        <f>IF(OR(BOQ_Table[[#This Row],[Quantity]]="",BOQ_Table[[#This Row],[Rate]]=""),"Missing","OK")</f>
        <v>OK</v>
      </c>
    </row>
    <row r="441" spans="1:9" x14ac:dyDescent="0.35">
      <c r="A441" t="s">
        <v>465</v>
      </c>
      <c r="B441" t="s">
        <v>7</v>
      </c>
      <c r="C441" t="s">
        <v>38</v>
      </c>
      <c r="D441">
        <v>290.45</v>
      </c>
      <c r="E441" t="s">
        <v>22</v>
      </c>
      <c r="F441">
        <v>3986.92</v>
      </c>
      <c r="G441">
        <f t="shared" si="8"/>
        <v>1158000.9139999999</v>
      </c>
      <c r="H441" t="str">
        <f>IF(BOQ_Table[[#This Row],[Amount]]&gt;100000,"Over Budget","OK")</f>
        <v>Over Budget</v>
      </c>
      <c r="I441" t="str">
        <f>IF(OR(BOQ_Table[[#This Row],[Quantity]]="",BOQ_Table[[#This Row],[Rate]]=""),"Missing","OK")</f>
        <v>OK</v>
      </c>
    </row>
    <row r="442" spans="1:9" x14ac:dyDescent="0.35">
      <c r="A442" t="s">
        <v>466</v>
      </c>
      <c r="B442" t="s">
        <v>30</v>
      </c>
      <c r="C442" t="s">
        <v>38</v>
      </c>
      <c r="D442">
        <v>387.77</v>
      </c>
      <c r="E442" t="s">
        <v>22</v>
      </c>
      <c r="F442">
        <v>4074.8</v>
      </c>
      <c r="G442">
        <f t="shared" si="8"/>
        <v>1580085.196</v>
      </c>
      <c r="H442" t="str">
        <f>IF(BOQ_Table[[#This Row],[Amount]]&gt;100000,"Over Budget","OK")</f>
        <v>Over Budget</v>
      </c>
      <c r="I442" t="str">
        <f>IF(OR(BOQ_Table[[#This Row],[Quantity]]="",BOQ_Table[[#This Row],[Rate]]=""),"Missing","OK")</f>
        <v>OK</v>
      </c>
    </row>
    <row r="443" spans="1:9" x14ac:dyDescent="0.35">
      <c r="A443" t="s">
        <v>467</v>
      </c>
      <c r="B443" t="s">
        <v>16</v>
      </c>
      <c r="C443" t="s">
        <v>21</v>
      </c>
      <c r="D443">
        <v>366.4</v>
      </c>
      <c r="E443" t="s">
        <v>27</v>
      </c>
      <c r="F443">
        <v>2464.3200000000002</v>
      </c>
      <c r="G443">
        <f t="shared" si="8"/>
        <v>902926.848</v>
      </c>
      <c r="H443" t="str">
        <f>IF(BOQ_Table[[#This Row],[Amount]]&gt;100000,"Over Budget","OK")</f>
        <v>Over Budget</v>
      </c>
      <c r="I443" t="str">
        <f>IF(OR(BOQ_Table[[#This Row],[Quantity]]="",BOQ_Table[[#This Row],[Rate]]=""),"Missing","OK")</f>
        <v>OK</v>
      </c>
    </row>
    <row r="444" spans="1:9" x14ac:dyDescent="0.35">
      <c r="A444" t="s">
        <v>468</v>
      </c>
      <c r="B444" t="s">
        <v>32</v>
      </c>
      <c r="C444" t="s">
        <v>38</v>
      </c>
      <c r="D444">
        <v>79.75</v>
      </c>
      <c r="E444" t="s">
        <v>9</v>
      </c>
      <c r="F444">
        <v>4631.7</v>
      </c>
      <c r="G444">
        <f t="shared" si="8"/>
        <v>369378.07500000001</v>
      </c>
      <c r="H444" t="str">
        <f>IF(BOQ_Table[[#This Row],[Amount]]&gt;100000,"Over Budget","OK")</f>
        <v>Over Budget</v>
      </c>
      <c r="I444" t="str">
        <f>IF(OR(BOQ_Table[[#This Row],[Quantity]]="",BOQ_Table[[#This Row],[Rate]]=""),"Missing","OK")</f>
        <v>OK</v>
      </c>
    </row>
    <row r="445" spans="1:9" x14ac:dyDescent="0.35">
      <c r="A445" t="s">
        <v>469</v>
      </c>
      <c r="B445" t="s">
        <v>11</v>
      </c>
      <c r="C445" t="s">
        <v>17</v>
      </c>
      <c r="D445">
        <v>49.98</v>
      </c>
      <c r="E445" t="s">
        <v>18</v>
      </c>
      <c r="F445">
        <v>462.56</v>
      </c>
      <c r="G445">
        <f t="shared" si="8"/>
        <v>23118.748799999998</v>
      </c>
      <c r="H445" t="str">
        <f>IF(BOQ_Table[[#This Row],[Amount]]&gt;100000,"Over Budget","OK")</f>
        <v>OK</v>
      </c>
      <c r="I445" t="str">
        <f>IF(OR(BOQ_Table[[#This Row],[Quantity]]="",BOQ_Table[[#This Row],[Rate]]=""),"Missing","OK")</f>
        <v>OK</v>
      </c>
    </row>
    <row r="446" spans="1:9" x14ac:dyDescent="0.35">
      <c r="A446" t="s">
        <v>470</v>
      </c>
      <c r="B446" t="s">
        <v>46</v>
      </c>
      <c r="C446" t="s">
        <v>38</v>
      </c>
      <c r="D446">
        <v>11.81</v>
      </c>
      <c r="E446" t="s">
        <v>27</v>
      </c>
      <c r="F446">
        <v>3246.67</v>
      </c>
      <c r="G446">
        <f t="shared" si="8"/>
        <v>38343.172700000003</v>
      </c>
      <c r="H446" t="str">
        <f>IF(BOQ_Table[[#This Row],[Amount]]&gt;100000,"Over Budget","OK")</f>
        <v>OK</v>
      </c>
      <c r="I446" t="str">
        <f>IF(OR(BOQ_Table[[#This Row],[Quantity]]="",BOQ_Table[[#This Row],[Rate]]=""),"Missing","OK")</f>
        <v>OK</v>
      </c>
    </row>
    <row r="447" spans="1:9" x14ac:dyDescent="0.35">
      <c r="A447" t="s">
        <v>471</v>
      </c>
      <c r="B447" t="s">
        <v>11</v>
      </c>
      <c r="C447" t="s">
        <v>12</v>
      </c>
      <c r="D447">
        <v>44.56</v>
      </c>
      <c r="E447" t="s">
        <v>22</v>
      </c>
      <c r="F447">
        <v>4857.63</v>
      </c>
      <c r="G447">
        <f t="shared" si="8"/>
        <v>216455.99280000001</v>
      </c>
      <c r="H447" t="str">
        <f>IF(BOQ_Table[[#This Row],[Amount]]&gt;100000,"Over Budget","OK")</f>
        <v>Over Budget</v>
      </c>
      <c r="I447" t="str">
        <f>IF(OR(BOQ_Table[[#This Row],[Quantity]]="",BOQ_Table[[#This Row],[Rate]]=""),"Missing","OK")</f>
        <v>OK</v>
      </c>
    </row>
    <row r="448" spans="1:9" x14ac:dyDescent="0.35">
      <c r="A448" t="s">
        <v>472</v>
      </c>
      <c r="B448" t="s">
        <v>42</v>
      </c>
      <c r="C448" t="s">
        <v>21</v>
      </c>
      <c r="D448">
        <v>207.23</v>
      </c>
      <c r="E448" t="s">
        <v>27</v>
      </c>
      <c r="F448">
        <v>2386.4299999999998</v>
      </c>
      <c r="G448">
        <f t="shared" si="8"/>
        <v>494539.88889999996</v>
      </c>
      <c r="H448" t="str">
        <f>IF(BOQ_Table[[#This Row],[Amount]]&gt;100000,"Over Budget","OK")</f>
        <v>Over Budget</v>
      </c>
      <c r="I448" t="str">
        <f>IF(OR(BOQ_Table[[#This Row],[Quantity]]="",BOQ_Table[[#This Row],[Rate]]=""),"Missing","OK")</f>
        <v>OK</v>
      </c>
    </row>
    <row r="449" spans="1:9" x14ac:dyDescent="0.35">
      <c r="A449" t="s">
        <v>473</v>
      </c>
      <c r="B449" t="s">
        <v>56</v>
      </c>
      <c r="C449" t="s">
        <v>17</v>
      </c>
      <c r="D449">
        <v>56.7</v>
      </c>
      <c r="E449" t="s">
        <v>14</v>
      </c>
      <c r="F449">
        <v>3837.64</v>
      </c>
      <c r="G449">
        <f t="shared" si="8"/>
        <v>217594.18799999999</v>
      </c>
      <c r="H449" t="str">
        <f>IF(BOQ_Table[[#This Row],[Amount]]&gt;100000,"Over Budget","OK")</f>
        <v>Over Budget</v>
      </c>
      <c r="I449" t="str">
        <f>IF(OR(BOQ_Table[[#This Row],[Quantity]]="",BOQ_Table[[#This Row],[Rate]]=""),"Missing","OK")</f>
        <v>OK</v>
      </c>
    </row>
    <row r="450" spans="1:9" x14ac:dyDescent="0.35">
      <c r="A450" t="s">
        <v>474</v>
      </c>
      <c r="B450" t="s">
        <v>56</v>
      </c>
      <c r="C450" t="s">
        <v>8</v>
      </c>
      <c r="D450">
        <v>269.94</v>
      </c>
      <c r="E450" t="s">
        <v>18</v>
      </c>
      <c r="F450">
        <v>1841.19</v>
      </c>
      <c r="G450">
        <f t="shared" ref="G450:G513" si="9">D450*F450</f>
        <v>497010.82860000001</v>
      </c>
      <c r="H450" t="str">
        <f>IF(BOQ_Table[[#This Row],[Amount]]&gt;100000,"Over Budget","OK")</f>
        <v>Over Budget</v>
      </c>
      <c r="I450" t="str">
        <f>IF(OR(BOQ_Table[[#This Row],[Quantity]]="",BOQ_Table[[#This Row],[Rate]]=""),"Missing","OK")</f>
        <v>OK</v>
      </c>
    </row>
    <row r="451" spans="1:9" x14ac:dyDescent="0.35">
      <c r="A451" t="s">
        <v>475</v>
      </c>
      <c r="B451" t="s">
        <v>46</v>
      </c>
      <c r="C451" t="s">
        <v>12</v>
      </c>
      <c r="D451">
        <v>299.48</v>
      </c>
      <c r="E451" t="s">
        <v>14</v>
      </c>
      <c r="F451">
        <v>1790.86</v>
      </c>
      <c r="G451">
        <f t="shared" si="9"/>
        <v>536326.75280000002</v>
      </c>
      <c r="H451" t="str">
        <f>IF(BOQ_Table[[#This Row],[Amount]]&gt;100000,"Over Budget","OK")</f>
        <v>Over Budget</v>
      </c>
      <c r="I451" t="str">
        <f>IF(OR(BOQ_Table[[#This Row],[Quantity]]="",BOQ_Table[[#This Row],[Rate]]=""),"Missing","OK")</f>
        <v>OK</v>
      </c>
    </row>
    <row r="452" spans="1:9" x14ac:dyDescent="0.35">
      <c r="A452" t="s">
        <v>476</v>
      </c>
      <c r="B452" t="s">
        <v>11</v>
      </c>
      <c r="C452" t="s">
        <v>38</v>
      </c>
      <c r="D452">
        <v>286.62</v>
      </c>
      <c r="E452" t="s">
        <v>27</v>
      </c>
      <c r="F452">
        <v>3990.06</v>
      </c>
      <c r="G452">
        <f t="shared" si="9"/>
        <v>1143630.9972000001</v>
      </c>
      <c r="H452" t="str">
        <f>IF(BOQ_Table[[#This Row],[Amount]]&gt;100000,"Over Budget","OK")</f>
        <v>Over Budget</v>
      </c>
      <c r="I452" t="str">
        <f>IF(OR(BOQ_Table[[#This Row],[Quantity]]="",BOQ_Table[[#This Row],[Rate]]=""),"Missing","OK")</f>
        <v>OK</v>
      </c>
    </row>
    <row r="453" spans="1:9" x14ac:dyDescent="0.35">
      <c r="A453" t="s">
        <v>477</v>
      </c>
      <c r="B453" t="s">
        <v>16</v>
      </c>
      <c r="C453" t="s">
        <v>17</v>
      </c>
      <c r="D453">
        <v>221.5</v>
      </c>
      <c r="E453" t="s">
        <v>22</v>
      </c>
      <c r="F453">
        <v>950.87</v>
      </c>
      <c r="G453">
        <f t="shared" si="9"/>
        <v>210617.70499999999</v>
      </c>
      <c r="H453" t="str">
        <f>IF(BOQ_Table[[#This Row],[Amount]]&gt;100000,"Over Budget","OK")</f>
        <v>Over Budget</v>
      </c>
      <c r="I453" t="str">
        <f>IF(OR(BOQ_Table[[#This Row],[Quantity]]="",BOQ_Table[[#This Row],[Rate]]=""),"Missing","OK")</f>
        <v>OK</v>
      </c>
    </row>
    <row r="454" spans="1:9" x14ac:dyDescent="0.35">
      <c r="A454" t="s">
        <v>478</v>
      </c>
      <c r="B454" t="s">
        <v>32</v>
      </c>
      <c r="C454" t="s">
        <v>17</v>
      </c>
      <c r="D454">
        <v>385.56</v>
      </c>
      <c r="E454" t="s">
        <v>27</v>
      </c>
      <c r="F454">
        <v>2335.39</v>
      </c>
      <c r="G454">
        <f t="shared" si="9"/>
        <v>900432.96840000001</v>
      </c>
      <c r="H454" t="str">
        <f>IF(BOQ_Table[[#This Row],[Amount]]&gt;100000,"Over Budget","OK")</f>
        <v>Over Budget</v>
      </c>
      <c r="I454" t="str">
        <f>IF(OR(BOQ_Table[[#This Row],[Quantity]]="",BOQ_Table[[#This Row],[Rate]]=""),"Missing","OK")</f>
        <v>OK</v>
      </c>
    </row>
    <row r="455" spans="1:9" x14ac:dyDescent="0.35">
      <c r="A455" t="s">
        <v>479</v>
      </c>
      <c r="B455" t="s">
        <v>40</v>
      </c>
      <c r="C455" t="s">
        <v>8</v>
      </c>
      <c r="D455">
        <v>456.73</v>
      </c>
      <c r="E455" t="s">
        <v>27</v>
      </c>
      <c r="F455">
        <v>1226.83</v>
      </c>
      <c r="G455">
        <f t="shared" si="9"/>
        <v>560330.06590000005</v>
      </c>
      <c r="H455" t="str">
        <f>IF(BOQ_Table[[#This Row],[Amount]]&gt;100000,"Over Budget","OK")</f>
        <v>Over Budget</v>
      </c>
      <c r="I455" t="str">
        <f>IF(OR(BOQ_Table[[#This Row],[Quantity]]="",BOQ_Table[[#This Row],[Rate]]=""),"Missing","OK")</f>
        <v>OK</v>
      </c>
    </row>
    <row r="456" spans="1:9" x14ac:dyDescent="0.35">
      <c r="A456" t="s">
        <v>480</v>
      </c>
      <c r="B456" t="s">
        <v>40</v>
      </c>
      <c r="C456" t="s">
        <v>38</v>
      </c>
      <c r="D456">
        <v>369.07</v>
      </c>
      <c r="E456" t="s">
        <v>22</v>
      </c>
      <c r="F456">
        <v>4411.17</v>
      </c>
      <c r="G456">
        <f t="shared" si="9"/>
        <v>1628030.5119</v>
      </c>
      <c r="H456" t="str">
        <f>IF(BOQ_Table[[#This Row],[Amount]]&gt;100000,"Over Budget","OK")</f>
        <v>Over Budget</v>
      </c>
      <c r="I456" t="str">
        <f>IF(OR(BOQ_Table[[#This Row],[Quantity]]="",BOQ_Table[[#This Row],[Rate]]=""),"Missing","OK")</f>
        <v>OK</v>
      </c>
    </row>
    <row r="457" spans="1:9" x14ac:dyDescent="0.35">
      <c r="A457" t="s">
        <v>481</v>
      </c>
      <c r="B457" t="s">
        <v>46</v>
      </c>
      <c r="C457" t="s">
        <v>12</v>
      </c>
      <c r="D457">
        <v>64.53</v>
      </c>
      <c r="E457" t="s">
        <v>18</v>
      </c>
      <c r="F457">
        <v>1652.36</v>
      </c>
      <c r="G457">
        <f t="shared" si="9"/>
        <v>106626.7908</v>
      </c>
      <c r="H457" t="str">
        <f>IF(BOQ_Table[[#This Row],[Amount]]&gt;100000,"Over Budget","OK")</f>
        <v>Over Budget</v>
      </c>
      <c r="I457" t="str">
        <f>IF(OR(BOQ_Table[[#This Row],[Quantity]]="",BOQ_Table[[#This Row],[Rate]]=""),"Missing","OK")</f>
        <v>OK</v>
      </c>
    </row>
    <row r="458" spans="1:9" x14ac:dyDescent="0.35">
      <c r="A458" t="s">
        <v>482</v>
      </c>
      <c r="B458" t="s">
        <v>42</v>
      </c>
      <c r="C458" t="s">
        <v>38</v>
      </c>
      <c r="D458">
        <v>98.39</v>
      </c>
      <c r="E458" t="s">
        <v>9</v>
      </c>
      <c r="F458">
        <v>3126.19</v>
      </c>
      <c r="G458">
        <f t="shared" si="9"/>
        <v>307585.83409999998</v>
      </c>
      <c r="H458" t="str">
        <f>IF(BOQ_Table[[#This Row],[Amount]]&gt;100000,"Over Budget","OK")</f>
        <v>Over Budget</v>
      </c>
      <c r="I458" t="str">
        <f>IF(OR(BOQ_Table[[#This Row],[Quantity]]="",BOQ_Table[[#This Row],[Rate]]=""),"Missing","OK")</f>
        <v>OK</v>
      </c>
    </row>
    <row r="459" spans="1:9" x14ac:dyDescent="0.35">
      <c r="A459" t="s">
        <v>483</v>
      </c>
      <c r="B459" t="s">
        <v>32</v>
      </c>
      <c r="C459" t="s">
        <v>17</v>
      </c>
      <c r="D459">
        <v>435.18</v>
      </c>
      <c r="E459" t="s">
        <v>27</v>
      </c>
      <c r="F459">
        <v>1247.44</v>
      </c>
      <c r="G459">
        <f t="shared" si="9"/>
        <v>542860.93920000002</v>
      </c>
      <c r="H459" t="str">
        <f>IF(BOQ_Table[[#This Row],[Amount]]&gt;100000,"Over Budget","OK")</f>
        <v>Over Budget</v>
      </c>
      <c r="I459" t="str">
        <f>IF(OR(BOQ_Table[[#This Row],[Quantity]]="",BOQ_Table[[#This Row],[Rate]]=""),"Missing","OK")</f>
        <v>OK</v>
      </c>
    </row>
    <row r="460" spans="1:9" x14ac:dyDescent="0.35">
      <c r="A460" t="s">
        <v>484</v>
      </c>
      <c r="B460" t="s">
        <v>56</v>
      </c>
      <c r="C460" t="s">
        <v>8</v>
      </c>
      <c r="D460">
        <v>310.08999999999997</v>
      </c>
      <c r="E460" t="s">
        <v>22</v>
      </c>
      <c r="F460">
        <v>1142.06</v>
      </c>
      <c r="G460">
        <f t="shared" si="9"/>
        <v>354141.38539999997</v>
      </c>
      <c r="H460" t="str">
        <f>IF(BOQ_Table[[#This Row],[Amount]]&gt;100000,"Over Budget","OK")</f>
        <v>Over Budget</v>
      </c>
      <c r="I460" t="str">
        <f>IF(OR(BOQ_Table[[#This Row],[Quantity]]="",BOQ_Table[[#This Row],[Rate]]=""),"Missing","OK")</f>
        <v>OK</v>
      </c>
    </row>
    <row r="461" spans="1:9" x14ac:dyDescent="0.35">
      <c r="A461" t="s">
        <v>485</v>
      </c>
      <c r="B461" t="s">
        <v>30</v>
      </c>
      <c r="C461" t="s">
        <v>21</v>
      </c>
      <c r="D461">
        <v>488.31</v>
      </c>
      <c r="E461" t="s">
        <v>27</v>
      </c>
      <c r="F461">
        <v>3728.92</v>
      </c>
      <c r="G461">
        <f t="shared" si="9"/>
        <v>1820868.9251999999</v>
      </c>
      <c r="H461" t="str">
        <f>IF(BOQ_Table[[#This Row],[Amount]]&gt;100000,"Over Budget","OK")</f>
        <v>Over Budget</v>
      </c>
      <c r="I461" t="str">
        <f>IF(OR(BOQ_Table[[#This Row],[Quantity]]="",BOQ_Table[[#This Row],[Rate]]=""),"Missing","OK")</f>
        <v>OK</v>
      </c>
    </row>
    <row r="462" spans="1:9" x14ac:dyDescent="0.35">
      <c r="A462" t="s">
        <v>486</v>
      </c>
      <c r="B462" t="s">
        <v>56</v>
      </c>
      <c r="C462" t="s">
        <v>21</v>
      </c>
      <c r="D462">
        <v>62.98</v>
      </c>
      <c r="E462" t="s">
        <v>22</v>
      </c>
      <c r="F462">
        <v>3117.17</v>
      </c>
      <c r="G462">
        <f t="shared" si="9"/>
        <v>196319.36660000001</v>
      </c>
      <c r="H462" t="str">
        <f>IF(BOQ_Table[[#This Row],[Amount]]&gt;100000,"Over Budget","OK")</f>
        <v>Over Budget</v>
      </c>
      <c r="I462" t="str">
        <f>IF(OR(BOQ_Table[[#This Row],[Quantity]]="",BOQ_Table[[#This Row],[Rate]]=""),"Missing","OK")</f>
        <v>OK</v>
      </c>
    </row>
    <row r="463" spans="1:9" x14ac:dyDescent="0.35">
      <c r="A463" t="s">
        <v>487</v>
      </c>
      <c r="B463" t="s">
        <v>32</v>
      </c>
      <c r="C463" t="s">
        <v>8</v>
      </c>
      <c r="D463">
        <v>488.02</v>
      </c>
      <c r="E463" t="s">
        <v>14</v>
      </c>
      <c r="F463">
        <v>235.09</v>
      </c>
      <c r="G463">
        <f t="shared" si="9"/>
        <v>114728.62179999999</v>
      </c>
      <c r="H463" t="str">
        <f>IF(BOQ_Table[[#This Row],[Amount]]&gt;100000,"Over Budget","OK")</f>
        <v>Over Budget</v>
      </c>
      <c r="I463" t="str">
        <f>IF(OR(BOQ_Table[[#This Row],[Quantity]]="",BOQ_Table[[#This Row],[Rate]]=""),"Missing","OK")</f>
        <v>OK</v>
      </c>
    </row>
    <row r="464" spans="1:9" x14ac:dyDescent="0.35">
      <c r="A464" t="s">
        <v>488</v>
      </c>
      <c r="B464" t="s">
        <v>30</v>
      </c>
      <c r="C464" t="s">
        <v>17</v>
      </c>
      <c r="D464">
        <v>347.36</v>
      </c>
      <c r="E464" t="s">
        <v>9</v>
      </c>
      <c r="F464">
        <v>2821.79</v>
      </c>
      <c r="G464">
        <f t="shared" si="9"/>
        <v>980176.97440000006</v>
      </c>
      <c r="H464" t="str">
        <f>IF(BOQ_Table[[#This Row],[Amount]]&gt;100000,"Over Budget","OK")</f>
        <v>Over Budget</v>
      </c>
      <c r="I464" t="str">
        <f>IF(OR(BOQ_Table[[#This Row],[Quantity]]="",BOQ_Table[[#This Row],[Rate]]=""),"Missing","OK")</f>
        <v>OK</v>
      </c>
    </row>
    <row r="465" spans="1:9" x14ac:dyDescent="0.35">
      <c r="A465" t="s">
        <v>489</v>
      </c>
      <c r="B465" t="s">
        <v>42</v>
      </c>
      <c r="C465" t="s">
        <v>38</v>
      </c>
      <c r="D465">
        <v>222</v>
      </c>
      <c r="E465" t="s">
        <v>14</v>
      </c>
      <c r="F465">
        <v>1538.08</v>
      </c>
      <c r="G465">
        <f t="shared" si="9"/>
        <v>341453.76</v>
      </c>
      <c r="H465" t="str">
        <f>IF(BOQ_Table[[#This Row],[Amount]]&gt;100000,"Over Budget","OK")</f>
        <v>Over Budget</v>
      </c>
      <c r="I465" t="str">
        <f>IF(OR(BOQ_Table[[#This Row],[Quantity]]="",BOQ_Table[[#This Row],[Rate]]=""),"Missing","OK")</f>
        <v>OK</v>
      </c>
    </row>
    <row r="466" spans="1:9" x14ac:dyDescent="0.35">
      <c r="A466" t="s">
        <v>490</v>
      </c>
      <c r="B466" t="s">
        <v>42</v>
      </c>
      <c r="C466" t="s">
        <v>38</v>
      </c>
      <c r="D466">
        <v>314.74</v>
      </c>
      <c r="E466" t="s">
        <v>27</v>
      </c>
      <c r="F466">
        <v>1574.48</v>
      </c>
      <c r="G466">
        <f t="shared" si="9"/>
        <v>495551.83520000003</v>
      </c>
      <c r="H466" t="str">
        <f>IF(BOQ_Table[[#This Row],[Amount]]&gt;100000,"Over Budget","OK")</f>
        <v>Over Budget</v>
      </c>
      <c r="I466" t="str">
        <f>IF(OR(BOQ_Table[[#This Row],[Quantity]]="",BOQ_Table[[#This Row],[Rate]]=""),"Missing","OK")</f>
        <v>OK</v>
      </c>
    </row>
    <row r="467" spans="1:9" x14ac:dyDescent="0.35">
      <c r="A467" t="s">
        <v>491</v>
      </c>
      <c r="B467" t="s">
        <v>30</v>
      </c>
      <c r="C467" t="s">
        <v>21</v>
      </c>
      <c r="D467">
        <v>48.64</v>
      </c>
      <c r="E467" t="s">
        <v>22</v>
      </c>
      <c r="F467">
        <v>311.14</v>
      </c>
      <c r="G467">
        <f t="shared" si="9"/>
        <v>15133.8496</v>
      </c>
      <c r="H467" t="str">
        <f>IF(BOQ_Table[[#This Row],[Amount]]&gt;100000,"Over Budget","OK")</f>
        <v>OK</v>
      </c>
      <c r="I467" t="str">
        <f>IF(OR(BOQ_Table[[#This Row],[Quantity]]="",BOQ_Table[[#This Row],[Rate]]=""),"Missing","OK")</f>
        <v>OK</v>
      </c>
    </row>
    <row r="468" spans="1:9" x14ac:dyDescent="0.35">
      <c r="A468" t="s">
        <v>492</v>
      </c>
      <c r="B468" t="s">
        <v>7</v>
      </c>
      <c r="C468" t="s">
        <v>21</v>
      </c>
      <c r="D468">
        <v>370.01</v>
      </c>
      <c r="E468" t="s">
        <v>14</v>
      </c>
      <c r="F468">
        <v>620.84</v>
      </c>
      <c r="G468">
        <f t="shared" si="9"/>
        <v>229717.00840000002</v>
      </c>
      <c r="H468" t="str">
        <f>IF(BOQ_Table[[#This Row],[Amount]]&gt;100000,"Over Budget","OK")</f>
        <v>Over Budget</v>
      </c>
      <c r="I468" t="str">
        <f>IF(OR(BOQ_Table[[#This Row],[Quantity]]="",BOQ_Table[[#This Row],[Rate]]=""),"Missing","OK")</f>
        <v>OK</v>
      </c>
    </row>
    <row r="469" spans="1:9" x14ac:dyDescent="0.35">
      <c r="A469" t="s">
        <v>493</v>
      </c>
      <c r="B469" t="s">
        <v>7</v>
      </c>
      <c r="C469" t="s">
        <v>17</v>
      </c>
      <c r="D469">
        <v>380</v>
      </c>
      <c r="E469" t="s">
        <v>18</v>
      </c>
      <c r="F469">
        <v>236.93</v>
      </c>
      <c r="G469">
        <f t="shared" si="9"/>
        <v>90033.400000000009</v>
      </c>
      <c r="H469" t="str">
        <f>IF(BOQ_Table[[#This Row],[Amount]]&gt;100000,"Over Budget","OK")</f>
        <v>OK</v>
      </c>
      <c r="I469" t="str">
        <f>IF(OR(BOQ_Table[[#This Row],[Quantity]]="",BOQ_Table[[#This Row],[Rate]]=""),"Missing","OK")</f>
        <v>OK</v>
      </c>
    </row>
    <row r="470" spans="1:9" x14ac:dyDescent="0.35">
      <c r="A470" t="s">
        <v>494</v>
      </c>
      <c r="B470" t="s">
        <v>16</v>
      </c>
      <c r="C470" t="s">
        <v>12</v>
      </c>
      <c r="D470">
        <v>130.19999999999999</v>
      </c>
      <c r="E470" t="s">
        <v>22</v>
      </c>
      <c r="F470">
        <v>1864.36</v>
      </c>
      <c r="G470">
        <f t="shared" si="9"/>
        <v>242739.67199999996</v>
      </c>
      <c r="H470" t="str">
        <f>IF(BOQ_Table[[#This Row],[Amount]]&gt;100000,"Over Budget","OK")</f>
        <v>Over Budget</v>
      </c>
      <c r="I470" t="str">
        <f>IF(OR(BOQ_Table[[#This Row],[Quantity]]="",BOQ_Table[[#This Row],[Rate]]=""),"Missing","OK")</f>
        <v>OK</v>
      </c>
    </row>
    <row r="471" spans="1:9" x14ac:dyDescent="0.35">
      <c r="A471" t="s">
        <v>495</v>
      </c>
      <c r="B471" t="s">
        <v>42</v>
      </c>
      <c r="C471" t="s">
        <v>21</v>
      </c>
      <c r="D471">
        <v>397.42</v>
      </c>
      <c r="E471" t="s">
        <v>27</v>
      </c>
      <c r="F471">
        <v>534.96</v>
      </c>
      <c r="G471">
        <f t="shared" si="9"/>
        <v>212603.80320000002</v>
      </c>
      <c r="H471" t="str">
        <f>IF(BOQ_Table[[#This Row],[Amount]]&gt;100000,"Over Budget","OK")</f>
        <v>Over Budget</v>
      </c>
      <c r="I471" t="str">
        <f>IF(OR(BOQ_Table[[#This Row],[Quantity]]="",BOQ_Table[[#This Row],[Rate]]=""),"Missing","OK")</f>
        <v>OK</v>
      </c>
    </row>
    <row r="472" spans="1:9" x14ac:dyDescent="0.35">
      <c r="A472" t="s">
        <v>496</v>
      </c>
      <c r="B472" t="s">
        <v>16</v>
      </c>
      <c r="C472" t="s">
        <v>17</v>
      </c>
      <c r="D472">
        <v>418.91</v>
      </c>
      <c r="E472" t="s">
        <v>22</v>
      </c>
      <c r="F472">
        <v>1398.43</v>
      </c>
      <c r="G472">
        <f t="shared" si="9"/>
        <v>585816.31130000006</v>
      </c>
      <c r="H472" t="str">
        <f>IF(BOQ_Table[[#This Row],[Amount]]&gt;100000,"Over Budget","OK")</f>
        <v>Over Budget</v>
      </c>
      <c r="I472" t="str">
        <f>IF(OR(BOQ_Table[[#This Row],[Quantity]]="",BOQ_Table[[#This Row],[Rate]]=""),"Missing","OK")</f>
        <v>OK</v>
      </c>
    </row>
    <row r="473" spans="1:9" x14ac:dyDescent="0.35">
      <c r="A473" t="s">
        <v>497</v>
      </c>
      <c r="B473" t="s">
        <v>42</v>
      </c>
      <c r="C473" t="s">
        <v>21</v>
      </c>
      <c r="D473">
        <v>118.56</v>
      </c>
      <c r="E473" t="s">
        <v>14</v>
      </c>
      <c r="F473">
        <v>2453.09</v>
      </c>
      <c r="G473">
        <f t="shared" si="9"/>
        <v>290838.3504</v>
      </c>
      <c r="H473" t="str">
        <f>IF(BOQ_Table[[#This Row],[Amount]]&gt;100000,"Over Budget","OK")</f>
        <v>Over Budget</v>
      </c>
      <c r="I473" t="str">
        <f>IF(OR(BOQ_Table[[#This Row],[Quantity]]="",BOQ_Table[[#This Row],[Rate]]=""),"Missing","OK")</f>
        <v>OK</v>
      </c>
    </row>
    <row r="474" spans="1:9" x14ac:dyDescent="0.35">
      <c r="A474" t="s">
        <v>498</v>
      </c>
      <c r="B474" t="s">
        <v>7</v>
      </c>
      <c r="C474" t="s">
        <v>12</v>
      </c>
      <c r="D474">
        <v>454.18</v>
      </c>
      <c r="E474" t="s">
        <v>9</v>
      </c>
      <c r="F474">
        <v>3751.23</v>
      </c>
      <c r="G474">
        <f t="shared" si="9"/>
        <v>1703733.6414000001</v>
      </c>
      <c r="H474" t="str">
        <f>IF(BOQ_Table[[#This Row],[Amount]]&gt;100000,"Over Budget","OK")</f>
        <v>Over Budget</v>
      </c>
      <c r="I474" t="str">
        <f>IF(OR(BOQ_Table[[#This Row],[Quantity]]="",BOQ_Table[[#This Row],[Rate]]=""),"Missing","OK")</f>
        <v>OK</v>
      </c>
    </row>
    <row r="475" spans="1:9" x14ac:dyDescent="0.35">
      <c r="A475" t="s">
        <v>499</v>
      </c>
      <c r="B475" t="s">
        <v>42</v>
      </c>
      <c r="C475" t="s">
        <v>8</v>
      </c>
      <c r="D475">
        <v>139.62</v>
      </c>
      <c r="E475" t="s">
        <v>18</v>
      </c>
      <c r="F475">
        <v>4272.8599999999997</v>
      </c>
      <c r="G475">
        <f t="shared" si="9"/>
        <v>596576.7132</v>
      </c>
      <c r="H475" t="str">
        <f>IF(BOQ_Table[[#This Row],[Amount]]&gt;100000,"Over Budget","OK")</f>
        <v>Over Budget</v>
      </c>
      <c r="I475" t="str">
        <f>IF(OR(BOQ_Table[[#This Row],[Quantity]]="",BOQ_Table[[#This Row],[Rate]]=""),"Missing","OK")</f>
        <v>OK</v>
      </c>
    </row>
    <row r="476" spans="1:9" x14ac:dyDescent="0.35">
      <c r="A476" t="s">
        <v>500</v>
      </c>
      <c r="B476" t="s">
        <v>40</v>
      </c>
      <c r="C476" t="s">
        <v>17</v>
      </c>
      <c r="D476">
        <v>113</v>
      </c>
      <c r="E476" t="s">
        <v>27</v>
      </c>
      <c r="F476">
        <v>946.23</v>
      </c>
      <c r="G476">
        <f t="shared" si="9"/>
        <v>106923.99</v>
      </c>
      <c r="H476" t="str">
        <f>IF(BOQ_Table[[#This Row],[Amount]]&gt;100000,"Over Budget","OK")</f>
        <v>Over Budget</v>
      </c>
      <c r="I476" t="str">
        <f>IF(OR(BOQ_Table[[#This Row],[Quantity]]="",BOQ_Table[[#This Row],[Rate]]=""),"Missing","OK")</f>
        <v>OK</v>
      </c>
    </row>
    <row r="477" spans="1:9" x14ac:dyDescent="0.35">
      <c r="A477" t="s">
        <v>501</v>
      </c>
      <c r="B477" t="s">
        <v>30</v>
      </c>
      <c r="C477" t="s">
        <v>21</v>
      </c>
      <c r="D477">
        <v>433.57</v>
      </c>
      <c r="E477" t="s">
        <v>27</v>
      </c>
      <c r="F477">
        <v>3006.94</v>
      </c>
      <c r="G477">
        <f t="shared" si="9"/>
        <v>1303718.9757999999</v>
      </c>
      <c r="H477" t="str">
        <f>IF(BOQ_Table[[#This Row],[Amount]]&gt;100000,"Over Budget","OK")</f>
        <v>Over Budget</v>
      </c>
      <c r="I477" t="str">
        <f>IF(OR(BOQ_Table[[#This Row],[Quantity]]="",BOQ_Table[[#This Row],[Rate]]=""),"Missing","OK")</f>
        <v>OK</v>
      </c>
    </row>
    <row r="478" spans="1:9" x14ac:dyDescent="0.35">
      <c r="A478" t="s">
        <v>502</v>
      </c>
      <c r="B478" t="s">
        <v>20</v>
      </c>
      <c r="C478" t="s">
        <v>17</v>
      </c>
      <c r="D478">
        <v>76.06</v>
      </c>
      <c r="E478" t="s">
        <v>22</v>
      </c>
      <c r="F478">
        <v>1727.38</v>
      </c>
      <c r="G478">
        <f t="shared" si="9"/>
        <v>131384.52280000001</v>
      </c>
      <c r="H478" t="str">
        <f>IF(BOQ_Table[[#This Row],[Amount]]&gt;100000,"Over Budget","OK")</f>
        <v>Over Budget</v>
      </c>
      <c r="I478" t="str">
        <f>IF(OR(BOQ_Table[[#This Row],[Quantity]]="",BOQ_Table[[#This Row],[Rate]]=""),"Missing","OK")</f>
        <v>OK</v>
      </c>
    </row>
    <row r="479" spans="1:9" x14ac:dyDescent="0.35">
      <c r="A479" t="s">
        <v>503</v>
      </c>
      <c r="B479" t="s">
        <v>11</v>
      </c>
      <c r="C479" t="s">
        <v>12</v>
      </c>
      <c r="D479">
        <v>183.1</v>
      </c>
      <c r="E479" t="s">
        <v>18</v>
      </c>
      <c r="F479">
        <v>258.60000000000002</v>
      </c>
      <c r="G479">
        <f t="shared" si="9"/>
        <v>47349.66</v>
      </c>
      <c r="H479" t="str">
        <f>IF(BOQ_Table[[#This Row],[Amount]]&gt;100000,"Over Budget","OK")</f>
        <v>OK</v>
      </c>
      <c r="I479" t="str">
        <f>IF(OR(BOQ_Table[[#This Row],[Quantity]]="",BOQ_Table[[#This Row],[Rate]]=""),"Missing","OK")</f>
        <v>OK</v>
      </c>
    </row>
    <row r="480" spans="1:9" x14ac:dyDescent="0.35">
      <c r="A480" t="s">
        <v>504</v>
      </c>
      <c r="B480" t="s">
        <v>20</v>
      </c>
      <c r="C480" t="s">
        <v>21</v>
      </c>
      <c r="D480">
        <v>332.76</v>
      </c>
      <c r="E480" t="s">
        <v>27</v>
      </c>
      <c r="F480">
        <v>2445.46</v>
      </c>
      <c r="G480">
        <f t="shared" si="9"/>
        <v>813751.2696</v>
      </c>
      <c r="H480" t="str">
        <f>IF(BOQ_Table[[#This Row],[Amount]]&gt;100000,"Over Budget","OK")</f>
        <v>Over Budget</v>
      </c>
      <c r="I480" t="str">
        <f>IF(OR(BOQ_Table[[#This Row],[Quantity]]="",BOQ_Table[[#This Row],[Rate]]=""),"Missing","OK")</f>
        <v>OK</v>
      </c>
    </row>
    <row r="481" spans="1:9" x14ac:dyDescent="0.35">
      <c r="A481" t="s">
        <v>505</v>
      </c>
      <c r="B481" t="s">
        <v>11</v>
      </c>
      <c r="C481" t="s">
        <v>12</v>
      </c>
      <c r="D481">
        <v>379.61</v>
      </c>
      <c r="E481" t="s">
        <v>14</v>
      </c>
      <c r="F481">
        <v>3739.39</v>
      </c>
      <c r="G481">
        <f t="shared" si="9"/>
        <v>1419509.8378999999</v>
      </c>
      <c r="H481" t="str">
        <f>IF(BOQ_Table[[#This Row],[Amount]]&gt;100000,"Over Budget","OK")</f>
        <v>Over Budget</v>
      </c>
      <c r="I481" t="str">
        <f>IF(OR(BOQ_Table[[#This Row],[Quantity]]="",BOQ_Table[[#This Row],[Rate]]=""),"Missing","OK")</f>
        <v>OK</v>
      </c>
    </row>
    <row r="482" spans="1:9" x14ac:dyDescent="0.35">
      <c r="A482" t="s">
        <v>506</v>
      </c>
      <c r="B482" t="s">
        <v>11</v>
      </c>
      <c r="C482" t="s">
        <v>21</v>
      </c>
      <c r="D482">
        <v>187.99</v>
      </c>
      <c r="E482" t="s">
        <v>9</v>
      </c>
      <c r="F482">
        <v>4714.66</v>
      </c>
      <c r="G482">
        <f t="shared" si="9"/>
        <v>886308.93339999998</v>
      </c>
      <c r="H482" t="str">
        <f>IF(BOQ_Table[[#This Row],[Amount]]&gt;100000,"Over Budget","OK")</f>
        <v>Over Budget</v>
      </c>
      <c r="I482" t="str">
        <f>IF(OR(BOQ_Table[[#This Row],[Quantity]]="",BOQ_Table[[#This Row],[Rate]]=""),"Missing","OK")</f>
        <v>OK</v>
      </c>
    </row>
    <row r="483" spans="1:9" x14ac:dyDescent="0.35">
      <c r="A483" t="s">
        <v>507</v>
      </c>
      <c r="B483" t="s">
        <v>20</v>
      </c>
      <c r="C483" t="s">
        <v>12</v>
      </c>
      <c r="D483">
        <v>186.27</v>
      </c>
      <c r="E483" t="s">
        <v>9</v>
      </c>
      <c r="F483">
        <v>3084.37</v>
      </c>
      <c r="G483">
        <f t="shared" si="9"/>
        <v>574525.59990000003</v>
      </c>
      <c r="H483" t="str">
        <f>IF(BOQ_Table[[#This Row],[Amount]]&gt;100000,"Over Budget","OK")</f>
        <v>Over Budget</v>
      </c>
      <c r="I483" t="str">
        <f>IF(OR(BOQ_Table[[#This Row],[Quantity]]="",BOQ_Table[[#This Row],[Rate]]=""),"Missing","OK")</f>
        <v>OK</v>
      </c>
    </row>
    <row r="484" spans="1:9" x14ac:dyDescent="0.35">
      <c r="A484" t="s">
        <v>508</v>
      </c>
      <c r="B484" t="s">
        <v>16</v>
      </c>
      <c r="C484" t="s">
        <v>17</v>
      </c>
      <c r="D484">
        <v>112.73</v>
      </c>
      <c r="E484" t="s">
        <v>18</v>
      </c>
      <c r="F484">
        <v>3816.3</v>
      </c>
      <c r="G484">
        <f t="shared" si="9"/>
        <v>430211.49900000001</v>
      </c>
      <c r="H484" t="str">
        <f>IF(BOQ_Table[[#This Row],[Amount]]&gt;100000,"Over Budget","OK")</f>
        <v>Over Budget</v>
      </c>
      <c r="I484" t="str">
        <f>IF(OR(BOQ_Table[[#This Row],[Quantity]]="",BOQ_Table[[#This Row],[Rate]]=""),"Missing","OK")</f>
        <v>OK</v>
      </c>
    </row>
    <row r="485" spans="1:9" x14ac:dyDescent="0.35">
      <c r="A485" t="s">
        <v>509</v>
      </c>
      <c r="B485" t="s">
        <v>32</v>
      </c>
      <c r="C485" t="s">
        <v>38</v>
      </c>
      <c r="D485">
        <v>244.37</v>
      </c>
      <c r="E485" t="s">
        <v>27</v>
      </c>
      <c r="F485">
        <v>1122.78</v>
      </c>
      <c r="G485">
        <f t="shared" si="9"/>
        <v>274373.74859999999</v>
      </c>
      <c r="H485" t="str">
        <f>IF(BOQ_Table[[#This Row],[Amount]]&gt;100000,"Over Budget","OK")</f>
        <v>Over Budget</v>
      </c>
      <c r="I485" t="str">
        <f>IF(OR(BOQ_Table[[#This Row],[Quantity]]="",BOQ_Table[[#This Row],[Rate]]=""),"Missing","OK")</f>
        <v>OK</v>
      </c>
    </row>
    <row r="486" spans="1:9" x14ac:dyDescent="0.35">
      <c r="A486" t="s">
        <v>510</v>
      </c>
      <c r="B486" t="s">
        <v>16</v>
      </c>
      <c r="C486" t="s">
        <v>12</v>
      </c>
      <c r="D486">
        <v>260.49</v>
      </c>
      <c r="E486" t="s">
        <v>22</v>
      </c>
      <c r="F486">
        <v>1865.31</v>
      </c>
      <c r="G486">
        <f t="shared" si="9"/>
        <v>485894.60190000001</v>
      </c>
      <c r="H486" t="str">
        <f>IF(BOQ_Table[[#This Row],[Amount]]&gt;100000,"Over Budget","OK")</f>
        <v>Over Budget</v>
      </c>
      <c r="I486" t="str">
        <f>IF(OR(BOQ_Table[[#This Row],[Quantity]]="",BOQ_Table[[#This Row],[Rate]]=""),"Missing","OK")</f>
        <v>OK</v>
      </c>
    </row>
    <row r="487" spans="1:9" x14ac:dyDescent="0.35">
      <c r="A487" t="s">
        <v>511</v>
      </c>
      <c r="B487" t="s">
        <v>30</v>
      </c>
      <c r="C487" t="s">
        <v>21</v>
      </c>
      <c r="D487">
        <v>409.48</v>
      </c>
      <c r="E487" t="s">
        <v>27</v>
      </c>
      <c r="F487">
        <v>773.81</v>
      </c>
      <c r="G487">
        <f t="shared" si="9"/>
        <v>316859.71879999997</v>
      </c>
      <c r="H487" t="str">
        <f>IF(BOQ_Table[[#This Row],[Amount]]&gt;100000,"Over Budget","OK")</f>
        <v>Over Budget</v>
      </c>
      <c r="I487" t="str">
        <f>IF(OR(BOQ_Table[[#This Row],[Quantity]]="",BOQ_Table[[#This Row],[Rate]]=""),"Missing","OK")</f>
        <v>OK</v>
      </c>
    </row>
    <row r="488" spans="1:9" x14ac:dyDescent="0.35">
      <c r="A488" t="s">
        <v>512</v>
      </c>
      <c r="B488" t="s">
        <v>20</v>
      </c>
      <c r="C488" t="s">
        <v>17</v>
      </c>
      <c r="D488">
        <v>496.93</v>
      </c>
      <c r="E488" t="s">
        <v>18</v>
      </c>
      <c r="F488">
        <v>1033.8699999999999</v>
      </c>
      <c r="G488">
        <f t="shared" si="9"/>
        <v>513761.01909999998</v>
      </c>
      <c r="H488" t="str">
        <f>IF(BOQ_Table[[#This Row],[Amount]]&gt;100000,"Over Budget","OK")</f>
        <v>Over Budget</v>
      </c>
      <c r="I488" t="str">
        <f>IF(OR(BOQ_Table[[#This Row],[Quantity]]="",BOQ_Table[[#This Row],[Rate]]=""),"Missing","OK")</f>
        <v>OK</v>
      </c>
    </row>
    <row r="489" spans="1:9" x14ac:dyDescent="0.35">
      <c r="A489" t="s">
        <v>513</v>
      </c>
      <c r="B489" t="s">
        <v>42</v>
      </c>
      <c r="C489" t="s">
        <v>12</v>
      </c>
      <c r="D489">
        <v>26.73</v>
      </c>
      <c r="E489" t="s">
        <v>9</v>
      </c>
      <c r="F489">
        <v>2546.79</v>
      </c>
      <c r="G489">
        <f t="shared" si="9"/>
        <v>68075.6967</v>
      </c>
      <c r="H489" t="str">
        <f>IF(BOQ_Table[[#This Row],[Amount]]&gt;100000,"Over Budget","OK")</f>
        <v>OK</v>
      </c>
      <c r="I489" t="str">
        <f>IF(OR(BOQ_Table[[#This Row],[Quantity]]="",BOQ_Table[[#This Row],[Rate]]=""),"Missing","OK")</f>
        <v>OK</v>
      </c>
    </row>
    <row r="490" spans="1:9" x14ac:dyDescent="0.35">
      <c r="A490" t="s">
        <v>514</v>
      </c>
      <c r="B490" t="s">
        <v>40</v>
      </c>
      <c r="C490" t="s">
        <v>12</v>
      </c>
      <c r="D490">
        <v>149.02000000000001</v>
      </c>
      <c r="E490" t="s">
        <v>27</v>
      </c>
      <c r="F490">
        <v>1165.77</v>
      </c>
      <c r="G490">
        <f t="shared" si="9"/>
        <v>173723.0454</v>
      </c>
      <c r="H490" t="str">
        <f>IF(BOQ_Table[[#This Row],[Amount]]&gt;100000,"Over Budget","OK")</f>
        <v>Over Budget</v>
      </c>
      <c r="I490" t="str">
        <f>IF(OR(BOQ_Table[[#This Row],[Quantity]]="",BOQ_Table[[#This Row],[Rate]]=""),"Missing","OK")</f>
        <v>OK</v>
      </c>
    </row>
    <row r="491" spans="1:9" x14ac:dyDescent="0.35">
      <c r="A491" t="s">
        <v>515</v>
      </c>
      <c r="B491" t="s">
        <v>56</v>
      </c>
      <c r="C491" t="s">
        <v>8</v>
      </c>
      <c r="D491">
        <v>287.76</v>
      </c>
      <c r="E491" t="s">
        <v>9</v>
      </c>
      <c r="F491">
        <v>4287.8</v>
      </c>
      <c r="G491">
        <f t="shared" si="9"/>
        <v>1233857.328</v>
      </c>
      <c r="H491" t="str">
        <f>IF(BOQ_Table[[#This Row],[Amount]]&gt;100000,"Over Budget","OK")</f>
        <v>Over Budget</v>
      </c>
      <c r="I491" t="str">
        <f>IF(OR(BOQ_Table[[#This Row],[Quantity]]="",BOQ_Table[[#This Row],[Rate]]=""),"Missing","OK")</f>
        <v>OK</v>
      </c>
    </row>
    <row r="492" spans="1:9" x14ac:dyDescent="0.35">
      <c r="A492" t="s">
        <v>516</v>
      </c>
      <c r="B492" t="s">
        <v>56</v>
      </c>
      <c r="C492" t="s">
        <v>8</v>
      </c>
      <c r="D492">
        <v>53.26</v>
      </c>
      <c r="E492" t="s">
        <v>27</v>
      </c>
      <c r="F492">
        <v>957.28</v>
      </c>
      <c r="G492">
        <f t="shared" si="9"/>
        <v>50984.732799999998</v>
      </c>
      <c r="H492" t="str">
        <f>IF(BOQ_Table[[#This Row],[Amount]]&gt;100000,"Over Budget","OK")</f>
        <v>OK</v>
      </c>
      <c r="I492" t="str">
        <f>IF(OR(BOQ_Table[[#This Row],[Quantity]]="",BOQ_Table[[#This Row],[Rate]]=""),"Missing","OK")</f>
        <v>OK</v>
      </c>
    </row>
    <row r="493" spans="1:9" x14ac:dyDescent="0.35">
      <c r="A493" t="s">
        <v>517</v>
      </c>
      <c r="B493" t="s">
        <v>46</v>
      </c>
      <c r="C493" t="s">
        <v>38</v>
      </c>
      <c r="D493">
        <v>47.73</v>
      </c>
      <c r="E493" t="s">
        <v>27</v>
      </c>
      <c r="F493">
        <v>947.91</v>
      </c>
      <c r="G493">
        <f t="shared" si="9"/>
        <v>45243.744299999998</v>
      </c>
      <c r="H493" t="str">
        <f>IF(BOQ_Table[[#This Row],[Amount]]&gt;100000,"Over Budget","OK")</f>
        <v>OK</v>
      </c>
      <c r="I493" t="str">
        <f>IF(OR(BOQ_Table[[#This Row],[Quantity]]="",BOQ_Table[[#This Row],[Rate]]=""),"Missing","OK")</f>
        <v>OK</v>
      </c>
    </row>
    <row r="494" spans="1:9" x14ac:dyDescent="0.35">
      <c r="A494" t="s">
        <v>518</v>
      </c>
      <c r="B494" t="s">
        <v>16</v>
      </c>
      <c r="C494" t="s">
        <v>17</v>
      </c>
      <c r="D494">
        <v>154.46</v>
      </c>
      <c r="E494" t="s">
        <v>27</v>
      </c>
      <c r="F494">
        <v>3524.58</v>
      </c>
      <c r="G494">
        <f t="shared" si="9"/>
        <v>544406.62679999997</v>
      </c>
      <c r="H494" t="str">
        <f>IF(BOQ_Table[[#This Row],[Amount]]&gt;100000,"Over Budget","OK")</f>
        <v>Over Budget</v>
      </c>
      <c r="I494" t="str">
        <f>IF(OR(BOQ_Table[[#This Row],[Quantity]]="",BOQ_Table[[#This Row],[Rate]]=""),"Missing","OK")</f>
        <v>OK</v>
      </c>
    </row>
    <row r="495" spans="1:9" x14ac:dyDescent="0.35">
      <c r="A495" t="s">
        <v>519</v>
      </c>
      <c r="B495" t="s">
        <v>40</v>
      </c>
      <c r="C495" t="s">
        <v>21</v>
      </c>
      <c r="D495">
        <v>108.84</v>
      </c>
      <c r="E495" t="s">
        <v>9</v>
      </c>
      <c r="F495">
        <v>4635.6400000000003</v>
      </c>
      <c r="G495">
        <f t="shared" si="9"/>
        <v>504543.05760000006</v>
      </c>
      <c r="H495" t="str">
        <f>IF(BOQ_Table[[#This Row],[Amount]]&gt;100000,"Over Budget","OK")</f>
        <v>Over Budget</v>
      </c>
      <c r="I495" t="str">
        <f>IF(OR(BOQ_Table[[#This Row],[Quantity]]="",BOQ_Table[[#This Row],[Rate]]=""),"Missing","OK")</f>
        <v>OK</v>
      </c>
    </row>
    <row r="496" spans="1:9" x14ac:dyDescent="0.35">
      <c r="A496" t="s">
        <v>520</v>
      </c>
      <c r="B496" t="s">
        <v>7</v>
      </c>
      <c r="C496" t="s">
        <v>17</v>
      </c>
      <c r="D496">
        <v>260.42</v>
      </c>
      <c r="E496" t="s">
        <v>14</v>
      </c>
      <c r="F496">
        <v>3493.67</v>
      </c>
      <c r="G496">
        <f t="shared" si="9"/>
        <v>909821.5414000001</v>
      </c>
      <c r="H496" t="str">
        <f>IF(BOQ_Table[[#This Row],[Amount]]&gt;100000,"Over Budget","OK")</f>
        <v>Over Budget</v>
      </c>
      <c r="I496" t="str">
        <f>IF(OR(BOQ_Table[[#This Row],[Quantity]]="",BOQ_Table[[#This Row],[Rate]]=""),"Missing","OK")</f>
        <v>OK</v>
      </c>
    </row>
    <row r="497" spans="1:9" x14ac:dyDescent="0.35">
      <c r="A497" t="s">
        <v>521</v>
      </c>
      <c r="B497" t="s">
        <v>40</v>
      </c>
      <c r="C497" t="s">
        <v>8</v>
      </c>
      <c r="D497">
        <v>110.62</v>
      </c>
      <c r="E497" t="s">
        <v>14</v>
      </c>
      <c r="F497">
        <v>3777.54</v>
      </c>
      <c r="G497">
        <f t="shared" si="9"/>
        <v>417871.47480000003</v>
      </c>
      <c r="H497" t="str">
        <f>IF(BOQ_Table[[#This Row],[Amount]]&gt;100000,"Over Budget","OK")</f>
        <v>Over Budget</v>
      </c>
      <c r="I497" t="str">
        <f>IF(OR(BOQ_Table[[#This Row],[Quantity]]="",BOQ_Table[[#This Row],[Rate]]=""),"Missing","OK")</f>
        <v>OK</v>
      </c>
    </row>
    <row r="498" spans="1:9" x14ac:dyDescent="0.35">
      <c r="A498" t="s">
        <v>522</v>
      </c>
      <c r="B498" t="s">
        <v>30</v>
      </c>
      <c r="C498" t="s">
        <v>21</v>
      </c>
      <c r="D498">
        <v>380.96</v>
      </c>
      <c r="E498" t="s">
        <v>14</v>
      </c>
      <c r="F498">
        <v>1858.91</v>
      </c>
      <c r="G498">
        <f t="shared" si="9"/>
        <v>708170.35360000003</v>
      </c>
      <c r="H498" t="str">
        <f>IF(BOQ_Table[[#This Row],[Amount]]&gt;100000,"Over Budget","OK")</f>
        <v>Over Budget</v>
      </c>
      <c r="I498" t="str">
        <f>IF(OR(BOQ_Table[[#This Row],[Quantity]]="",BOQ_Table[[#This Row],[Rate]]=""),"Missing","OK")</f>
        <v>OK</v>
      </c>
    </row>
    <row r="499" spans="1:9" x14ac:dyDescent="0.35">
      <c r="A499" t="s">
        <v>523</v>
      </c>
      <c r="B499" t="s">
        <v>56</v>
      </c>
      <c r="C499" t="s">
        <v>17</v>
      </c>
      <c r="D499">
        <v>450.23</v>
      </c>
      <c r="E499" t="s">
        <v>14</v>
      </c>
      <c r="F499">
        <v>2853.52</v>
      </c>
      <c r="G499">
        <f t="shared" si="9"/>
        <v>1284740.3096</v>
      </c>
      <c r="H499" t="str">
        <f>IF(BOQ_Table[[#This Row],[Amount]]&gt;100000,"Over Budget","OK")</f>
        <v>Over Budget</v>
      </c>
      <c r="I499" t="str">
        <f>IF(OR(BOQ_Table[[#This Row],[Quantity]]="",BOQ_Table[[#This Row],[Rate]]=""),"Missing","OK")</f>
        <v>OK</v>
      </c>
    </row>
    <row r="500" spans="1:9" x14ac:dyDescent="0.35">
      <c r="A500" t="s">
        <v>524</v>
      </c>
      <c r="B500" t="s">
        <v>42</v>
      </c>
      <c r="C500" t="s">
        <v>21</v>
      </c>
      <c r="D500">
        <v>170.74</v>
      </c>
      <c r="E500" t="s">
        <v>18</v>
      </c>
      <c r="F500">
        <v>2577.58</v>
      </c>
      <c r="G500">
        <f t="shared" si="9"/>
        <v>440096.00920000003</v>
      </c>
      <c r="H500" t="str">
        <f>IF(BOQ_Table[[#This Row],[Amount]]&gt;100000,"Over Budget","OK")</f>
        <v>Over Budget</v>
      </c>
      <c r="I500" t="str">
        <f>IF(OR(BOQ_Table[[#This Row],[Quantity]]="",BOQ_Table[[#This Row],[Rate]]=""),"Missing","OK")</f>
        <v>OK</v>
      </c>
    </row>
    <row r="501" spans="1:9" x14ac:dyDescent="0.35">
      <c r="A501" t="s">
        <v>525</v>
      </c>
      <c r="B501" t="s">
        <v>46</v>
      </c>
      <c r="C501" t="s">
        <v>8</v>
      </c>
      <c r="D501">
        <v>290.56</v>
      </c>
      <c r="E501" t="s">
        <v>14</v>
      </c>
      <c r="F501">
        <v>263.93</v>
      </c>
      <c r="G501">
        <f t="shared" si="9"/>
        <v>76687.500800000009</v>
      </c>
      <c r="H501" t="str">
        <f>IF(BOQ_Table[[#This Row],[Amount]]&gt;100000,"Over Budget","OK")</f>
        <v>OK</v>
      </c>
      <c r="I501" t="str">
        <f>IF(OR(BOQ_Table[[#This Row],[Quantity]]="",BOQ_Table[[#This Row],[Rate]]=""),"Missing","OK")</f>
        <v>OK</v>
      </c>
    </row>
    <row r="502" spans="1:9" x14ac:dyDescent="0.35">
      <c r="A502" t="s">
        <v>526</v>
      </c>
      <c r="B502" t="s">
        <v>30</v>
      </c>
      <c r="C502" t="s">
        <v>38</v>
      </c>
      <c r="D502">
        <v>418.95</v>
      </c>
      <c r="E502" t="s">
        <v>14</v>
      </c>
      <c r="F502">
        <v>72.099999999999994</v>
      </c>
      <c r="G502">
        <f t="shared" si="9"/>
        <v>30206.294999999998</v>
      </c>
      <c r="H502" t="str">
        <f>IF(BOQ_Table[[#This Row],[Amount]]&gt;100000,"Over Budget","OK")</f>
        <v>OK</v>
      </c>
      <c r="I502" t="str">
        <f>IF(OR(BOQ_Table[[#This Row],[Quantity]]="",BOQ_Table[[#This Row],[Rate]]=""),"Missing","OK")</f>
        <v>OK</v>
      </c>
    </row>
    <row r="503" spans="1:9" x14ac:dyDescent="0.35">
      <c r="A503" t="s">
        <v>527</v>
      </c>
      <c r="B503" t="s">
        <v>32</v>
      </c>
      <c r="C503" t="s">
        <v>21</v>
      </c>
      <c r="D503">
        <v>73.459999999999994</v>
      </c>
      <c r="E503" t="s">
        <v>9</v>
      </c>
      <c r="F503">
        <v>1651.82</v>
      </c>
      <c r="G503">
        <f t="shared" si="9"/>
        <v>121342.69719999998</v>
      </c>
      <c r="H503" t="str">
        <f>IF(BOQ_Table[[#This Row],[Amount]]&gt;100000,"Over Budget","OK")</f>
        <v>Over Budget</v>
      </c>
      <c r="I503" t="str">
        <f>IF(OR(BOQ_Table[[#This Row],[Quantity]]="",BOQ_Table[[#This Row],[Rate]]=""),"Missing","OK")</f>
        <v>OK</v>
      </c>
    </row>
    <row r="504" spans="1:9" x14ac:dyDescent="0.35">
      <c r="A504" t="s">
        <v>528</v>
      </c>
      <c r="B504" t="s">
        <v>56</v>
      </c>
      <c r="C504" t="s">
        <v>38</v>
      </c>
      <c r="D504">
        <v>470.29</v>
      </c>
      <c r="E504" t="s">
        <v>27</v>
      </c>
      <c r="F504">
        <v>314.16000000000003</v>
      </c>
      <c r="G504">
        <f t="shared" si="9"/>
        <v>147746.30640000003</v>
      </c>
      <c r="H504" t="str">
        <f>IF(BOQ_Table[[#This Row],[Amount]]&gt;100000,"Over Budget","OK")</f>
        <v>Over Budget</v>
      </c>
      <c r="I504" t="str">
        <f>IF(OR(BOQ_Table[[#This Row],[Quantity]]="",BOQ_Table[[#This Row],[Rate]]=""),"Missing","OK")</f>
        <v>OK</v>
      </c>
    </row>
    <row r="505" spans="1:9" x14ac:dyDescent="0.35">
      <c r="A505" t="s">
        <v>529</v>
      </c>
      <c r="B505" t="s">
        <v>7</v>
      </c>
      <c r="C505" t="s">
        <v>21</v>
      </c>
      <c r="D505">
        <v>151.82</v>
      </c>
      <c r="E505" t="s">
        <v>18</v>
      </c>
      <c r="F505">
        <v>497.23</v>
      </c>
      <c r="G505">
        <f t="shared" si="9"/>
        <v>75489.458599999998</v>
      </c>
      <c r="H505" t="str">
        <f>IF(BOQ_Table[[#This Row],[Amount]]&gt;100000,"Over Budget","OK")</f>
        <v>OK</v>
      </c>
      <c r="I505" t="str">
        <f>IF(OR(BOQ_Table[[#This Row],[Quantity]]="",BOQ_Table[[#This Row],[Rate]]=""),"Missing","OK")</f>
        <v>OK</v>
      </c>
    </row>
    <row r="506" spans="1:9" x14ac:dyDescent="0.35">
      <c r="A506" t="s">
        <v>530</v>
      </c>
      <c r="B506" t="s">
        <v>56</v>
      </c>
      <c r="C506" t="s">
        <v>38</v>
      </c>
      <c r="D506">
        <v>362.66</v>
      </c>
      <c r="E506" t="s">
        <v>18</v>
      </c>
      <c r="F506">
        <v>1404.2</v>
      </c>
      <c r="G506">
        <f t="shared" si="9"/>
        <v>509247.17200000008</v>
      </c>
      <c r="H506" t="str">
        <f>IF(BOQ_Table[[#This Row],[Amount]]&gt;100000,"Over Budget","OK")</f>
        <v>Over Budget</v>
      </c>
      <c r="I506" t="str">
        <f>IF(OR(BOQ_Table[[#This Row],[Quantity]]="",BOQ_Table[[#This Row],[Rate]]=""),"Missing","OK")</f>
        <v>OK</v>
      </c>
    </row>
    <row r="507" spans="1:9" x14ac:dyDescent="0.35">
      <c r="A507" t="s">
        <v>531</v>
      </c>
      <c r="B507" t="s">
        <v>7</v>
      </c>
      <c r="C507" t="s">
        <v>21</v>
      </c>
      <c r="D507">
        <v>101.22</v>
      </c>
      <c r="E507" t="s">
        <v>9</v>
      </c>
      <c r="F507">
        <v>1447.09</v>
      </c>
      <c r="G507">
        <f t="shared" si="9"/>
        <v>146474.4498</v>
      </c>
      <c r="H507" t="str">
        <f>IF(BOQ_Table[[#This Row],[Amount]]&gt;100000,"Over Budget","OK")</f>
        <v>Over Budget</v>
      </c>
      <c r="I507" t="str">
        <f>IF(OR(BOQ_Table[[#This Row],[Quantity]]="",BOQ_Table[[#This Row],[Rate]]=""),"Missing","OK")</f>
        <v>OK</v>
      </c>
    </row>
    <row r="508" spans="1:9" x14ac:dyDescent="0.35">
      <c r="A508" t="s">
        <v>532</v>
      </c>
      <c r="B508" t="s">
        <v>42</v>
      </c>
      <c r="C508" t="s">
        <v>12</v>
      </c>
      <c r="D508">
        <v>112.73</v>
      </c>
      <c r="E508" t="s">
        <v>9</v>
      </c>
      <c r="F508">
        <v>4276.03</v>
      </c>
      <c r="G508">
        <f t="shared" si="9"/>
        <v>482036.86189999996</v>
      </c>
      <c r="H508" t="str">
        <f>IF(BOQ_Table[[#This Row],[Amount]]&gt;100000,"Over Budget","OK")</f>
        <v>Over Budget</v>
      </c>
      <c r="I508" t="str">
        <f>IF(OR(BOQ_Table[[#This Row],[Quantity]]="",BOQ_Table[[#This Row],[Rate]]=""),"Missing","OK")</f>
        <v>OK</v>
      </c>
    </row>
    <row r="509" spans="1:9" x14ac:dyDescent="0.35">
      <c r="A509" t="s">
        <v>533</v>
      </c>
      <c r="B509" t="s">
        <v>56</v>
      </c>
      <c r="C509" t="s">
        <v>38</v>
      </c>
      <c r="D509">
        <v>369.89</v>
      </c>
      <c r="E509" t="s">
        <v>22</v>
      </c>
      <c r="F509">
        <v>4055.37</v>
      </c>
      <c r="G509">
        <f t="shared" si="9"/>
        <v>1500040.8092999998</v>
      </c>
      <c r="H509" t="str">
        <f>IF(BOQ_Table[[#This Row],[Amount]]&gt;100000,"Over Budget","OK")</f>
        <v>Over Budget</v>
      </c>
      <c r="I509" t="str">
        <f>IF(OR(BOQ_Table[[#This Row],[Quantity]]="",BOQ_Table[[#This Row],[Rate]]=""),"Missing","OK")</f>
        <v>OK</v>
      </c>
    </row>
    <row r="510" spans="1:9" x14ac:dyDescent="0.35">
      <c r="A510" t="s">
        <v>534</v>
      </c>
      <c r="B510" t="s">
        <v>32</v>
      </c>
      <c r="C510" t="s">
        <v>8</v>
      </c>
      <c r="D510">
        <v>409.07</v>
      </c>
      <c r="E510" t="s">
        <v>18</v>
      </c>
      <c r="F510">
        <v>4073.19</v>
      </c>
      <c r="G510">
        <f t="shared" si="9"/>
        <v>1666219.8333000001</v>
      </c>
      <c r="H510" t="str">
        <f>IF(BOQ_Table[[#This Row],[Amount]]&gt;100000,"Over Budget","OK")</f>
        <v>Over Budget</v>
      </c>
      <c r="I510" t="str">
        <f>IF(OR(BOQ_Table[[#This Row],[Quantity]]="",BOQ_Table[[#This Row],[Rate]]=""),"Missing","OK")</f>
        <v>OK</v>
      </c>
    </row>
    <row r="511" spans="1:9" x14ac:dyDescent="0.35">
      <c r="A511" t="s">
        <v>535</v>
      </c>
      <c r="B511" t="s">
        <v>11</v>
      </c>
      <c r="C511" t="s">
        <v>21</v>
      </c>
      <c r="D511">
        <v>207.07</v>
      </c>
      <c r="E511" t="s">
        <v>14</v>
      </c>
      <c r="F511">
        <v>4811.13</v>
      </c>
      <c r="G511">
        <f t="shared" si="9"/>
        <v>996240.68909999996</v>
      </c>
      <c r="H511" t="str">
        <f>IF(BOQ_Table[[#This Row],[Amount]]&gt;100000,"Over Budget","OK")</f>
        <v>Over Budget</v>
      </c>
      <c r="I511" t="str">
        <f>IF(OR(BOQ_Table[[#This Row],[Quantity]]="",BOQ_Table[[#This Row],[Rate]]=""),"Missing","OK")</f>
        <v>OK</v>
      </c>
    </row>
    <row r="512" spans="1:9" x14ac:dyDescent="0.35">
      <c r="A512" t="s">
        <v>536</v>
      </c>
      <c r="B512" t="s">
        <v>11</v>
      </c>
      <c r="C512" t="s">
        <v>8</v>
      </c>
      <c r="D512">
        <v>259.33</v>
      </c>
      <c r="E512" t="s">
        <v>14</v>
      </c>
      <c r="F512">
        <v>271.69</v>
      </c>
      <c r="G512">
        <f t="shared" si="9"/>
        <v>70457.367699999988</v>
      </c>
      <c r="H512" t="str">
        <f>IF(BOQ_Table[[#This Row],[Amount]]&gt;100000,"Over Budget","OK")</f>
        <v>OK</v>
      </c>
      <c r="I512" t="str">
        <f>IF(OR(BOQ_Table[[#This Row],[Quantity]]="",BOQ_Table[[#This Row],[Rate]]=""),"Missing","OK")</f>
        <v>OK</v>
      </c>
    </row>
    <row r="513" spans="1:9" x14ac:dyDescent="0.35">
      <c r="A513" t="s">
        <v>537</v>
      </c>
      <c r="B513" t="s">
        <v>11</v>
      </c>
      <c r="C513" t="s">
        <v>17</v>
      </c>
      <c r="D513">
        <v>55.56</v>
      </c>
      <c r="E513" t="s">
        <v>22</v>
      </c>
      <c r="F513">
        <v>3031.94</v>
      </c>
      <c r="G513">
        <f t="shared" si="9"/>
        <v>168454.5864</v>
      </c>
      <c r="H513" t="str">
        <f>IF(BOQ_Table[[#This Row],[Amount]]&gt;100000,"Over Budget","OK")</f>
        <v>Over Budget</v>
      </c>
      <c r="I513" t="str">
        <f>IF(OR(BOQ_Table[[#This Row],[Quantity]]="",BOQ_Table[[#This Row],[Rate]]=""),"Missing","OK")</f>
        <v>OK</v>
      </c>
    </row>
    <row r="514" spans="1:9" x14ac:dyDescent="0.35">
      <c r="A514" t="s">
        <v>538</v>
      </c>
      <c r="B514" t="s">
        <v>46</v>
      </c>
      <c r="C514" t="s">
        <v>17</v>
      </c>
      <c r="D514">
        <v>345.19</v>
      </c>
      <c r="E514" t="s">
        <v>27</v>
      </c>
      <c r="F514">
        <v>192.4</v>
      </c>
      <c r="G514">
        <f t="shared" ref="G514:G577" si="10">D514*F514</f>
        <v>66414.555999999997</v>
      </c>
      <c r="H514" t="str">
        <f>IF(BOQ_Table[[#This Row],[Amount]]&gt;100000,"Over Budget","OK")</f>
        <v>OK</v>
      </c>
      <c r="I514" t="str">
        <f>IF(OR(BOQ_Table[[#This Row],[Quantity]]="",BOQ_Table[[#This Row],[Rate]]=""),"Missing","OK")</f>
        <v>OK</v>
      </c>
    </row>
    <row r="515" spans="1:9" x14ac:dyDescent="0.35">
      <c r="A515" t="s">
        <v>539</v>
      </c>
      <c r="B515" t="s">
        <v>46</v>
      </c>
      <c r="C515" t="s">
        <v>21</v>
      </c>
      <c r="D515">
        <v>324.93</v>
      </c>
      <c r="E515" t="s">
        <v>27</v>
      </c>
      <c r="F515">
        <v>4687.5600000000004</v>
      </c>
      <c r="G515">
        <f t="shared" si="10"/>
        <v>1523128.8708000001</v>
      </c>
      <c r="H515" t="str">
        <f>IF(BOQ_Table[[#This Row],[Amount]]&gt;100000,"Over Budget","OK")</f>
        <v>Over Budget</v>
      </c>
      <c r="I515" t="str">
        <f>IF(OR(BOQ_Table[[#This Row],[Quantity]]="",BOQ_Table[[#This Row],[Rate]]=""),"Missing","OK")</f>
        <v>OK</v>
      </c>
    </row>
    <row r="516" spans="1:9" x14ac:dyDescent="0.35">
      <c r="A516" t="s">
        <v>540</v>
      </c>
      <c r="B516" t="s">
        <v>11</v>
      </c>
      <c r="C516" t="s">
        <v>8</v>
      </c>
      <c r="D516">
        <v>447.82</v>
      </c>
      <c r="E516" t="s">
        <v>9</v>
      </c>
      <c r="F516">
        <v>4483.25</v>
      </c>
      <c r="G516">
        <f t="shared" si="10"/>
        <v>2007689.0149999999</v>
      </c>
      <c r="H516" t="str">
        <f>IF(BOQ_Table[[#This Row],[Amount]]&gt;100000,"Over Budget","OK")</f>
        <v>Over Budget</v>
      </c>
      <c r="I516" t="str">
        <f>IF(OR(BOQ_Table[[#This Row],[Quantity]]="",BOQ_Table[[#This Row],[Rate]]=""),"Missing","OK")</f>
        <v>OK</v>
      </c>
    </row>
    <row r="517" spans="1:9" x14ac:dyDescent="0.35">
      <c r="A517" t="s">
        <v>541</v>
      </c>
      <c r="B517" t="s">
        <v>11</v>
      </c>
      <c r="C517" t="s">
        <v>12</v>
      </c>
      <c r="D517">
        <v>314.12</v>
      </c>
      <c r="E517" t="s">
        <v>18</v>
      </c>
      <c r="F517">
        <v>4395.75</v>
      </c>
      <c r="G517">
        <f t="shared" si="10"/>
        <v>1380792.99</v>
      </c>
      <c r="H517" t="str">
        <f>IF(BOQ_Table[[#This Row],[Amount]]&gt;100000,"Over Budget","OK")</f>
        <v>Over Budget</v>
      </c>
      <c r="I517" t="str">
        <f>IF(OR(BOQ_Table[[#This Row],[Quantity]]="",BOQ_Table[[#This Row],[Rate]]=""),"Missing","OK")</f>
        <v>OK</v>
      </c>
    </row>
    <row r="518" spans="1:9" x14ac:dyDescent="0.35">
      <c r="A518" t="s">
        <v>542</v>
      </c>
      <c r="B518" t="s">
        <v>7</v>
      </c>
      <c r="C518" t="s">
        <v>38</v>
      </c>
      <c r="D518">
        <v>118.13</v>
      </c>
      <c r="E518" t="s">
        <v>18</v>
      </c>
      <c r="F518">
        <v>2981.16</v>
      </c>
      <c r="G518">
        <f t="shared" si="10"/>
        <v>352164.43079999997</v>
      </c>
      <c r="H518" t="str">
        <f>IF(BOQ_Table[[#This Row],[Amount]]&gt;100000,"Over Budget","OK")</f>
        <v>Over Budget</v>
      </c>
      <c r="I518" t="str">
        <f>IF(OR(BOQ_Table[[#This Row],[Quantity]]="",BOQ_Table[[#This Row],[Rate]]=""),"Missing","OK")</f>
        <v>OK</v>
      </c>
    </row>
    <row r="519" spans="1:9" x14ac:dyDescent="0.35">
      <c r="A519" t="s">
        <v>543</v>
      </c>
      <c r="B519" t="s">
        <v>56</v>
      </c>
      <c r="C519" t="s">
        <v>38</v>
      </c>
      <c r="D519">
        <v>266.62</v>
      </c>
      <c r="E519" t="s">
        <v>22</v>
      </c>
      <c r="F519">
        <v>4583.72</v>
      </c>
      <c r="G519">
        <f t="shared" si="10"/>
        <v>1222111.4264</v>
      </c>
      <c r="H519" t="str">
        <f>IF(BOQ_Table[[#This Row],[Amount]]&gt;100000,"Over Budget","OK")</f>
        <v>Over Budget</v>
      </c>
      <c r="I519" t="str">
        <f>IF(OR(BOQ_Table[[#This Row],[Quantity]]="",BOQ_Table[[#This Row],[Rate]]=""),"Missing","OK")</f>
        <v>OK</v>
      </c>
    </row>
    <row r="520" spans="1:9" x14ac:dyDescent="0.35">
      <c r="A520" t="s">
        <v>544</v>
      </c>
      <c r="B520" t="s">
        <v>7</v>
      </c>
      <c r="C520" t="s">
        <v>38</v>
      </c>
      <c r="D520">
        <v>186.21</v>
      </c>
      <c r="E520" t="s">
        <v>27</v>
      </c>
      <c r="F520">
        <v>3910.97</v>
      </c>
      <c r="G520">
        <f t="shared" si="10"/>
        <v>728261.72369999997</v>
      </c>
      <c r="H520" t="str">
        <f>IF(BOQ_Table[[#This Row],[Amount]]&gt;100000,"Over Budget","OK")</f>
        <v>Over Budget</v>
      </c>
      <c r="I520" t="str">
        <f>IF(OR(BOQ_Table[[#This Row],[Quantity]]="",BOQ_Table[[#This Row],[Rate]]=""),"Missing","OK")</f>
        <v>OK</v>
      </c>
    </row>
    <row r="521" spans="1:9" x14ac:dyDescent="0.35">
      <c r="A521" t="s">
        <v>545</v>
      </c>
      <c r="B521" t="s">
        <v>11</v>
      </c>
      <c r="C521" t="s">
        <v>8</v>
      </c>
      <c r="D521">
        <v>302.74</v>
      </c>
      <c r="E521" t="s">
        <v>22</v>
      </c>
      <c r="F521">
        <v>3186.11</v>
      </c>
      <c r="G521">
        <f t="shared" si="10"/>
        <v>964562.94140000001</v>
      </c>
      <c r="H521" t="str">
        <f>IF(BOQ_Table[[#This Row],[Amount]]&gt;100000,"Over Budget","OK")</f>
        <v>Over Budget</v>
      </c>
      <c r="I521" t="str">
        <f>IF(OR(BOQ_Table[[#This Row],[Quantity]]="",BOQ_Table[[#This Row],[Rate]]=""),"Missing","OK")</f>
        <v>OK</v>
      </c>
    </row>
    <row r="522" spans="1:9" x14ac:dyDescent="0.35">
      <c r="A522" t="s">
        <v>546</v>
      </c>
      <c r="B522" t="s">
        <v>7</v>
      </c>
      <c r="C522" t="s">
        <v>21</v>
      </c>
      <c r="D522">
        <v>7.96</v>
      </c>
      <c r="E522" t="s">
        <v>9</v>
      </c>
      <c r="F522">
        <v>4111.3900000000003</v>
      </c>
      <c r="G522">
        <f t="shared" si="10"/>
        <v>32726.664400000001</v>
      </c>
      <c r="H522" t="str">
        <f>IF(BOQ_Table[[#This Row],[Amount]]&gt;100000,"Over Budget","OK")</f>
        <v>OK</v>
      </c>
      <c r="I522" t="str">
        <f>IF(OR(BOQ_Table[[#This Row],[Quantity]]="",BOQ_Table[[#This Row],[Rate]]=""),"Missing","OK")</f>
        <v>OK</v>
      </c>
    </row>
    <row r="523" spans="1:9" x14ac:dyDescent="0.35">
      <c r="A523" t="s">
        <v>547</v>
      </c>
      <c r="B523" t="s">
        <v>32</v>
      </c>
      <c r="C523" t="s">
        <v>17</v>
      </c>
      <c r="D523">
        <v>488.1</v>
      </c>
      <c r="E523" t="s">
        <v>22</v>
      </c>
      <c r="F523">
        <v>4272.87</v>
      </c>
      <c r="G523">
        <f t="shared" si="10"/>
        <v>2085587.8470000001</v>
      </c>
      <c r="H523" t="str">
        <f>IF(BOQ_Table[[#This Row],[Amount]]&gt;100000,"Over Budget","OK")</f>
        <v>Over Budget</v>
      </c>
      <c r="I523" t="str">
        <f>IF(OR(BOQ_Table[[#This Row],[Quantity]]="",BOQ_Table[[#This Row],[Rate]]=""),"Missing","OK")</f>
        <v>OK</v>
      </c>
    </row>
    <row r="524" spans="1:9" x14ac:dyDescent="0.35">
      <c r="A524" t="s">
        <v>548</v>
      </c>
      <c r="B524" t="s">
        <v>46</v>
      </c>
      <c r="C524" t="s">
        <v>21</v>
      </c>
      <c r="D524">
        <v>229.56</v>
      </c>
      <c r="E524" t="s">
        <v>22</v>
      </c>
      <c r="F524">
        <v>3383.82</v>
      </c>
      <c r="G524">
        <f t="shared" si="10"/>
        <v>776789.71920000005</v>
      </c>
      <c r="H524" t="str">
        <f>IF(BOQ_Table[[#This Row],[Amount]]&gt;100000,"Over Budget","OK")</f>
        <v>Over Budget</v>
      </c>
      <c r="I524" t="str">
        <f>IF(OR(BOQ_Table[[#This Row],[Quantity]]="",BOQ_Table[[#This Row],[Rate]]=""),"Missing","OK")</f>
        <v>OK</v>
      </c>
    </row>
    <row r="525" spans="1:9" x14ac:dyDescent="0.35">
      <c r="A525" t="s">
        <v>549</v>
      </c>
      <c r="B525" t="s">
        <v>30</v>
      </c>
      <c r="C525" t="s">
        <v>21</v>
      </c>
      <c r="D525">
        <v>189.56</v>
      </c>
      <c r="E525" t="s">
        <v>18</v>
      </c>
      <c r="F525">
        <v>351.87</v>
      </c>
      <c r="G525">
        <f t="shared" si="10"/>
        <v>66700.477200000008</v>
      </c>
      <c r="H525" t="str">
        <f>IF(BOQ_Table[[#This Row],[Amount]]&gt;100000,"Over Budget","OK")</f>
        <v>OK</v>
      </c>
      <c r="I525" t="str">
        <f>IF(OR(BOQ_Table[[#This Row],[Quantity]]="",BOQ_Table[[#This Row],[Rate]]=""),"Missing","OK")</f>
        <v>OK</v>
      </c>
    </row>
    <row r="526" spans="1:9" x14ac:dyDescent="0.35">
      <c r="A526" t="s">
        <v>550</v>
      </c>
      <c r="B526" t="s">
        <v>32</v>
      </c>
      <c r="C526" t="s">
        <v>8</v>
      </c>
      <c r="D526">
        <v>398.22</v>
      </c>
      <c r="E526" t="s">
        <v>18</v>
      </c>
      <c r="F526">
        <v>4810.46</v>
      </c>
      <c r="G526">
        <f t="shared" si="10"/>
        <v>1915621.3812000002</v>
      </c>
      <c r="H526" t="str">
        <f>IF(BOQ_Table[[#This Row],[Amount]]&gt;100000,"Over Budget","OK")</f>
        <v>Over Budget</v>
      </c>
      <c r="I526" t="str">
        <f>IF(OR(BOQ_Table[[#This Row],[Quantity]]="",BOQ_Table[[#This Row],[Rate]]=""),"Missing","OK")</f>
        <v>OK</v>
      </c>
    </row>
    <row r="527" spans="1:9" x14ac:dyDescent="0.35">
      <c r="A527" t="s">
        <v>551</v>
      </c>
      <c r="B527" t="s">
        <v>20</v>
      </c>
      <c r="C527" t="s">
        <v>12</v>
      </c>
      <c r="D527">
        <v>247.76</v>
      </c>
      <c r="E527" t="s">
        <v>14</v>
      </c>
      <c r="F527">
        <v>1544.34</v>
      </c>
      <c r="G527">
        <f t="shared" si="10"/>
        <v>382625.67839999998</v>
      </c>
      <c r="H527" t="str">
        <f>IF(BOQ_Table[[#This Row],[Amount]]&gt;100000,"Over Budget","OK")</f>
        <v>Over Budget</v>
      </c>
      <c r="I527" t="str">
        <f>IF(OR(BOQ_Table[[#This Row],[Quantity]]="",BOQ_Table[[#This Row],[Rate]]=""),"Missing","OK")</f>
        <v>OK</v>
      </c>
    </row>
    <row r="528" spans="1:9" x14ac:dyDescent="0.35">
      <c r="A528" t="s">
        <v>552</v>
      </c>
      <c r="B528" t="s">
        <v>40</v>
      </c>
      <c r="C528" t="s">
        <v>17</v>
      </c>
      <c r="D528">
        <v>138.77000000000001</v>
      </c>
      <c r="E528" t="s">
        <v>14</v>
      </c>
      <c r="F528">
        <v>4218.58</v>
      </c>
      <c r="G528">
        <f t="shared" si="10"/>
        <v>585412.34660000005</v>
      </c>
      <c r="H528" t="str">
        <f>IF(BOQ_Table[[#This Row],[Amount]]&gt;100000,"Over Budget","OK")</f>
        <v>Over Budget</v>
      </c>
      <c r="I528" t="str">
        <f>IF(OR(BOQ_Table[[#This Row],[Quantity]]="",BOQ_Table[[#This Row],[Rate]]=""),"Missing","OK")</f>
        <v>OK</v>
      </c>
    </row>
    <row r="529" spans="1:9" x14ac:dyDescent="0.35">
      <c r="A529" t="s">
        <v>553</v>
      </c>
      <c r="B529" t="s">
        <v>20</v>
      </c>
      <c r="C529" t="s">
        <v>21</v>
      </c>
      <c r="D529">
        <v>473.56</v>
      </c>
      <c r="E529" t="s">
        <v>22</v>
      </c>
      <c r="F529">
        <v>3073.63</v>
      </c>
      <c r="G529">
        <f t="shared" si="10"/>
        <v>1455548.2228000001</v>
      </c>
      <c r="H529" t="str">
        <f>IF(BOQ_Table[[#This Row],[Amount]]&gt;100000,"Over Budget","OK")</f>
        <v>Over Budget</v>
      </c>
      <c r="I529" t="str">
        <f>IF(OR(BOQ_Table[[#This Row],[Quantity]]="",BOQ_Table[[#This Row],[Rate]]=""),"Missing","OK")</f>
        <v>OK</v>
      </c>
    </row>
    <row r="530" spans="1:9" x14ac:dyDescent="0.35">
      <c r="A530" t="s">
        <v>554</v>
      </c>
      <c r="B530" t="s">
        <v>56</v>
      </c>
      <c r="C530" t="s">
        <v>21</v>
      </c>
      <c r="D530">
        <v>256.7</v>
      </c>
      <c r="E530" t="s">
        <v>18</v>
      </c>
      <c r="F530">
        <v>1827.85</v>
      </c>
      <c r="G530">
        <f t="shared" si="10"/>
        <v>469209.09499999997</v>
      </c>
      <c r="H530" t="str">
        <f>IF(BOQ_Table[[#This Row],[Amount]]&gt;100000,"Over Budget","OK")</f>
        <v>Over Budget</v>
      </c>
      <c r="I530" t="str">
        <f>IF(OR(BOQ_Table[[#This Row],[Quantity]]="",BOQ_Table[[#This Row],[Rate]]=""),"Missing","OK")</f>
        <v>OK</v>
      </c>
    </row>
    <row r="531" spans="1:9" x14ac:dyDescent="0.35">
      <c r="A531" t="s">
        <v>555</v>
      </c>
      <c r="B531" t="s">
        <v>56</v>
      </c>
      <c r="C531" t="s">
        <v>38</v>
      </c>
      <c r="D531">
        <v>154.27000000000001</v>
      </c>
      <c r="E531" t="s">
        <v>9</v>
      </c>
      <c r="F531">
        <v>4014.8</v>
      </c>
      <c r="G531">
        <f t="shared" si="10"/>
        <v>619363.19600000011</v>
      </c>
      <c r="H531" t="str">
        <f>IF(BOQ_Table[[#This Row],[Amount]]&gt;100000,"Over Budget","OK")</f>
        <v>Over Budget</v>
      </c>
      <c r="I531" t="str">
        <f>IF(OR(BOQ_Table[[#This Row],[Quantity]]="",BOQ_Table[[#This Row],[Rate]]=""),"Missing","OK")</f>
        <v>OK</v>
      </c>
    </row>
    <row r="532" spans="1:9" x14ac:dyDescent="0.35">
      <c r="A532" t="s">
        <v>556</v>
      </c>
      <c r="B532" t="s">
        <v>11</v>
      </c>
      <c r="C532" t="s">
        <v>12</v>
      </c>
      <c r="D532">
        <v>408.52</v>
      </c>
      <c r="E532" t="s">
        <v>18</v>
      </c>
      <c r="F532">
        <v>3449.51</v>
      </c>
      <c r="G532">
        <f t="shared" si="10"/>
        <v>1409193.8252000001</v>
      </c>
      <c r="H532" t="str">
        <f>IF(BOQ_Table[[#This Row],[Amount]]&gt;100000,"Over Budget","OK")</f>
        <v>Over Budget</v>
      </c>
      <c r="I532" t="str">
        <f>IF(OR(BOQ_Table[[#This Row],[Quantity]]="",BOQ_Table[[#This Row],[Rate]]=""),"Missing","OK")</f>
        <v>OK</v>
      </c>
    </row>
    <row r="533" spans="1:9" x14ac:dyDescent="0.35">
      <c r="A533" t="s">
        <v>557</v>
      </c>
      <c r="B533" t="s">
        <v>7</v>
      </c>
      <c r="C533" t="s">
        <v>12</v>
      </c>
      <c r="D533">
        <v>185.58</v>
      </c>
      <c r="E533" t="s">
        <v>18</v>
      </c>
      <c r="F533">
        <v>375.02</v>
      </c>
      <c r="G533">
        <f t="shared" si="10"/>
        <v>69596.211599999995</v>
      </c>
      <c r="H533" t="str">
        <f>IF(BOQ_Table[[#This Row],[Amount]]&gt;100000,"Over Budget","OK")</f>
        <v>OK</v>
      </c>
      <c r="I533" t="str">
        <f>IF(OR(BOQ_Table[[#This Row],[Quantity]]="",BOQ_Table[[#This Row],[Rate]]=""),"Missing","OK")</f>
        <v>OK</v>
      </c>
    </row>
    <row r="534" spans="1:9" x14ac:dyDescent="0.35">
      <c r="A534" t="s">
        <v>558</v>
      </c>
      <c r="B534" t="s">
        <v>16</v>
      </c>
      <c r="C534" t="s">
        <v>12</v>
      </c>
      <c r="D534">
        <v>202.2</v>
      </c>
      <c r="E534" t="s">
        <v>18</v>
      </c>
      <c r="F534">
        <v>2098.3200000000002</v>
      </c>
      <c r="G534">
        <f t="shared" si="10"/>
        <v>424280.304</v>
      </c>
      <c r="H534" t="str">
        <f>IF(BOQ_Table[[#This Row],[Amount]]&gt;100000,"Over Budget","OK")</f>
        <v>Over Budget</v>
      </c>
      <c r="I534" t="str">
        <f>IF(OR(BOQ_Table[[#This Row],[Quantity]]="",BOQ_Table[[#This Row],[Rate]]=""),"Missing","OK")</f>
        <v>OK</v>
      </c>
    </row>
    <row r="535" spans="1:9" x14ac:dyDescent="0.35">
      <c r="A535" t="s">
        <v>559</v>
      </c>
      <c r="B535" t="s">
        <v>16</v>
      </c>
      <c r="C535" t="s">
        <v>17</v>
      </c>
      <c r="D535">
        <v>71.16</v>
      </c>
      <c r="E535" t="s">
        <v>14</v>
      </c>
      <c r="F535">
        <v>4993.32</v>
      </c>
      <c r="G535">
        <f t="shared" si="10"/>
        <v>355324.65119999996</v>
      </c>
      <c r="H535" t="str">
        <f>IF(BOQ_Table[[#This Row],[Amount]]&gt;100000,"Over Budget","OK")</f>
        <v>Over Budget</v>
      </c>
      <c r="I535" t="str">
        <f>IF(OR(BOQ_Table[[#This Row],[Quantity]]="",BOQ_Table[[#This Row],[Rate]]=""),"Missing","OK")</f>
        <v>OK</v>
      </c>
    </row>
    <row r="536" spans="1:9" x14ac:dyDescent="0.35">
      <c r="A536" t="s">
        <v>560</v>
      </c>
      <c r="B536" t="s">
        <v>46</v>
      </c>
      <c r="C536" t="s">
        <v>17</v>
      </c>
      <c r="D536">
        <v>79.34</v>
      </c>
      <c r="E536" t="s">
        <v>18</v>
      </c>
      <c r="F536">
        <v>1036.83</v>
      </c>
      <c r="G536">
        <f t="shared" si="10"/>
        <v>82262.092199999999</v>
      </c>
      <c r="H536" t="str">
        <f>IF(BOQ_Table[[#This Row],[Amount]]&gt;100000,"Over Budget","OK")</f>
        <v>OK</v>
      </c>
      <c r="I536" t="str">
        <f>IF(OR(BOQ_Table[[#This Row],[Quantity]]="",BOQ_Table[[#This Row],[Rate]]=""),"Missing","OK")</f>
        <v>OK</v>
      </c>
    </row>
    <row r="537" spans="1:9" x14ac:dyDescent="0.35">
      <c r="A537" t="s">
        <v>561</v>
      </c>
      <c r="B537" t="s">
        <v>16</v>
      </c>
      <c r="C537" t="s">
        <v>21</v>
      </c>
      <c r="D537">
        <v>138.46</v>
      </c>
      <c r="E537" t="s">
        <v>27</v>
      </c>
      <c r="F537">
        <v>4299.8</v>
      </c>
      <c r="G537">
        <f t="shared" si="10"/>
        <v>595350.30800000008</v>
      </c>
      <c r="H537" t="str">
        <f>IF(BOQ_Table[[#This Row],[Amount]]&gt;100000,"Over Budget","OK")</f>
        <v>Over Budget</v>
      </c>
      <c r="I537" t="str">
        <f>IF(OR(BOQ_Table[[#This Row],[Quantity]]="",BOQ_Table[[#This Row],[Rate]]=""),"Missing","OK")</f>
        <v>OK</v>
      </c>
    </row>
    <row r="538" spans="1:9" x14ac:dyDescent="0.35">
      <c r="A538" t="s">
        <v>562</v>
      </c>
      <c r="B538" t="s">
        <v>30</v>
      </c>
      <c r="C538" t="s">
        <v>21</v>
      </c>
      <c r="D538">
        <v>499.32</v>
      </c>
      <c r="E538" t="s">
        <v>18</v>
      </c>
      <c r="F538">
        <v>2377.71</v>
      </c>
      <c r="G538">
        <f t="shared" si="10"/>
        <v>1187238.1572</v>
      </c>
      <c r="H538" t="str">
        <f>IF(BOQ_Table[[#This Row],[Amount]]&gt;100000,"Over Budget","OK")</f>
        <v>Over Budget</v>
      </c>
      <c r="I538" t="str">
        <f>IF(OR(BOQ_Table[[#This Row],[Quantity]]="",BOQ_Table[[#This Row],[Rate]]=""),"Missing","OK")</f>
        <v>OK</v>
      </c>
    </row>
    <row r="539" spans="1:9" x14ac:dyDescent="0.35">
      <c r="A539" t="s">
        <v>563</v>
      </c>
      <c r="B539" t="s">
        <v>7</v>
      </c>
      <c r="C539" t="s">
        <v>17</v>
      </c>
      <c r="D539">
        <v>283.35000000000002</v>
      </c>
      <c r="E539" t="s">
        <v>9</v>
      </c>
      <c r="F539">
        <v>1810.06</v>
      </c>
      <c r="G539">
        <f t="shared" si="10"/>
        <v>512880.50100000005</v>
      </c>
      <c r="H539" t="str">
        <f>IF(BOQ_Table[[#This Row],[Amount]]&gt;100000,"Over Budget","OK")</f>
        <v>Over Budget</v>
      </c>
      <c r="I539" t="str">
        <f>IF(OR(BOQ_Table[[#This Row],[Quantity]]="",BOQ_Table[[#This Row],[Rate]]=""),"Missing","OK")</f>
        <v>OK</v>
      </c>
    </row>
    <row r="540" spans="1:9" x14ac:dyDescent="0.35">
      <c r="A540" t="s">
        <v>564</v>
      </c>
      <c r="B540" t="s">
        <v>30</v>
      </c>
      <c r="C540" t="s">
        <v>21</v>
      </c>
      <c r="D540">
        <v>442.77</v>
      </c>
      <c r="E540" t="s">
        <v>9</v>
      </c>
      <c r="F540">
        <v>4915.67</v>
      </c>
      <c r="G540">
        <f t="shared" si="10"/>
        <v>2176511.2058999999</v>
      </c>
      <c r="H540" t="str">
        <f>IF(BOQ_Table[[#This Row],[Amount]]&gt;100000,"Over Budget","OK")</f>
        <v>Over Budget</v>
      </c>
      <c r="I540" t="str">
        <f>IF(OR(BOQ_Table[[#This Row],[Quantity]]="",BOQ_Table[[#This Row],[Rate]]=""),"Missing","OK")</f>
        <v>OK</v>
      </c>
    </row>
    <row r="541" spans="1:9" x14ac:dyDescent="0.35">
      <c r="A541" t="s">
        <v>565</v>
      </c>
      <c r="B541" t="s">
        <v>11</v>
      </c>
      <c r="C541" t="s">
        <v>17</v>
      </c>
      <c r="D541">
        <v>359.41</v>
      </c>
      <c r="E541" t="s">
        <v>22</v>
      </c>
      <c r="F541">
        <v>2785.57</v>
      </c>
      <c r="G541">
        <f t="shared" si="10"/>
        <v>1001161.7137000001</v>
      </c>
      <c r="H541" t="str">
        <f>IF(BOQ_Table[[#This Row],[Amount]]&gt;100000,"Over Budget","OK")</f>
        <v>Over Budget</v>
      </c>
      <c r="I541" t="str">
        <f>IF(OR(BOQ_Table[[#This Row],[Quantity]]="",BOQ_Table[[#This Row],[Rate]]=""),"Missing","OK")</f>
        <v>OK</v>
      </c>
    </row>
    <row r="542" spans="1:9" x14ac:dyDescent="0.35">
      <c r="A542" t="s">
        <v>566</v>
      </c>
      <c r="B542" t="s">
        <v>32</v>
      </c>
      <c r="C542" t="s">
        <v>17</v>
      </c>
      <c r="D542">
        <v>360.7</v>
      </c>
      <c r="E542" t="s">
        <v>9</v>
      </c>
      <c r="F542">
        <v>1680.88</v>
      </c>
      <c r="G542">
        <f t="shared" si="10"/>
        <v>606293.41599999997</v>
      </c>
      <c r="H542" t="str">
        <f>IF(BOQ_Table[[#This Row],[Amount]]&gt;100000,"Over Budget","OK")</f>
        <v>Over Budget</v>
      </c>
      <c r="I542" t="str">
        <f>IF(OR(BOQ_Table[[#This Row],[Quantity]]="",BOQ_Table[[#This Row],[Rate]]=""),"Missing","OK")</f>
        <v>OK</v>
      </c>
    </row>
    <row r="543" spans="1:9" x14ac:dyDescent="0.35">
      <c r="A543" t="s">
        <v>567</v>
      </c>
      <c r="B543" t="s">
        <v>32</v>
      </c>
      <c r="C543" t="s">
        <v>17</v>
      </c>
      <c r="D543">
        <v>222</v>
      </c>
      <c r="E543" t="s">
        <v>9</v>
      </c>
      <c r="F543">
        <v>3933.66</v>
      </c>
      <c r="G543">
        <f t="shared" si="10"/>
        <v>873272.52</v>
      </c>
      <c r="H543" t="str">
        <f>IF(BOQ_Table[[#This Row],[Amount]]&gt;100000,"Over Budget","OK")</f>
        <v>Over Budget</v>
      </c>
      <c r="I543" t="str">
        <f>IF(OR(BOQ_Table[[#This Row],[Quantity]]="",BOQ_Table[[#This Row],[Rate]]=""),"Missing","OK")</f>
        <v>OK</v>
      </c>
    </row>
    <row r="544" spans="1:9" x14ac:dyDescent="0.35">
      <c r="A544" t="s">
        <v>568</v>
      </c>
      <c r="B544" t="s">
        <v>11</v>
      </c>
      <c r="C544" t="s">
        <v>21</v>
      </c>
      <c r="D544">
        <v>134.66</v>
      </c>
      <c r="E544" t="s">
        <v>18</v>
      </c>
      <c r="F544">
        <v>4487.51</v>
      </c>
      <c r="G544">
        <f t="shared" si="10"/>
        <v>604288.09660000005</v>
      </c>
      <c r="H544" t="str">
        <f>IF(BOQ_Table[[#This Row],[Amount]]&gt;100000,"Over Budget","OK")</f>
        <v>Over Budget</v>
      </c>
      <c r="I544" t="str">
        <f>IF(OR(BOQ_Table[[#This Row],[Quantity]]="",BOQ_Table[[#This Row],[Rate]]=""),"Missing","OK")</f>
        <v>OK</v>
      </c>
    </row>
    <row r="545" spans="1:9" x14ac:dyDescent="0.35">
      <c r="A545" t="s">
        <v>569</v>
      </c>
      <c r="B545" t="s">
        <v>40</v>
      </c>
      <c r="C545" t="s">
        <v>8</v>
      </c>
      <c r="D545">
        <v>435.94</v>
      </c>
      <c r="E545" t="s">
        <v>27</v>
      </c>
      <c r="F545">
        <v>4060.53</v>
      </c>
      <c r="G545">
        <f t="shared" si="10"/>
        <v>1770147.4482</v>
      </c>
      <c r="H545" t="str">
        <f>IF(BOQ_Table[[#This Row],[Amount]]&gt;100000,"Over Budget","OK")</f>
        <v>Over Budget</v>
      </c>
      <c r="I545" t="str">
        <f>IF(OR(BOQ_Table[[#This Row],[Quantity]]="",BOQ_Table[[#This Row],[Rate]]=""),"Missing","OK")</f>
        <v>OK</v>
      </c>
    </row>
    <row r="546" spans="1:9" x14ac:dyDescent="0.35">
      <c r="A546" t="s">
        <v>570</v>
      </c>
      <c r="B546" t="s">
        <v>40</v>
      </c>
      <c r="C546" t="s">
        <v>38</v>
      </c>
      <c r="D546">
        <v>322.45</v>
      </c>
      <c r="E546" t="s">
        <v>18</v>
      </c>
      <c r="F546">
        <v>1958.91</v>
      </c>
      <c r="G546">
        <f t="shared" si="10"/>
        <v>631650.52949999995</v>
      </c>
      <c r="H546" t="str">
        <f>IF(BOQ_Table[[#This Row],[Amount]]&gt;100000,"Over Budget","OK")</f>
        <v>Over Budget</v>
      </c>
      <c r="I546" t="str">
        <f>IF(OR(BOQ_Table[[#This Row],[Quantity]]="",BOQ_Table[[#This Row],[Rate]]=""),"Missing","OK")</f>
        <v>OK</v>
      </c>
    </row>
    <row r="547" spans="1:9" x14ac:dyDescent="0.35">
      <c r="A547" t="s">
        <v>571</v>
      </c>
      <c r="B547" t="s">
        <v>46</v>
      </c>
      <c r="C547" t="s">
        <v>17</v>
      </c>
      <c r="D547">
        <v>446.55</v>
      </c>
      <c r="E547" t="s">
        <v>9</v>
      </c>
      <c r="F547">
        <v>664.76</v>
      </c>
      <c r="G547">
        <f t="shared" si="10"/>
        <v>296848.57799999998</v>
      </c>
      <c r="H547" t="str">
        <f>IF(BOQ_Table[[#This Row],[Amount]]&gt;100000,"Over Budget","OK")</f>
        <v>Over Budget</v>
      </c>
      <c r="I547" t="str">
        <f>IF(OR(BOQ_Table[[#This Row],[Quantity]]="",BOQ_Table[[#This Row],[Rate]]=""),"Missing","OK")</f>
        <v>OK</v>
      </c>
    </row>
    <row r="548" spans="1:9" x14ac:dyDescent="0.35">
      <c r="A548" t="s">
        <v>572</v>
      </c>
      <c r="B548" t="s">
        <v>30</v>
      </c>
      <c r="C548" t="s">
        <v>12</v>
      </c>
      <c r="D548">
        <v>448.98</v>
      </c>
      <c r="E548" t="s">
        <v>9</v>
      </c>
      <c r="F548">
        <v>3285.22</v>
      </c>
      <c r="G548">
        <f t="shared" si="10"/>
        <v>1474998.0755999999</v>
      </c>
      <c r="H548" t="str">
        <f>IF(BOQ_Table[[#This Row],[Amount]]&gt;100000,"Over Budget","OK")</f>
        <v>Over Budget</v>
      </c>
      <c r="I548" t="str">
        <f>IF(OR(BOQ_Table[[#This Row],[Quantity]]="",BOQ_Table[[#This Row],[Rate]]=""),"Missing","OK")</f>
        <v>OK</v>
      </c>
    </row>
    <row r="549" spans="1:9" x14ac:dyDescent="0.35">
      <c r="A549" t="s">
        <v>573</v>
      </c>
      <c r="B549" t="s">
        <v>16</v>
      </c>
      <c r="C549" t="s">
        <v>8</v>
      </c>
      <c r="D549">
        <v>50.33</v>
      </c>
      <c r="E549" t="s">
        <v>27</v>
      </c>
      <c r="F549">
        <v>489.68</v>
      </c>
      <c r="G549">
        <f t="shared" si="10"/>
        <v>24645.594399999998</v>
      </c>
      <c r="H549" t="str">
        <f>IF(BOQ_Table[[#This Row],[Amount]]&gt;100000,"Over Budget","OK")</f>
        <v>OK</v>
      </c>
      <c r="I549" t="str">
        <f>IF(OR(BOQ_Table[[#This Row],[Quantity]]="",BOQ_Table[[#This Row],[Rate]]=""),"Missing","OK")</f>
        <v>OK</v>
      </c>
    </row>
    <row r="550" spans="1:9" x14ac:dyDescent="0.35">
      <c r="A550" t="s">
        <v>574</v>
      </c>
      <c r="B550" t="s">
        <v>20</v>
      </c>
      <c r="C550" t="s">
        <v>17</v>
      </c>
      <c r="D550">
        <v>332.88</v>
      </c>
      <c r="E550" t="s">
        <v>9</v>
      </c>
      <c r="F550">
        <v>1958.48</v>
      </c>
      <c r="G550">
        <f t="shared" si="10"/>
        <v>651938.82239999995</v>
      </c>
      <c r="H550" t="str">
        <f>IF(BOQ_Table[[#This Row],[Amount]]&gt;100000,"Over Budget","OK")</f>
        <v>Over Budget</v>
      </c>
      <c r="I550" t="str">
        <f>IF(OR(BOQ_Table[[#This Row],[Quantity]]="",BOQ_Table[[#This Row],[Rate]]=""),"Missing","OK")</f>
        <v>OK</v>
      </c>
    </row>
    <row r="551" spans="1:9" x14ac:dyDescent="0.35">
      <c r="A551" t="s">
        <v>575</v>
      </c>
      <c r="B551" t="s">
        <v>30</v>
      </c>
      <c r="C551" t="s">
        <v>17</v>
      </c>
      <c r="D551">
        <v>448.38</v>
      </c>
      <c r="E551" t="s">
        <v>18</v>
      </c>
      <c r="F551">
        <v>3844.89</v>
      </c>
      <c r="G551">
        <f t="shared" si="10"/>
        <v>1723971.7781999998</v>
      </c>
      <c r="H551" t="str">
        <f>IF(BOQ_Table[[#This Row],[Amount]]&gt;100000,"Over Budget","OK")</f>
        <v>Over Budget</v>
      </c>
      <c r="I551" t="str">
        <f>IF(OR(BOQ_Table[[#This Row],[Quantity]]="",BOQ_Table[[#This Row],[Rate]]=""),"Missing","OK")</f>
        <v>OK</v>
      </c>
    </row>
    <row r="552" spans="1:9" x14ac:dyDescent="0.35">
      <c r="A552" t="s">
        <v>576</v>
      </c>
      <c r="B552" t="s">
        <v>30</v>
      </c>
      <c r="C552" t="s">
        <v>17</v>
      </c>
      <c r="D552">
        <v>49.18</v>
      </c>
      <c r="E552" t="s">
        <v>14</v>
      </c>
      <c r="F552">
        <v>733.85</v>
      </c>
      <c r="G552">
        <f t="shared" si="10"/>
        <v>36090.743000000002</v>
      </c>
      <c r="H552" t="str">
        <f>IF(BOQ_Table[[#This Row],[Amount]]&gt;100000,"Over Budget","OK")</f>
        <v>OK</v>
      </c>
      <c r="I552" t="str">
        <f>IF(OR(BOQ_Table[[#This Row],[Quantity]]="",BOQ_Table[[#This Row],[Rate]]=""),"Missing","OK")</f>
        <v>OK</v>
      </c>
    </row>
    <row r="553" spans="1:9" x14ac:dyDescent="0.35">
      <c r="A553" t="s">
        <v>577</v>
      </c>
      <c r="B553" t="s">
        <v>20</v>
      </c>
      <c r="C553" t="s">
        <v>21</v>
      </c>
      <c r="D553">
        <v>38.4</v>
      </c>
      <c r="E553" t="s">
        <v>18</v>
      </c>
      <c r="F553">
        <v>1392.01</v>
      </c>
      <c r="G553">
        <f t="shared" si="10"/>
        <v>53453.184000000001</v>
      </c>
      <c r="H553" t="str">
        <f>IF(BOQ_Table[[#This Row],[Amount]]&gt;100000,"Over Budget","OK")</f>
        <v>OK</v>
      </c>
      <c r="I553" t="str">
        <f>IF(OR(BOQ_Table[[#This Row],[Quantity]]="",BOQ_Table[[#This Row],[Rate]]=""),"Missing","OK")</f>
        <v>OK</v>
      </c>
    </row>
    <row r="554" spans="1:9" x14ac:dyDescent="0.35">
      <c r="A554" t="s">
        <v>578</v>
      </c>
      <c r="B554" t="s">
        <v>20</v>
      </c>
      <c r="C554" t="s">
        <v>12</v>
      </c>
      <c r="D554">
        <v>104.21</v>
      </c>
      <c r="E554" t="s">
        <v>27</v>
      </c>
      <c r="F554">
        <v>3384.93</v>
      </c>
      <c r="G554">
        <f t="shared" si="10"/>
        <v>352743.55529999995</v>
      </c>
      <c r="H554" t="str">
        <f>IF(BOQ_Table[[#This Row],[Amount]]&gt;100000,"Over Budget","OK")</f>
        <v>Over Budget</v>
      </c>
      <c r="I554" t="str">
        <f>IF(OR(BOQ_Table[[#This Row],[Quantity]]="",BOQ_Table[[#This Row],[Rate]]=""),"Missing","OK")</f>
        <v>OK</v>
      </c>
    </row>
    <row r="555" spans="1:9" x14ac:dyDescent="0.35">
      <c r="A555" t="s">
        <v>579</v>
      </c>
      <c r="B555" t="s">
        <v>20</v>
      </c>
      <c r="C555" t="s">
        <v>38</v>
      </c>
      <c r="D555">
        <v>101.75</v>
      </c>
      <c r="E555" t="s">
        <v>9</v>
      </c>
      <c r="F555">
        <v>4591.8900000000003</v>
      </c>
      <c r="G555">
        <f t="shared" si="10"/>
        <v>467224.80750000005</v>
      </c>
      <c r="H555" t="str">
        <f>IF(BOQ_Table[[#This Row],[Amount]]&gt;100000,"Over Budget","OK")</f>
        <v>Over Budget</v>
      </c>
      <c r="I555" t="str">
        <f>IF(OR(BOQ_Table[[#This Row],[Quantity]]="",BOQ_Table[[#This Row],[Rate]]=""),"Missing","OK")</f>
        <v>OK</v>
      </c>
    </row>
    <row r="556" spans="1:9" x14ac:dyDescent="0.35">
      <c r="A556" t="s">
        <v>580</v>
      </c>
      <c r="B556" t="s">
        <v>30</v>
      </c>
      <c r="C556" t="s">
        <v>21</v>
      </c>
      <c r="D556">
        <v>265.10000000000002</v>
      </c>
      <c r="E556" t="s">
        <v>18</v>
      </c>
      <c r="F556">
        <v>3708.08</v>
      </c>
      <c r="G556">
        <f t="shared" si="10"/>
        <v>983012.00800000003</v>
      </c>
      <c r="H556" t="str">
        <f>IF(BOQ_Table[[#This Row],[Amount]]&gt;100000,"Over Budget","OK")</f>
        <v>Over Budget</v>
      </c>
      <c r="I556" t="str">
        <f>IF(OR(BOQ_Table[[#This Row],[Quantity]]="",BOQ_Table[[#This Row],[Rate]]=""),"Missing","OK")</f>
        <v>OK</v>
      </c>
    </row>
    <row r="557" spans="1:9" x14ac:dyDescent="0.35">
      <c r="A557" t="s">
        <v>581</v>
      </c>
      <c r="B557" t="s">
        <v>32</v>
      </c>
      <c r="C557" t="s">
        <v>17</v>
      </c>
      <c r="D557">
        <v>109.28</v>
      </c>
      <c r="E557" t="s">
        <v>22</v>
      </c>
      <c r="F557">
        <v>1209.46</v>
      </c>
      <c r="G557">
        <f t="shared" si="10"/>
        <v>132169.78880000001</v>
      </c>
      <c r="H557" t="str">
        <f>IF(BOQ_Table[[#This Row],[Amount]]&gt;100000,"Over Budget","OK")</f>
        <v>Over Budget</v>
      </c>
      <c r="I557" t="str">
        <f>IF(OR(BOQ_Table[[#This Row],[Quantity]]="",BOQ_Table[[#This Row],[Rate]]=""),"Missing","OK")</f>
        <v>OK</v>
      </c>
    </row>
    <row r="558" spans="1:9" x14ac:dyDescent="0.35">
      <c r="A558" t="s">
        <v>582</v>
      </c>
      <c r="B558" t="s">
        <v>42</v>
      </c>
      <c r="C558" t="s">
        <v>8</v>
      </c>
      <c r="D558">
        <v>204.26</v>
      </c>
      <c r="E558" t="s">
        <v>9</v>
      </c>
      <c r="F558">
        <v>1216.01</v>
      </c>
      <c r="G558">
        <f t="shared" si="10"/>
        <v>248382.20259999999</v>
      </c>
      <c r="H558" t="str">
        <f>IF(BOQ_Table[[#This Row],[Amount]]&gt;100000,"Over Budget","OK")</f>
        <v>Over Budget</v>
      </c>
      <c r="I558" t="str">
        <f>IF(OR(BOQ_Table[[#This Row],[Quantity]]="",BOQ_Table[[#This Row],[Rate]]=""),"Missing","OK")</f>
        <v>OK</v>
      </c>
    </row>
    <row r="559" spans="1:9" x14ac:dyDescent="0.35">
      <c r="A559" t="s">
        <v>583</v>
      </c>
      <c r="B559" t="s">
        <v>42</v>
      </c>
      <c r="C559" t="s">
        <v>8</v>
      </c>
      <c r="D559">
        <v>15</v>
      </c>
      <c r="E559" t="s">
        <v>27</v>
      </c>
      <c r="F559">
        <v>59.91</v>
      </c>
      <c r="G559">
        <f t="shared" si="10"/>
        <v>898.65</v>
      </c>
      <c r="H559" t="str">
        <f>IF(BOQ_Table[[#This Row],[Amount]]&gt;100000,"Over Budget","OK")</f>
        <v>OK</v>
      </c>
      <c r="I559" t="str">
        <f>IF(OR(BOQ_Table[[#This Row],[Quantity]]="",BOQ_Table[[#This Row],[Rate]]=""),"Missing","OK")</f>
        <v>OK</v>
      </c>
    </row>
    <row r="560" spans="1:9" x14ac:dyDescent="0.35">
      <c r="A560" t="s">
        <v>584</v>
      </c>
      <c r="B560" t="s">
        <v>11</v>
      </c>
      <c r="C560" t="s">
        <v>8</v>
      </c>
      <c r="D560">
        <v>241.21</v>
      </c>
      <c r="E560" t="s">
        <v>22</v>
      </c>
      <c r="F560">
        <v>1137.47</v>
      </c>
      <c r="G560">
        <f t="shared" si="10"/>
        <v>274369.13870000001</v>
      </c>
      <c r="H560" t="str">
        <f>IF(BOQ_Table[[#This Row],[Amount]]&gt;100000,"Over Budget","OK")</f>
        <v>Over Budget</v>
      </c>
      <c r="I560" t="str">
        <f>IF(OR(BOQ_Table[[#This Row],[Quantity]]="",BOQ_Table[[#This Row],[Rate]]=""),"Missing","OK")</f>
        <v>OK</v>
      </c>
    </row>
    <row r="561" spans="1:9" x14ac:dyDescent="0.35">
      <c r="A561" t="s">
        <v>585</v>
      </c>
      <c r="B561" t="s">
        <v>40</v>
      </c>
      <c r="C561" t="s">
        <v>12</v>
      </c>
      <c r="D561">
        <v>319.19</v>
      </c>
      <c r="E561" t="s">
        <v>18</v>
      </c>
      <c r="F561">
        <v>4048.46</v>
      </c>
      <c r="G561">
        <f t="shared" si="10"/>
        <v>1292227.9473999999</v>
      </c>
      <c r="H561" t="str">
        <f>IF(BOQ_Table[[#This Row],[Amount]]&gt;100000,"Over Budget","OK")</f>
        <v>Over Budget</v>
      </c>
      <c r="I561" t="str">
        <f>IF(OR(BOQ_Table[[#This Row],[Quantity]]="",BOQ_Table[[#This Row],[Rate]]=""),"Missing","OK")</f>
        <v>OK</v>
      </c>
    </row>
    <row r="562" spans="1:9" x14ac:dyDescent="0.35">
      <c r="A562" t="s">
        <v>586</v>
      </c>
      <c r="B562" t="s">
        <v>20</v>
      </c>
      <c r="C562" t="s">
        <v>17</v>
      </c>
      <c r="D562">
        <v>61.28</v>
      </c>
      <c r="E562" t="s">
        <v>27</v>
      </c>
      <c r="F562">
        <v>2102.58</v>
      </c>
      <c r="G562">
        <f t="shared" si="10"/>
        <v>128846.1024</v>
      </c>
      <c r="H562" t="str">
        <f>IF(BOQ_Table[[#This Row],[Amount]]&gt;100000,"Over Budget","OK")</f>
        <v>Over Budget</v>
      </c>
      <c r="I562" t="str">
        <f>IF(OR(BOQ_Table[[#This Row],[Quantity]]="",BOQ_Table[[#This Row],[Rate]]=""),"Missing","OK")</f>
        <v>OK</v>
      </c>
    </row>
    <row r="563" spans="1:9" x14ac:dyDescent="0.35">
      <c r="A563" t="s">
        <v>587</v>
      </c>
      <c r="B563" t="s">
        <v>20</v>
      </c>
      <c r="C563" t="s">
        <v>38</v>
      </c>
      <c r="D563">
        <v>430.5</v>
      </c>
      <c r="E563" t="s">
        <v>9</v>
      </c>
      <c r="F563">
        <v>2362.67</v>
      </c>
      <c r="G563">
        <f t="shared" si="10"/>
        <v>1017129.4350000001</v>
      </c>
      <c r="H563" t="str">
        <f>IF(BOQ_Table[[#This Row],[Amount]]&gt;100000,"Over Budget","OK")</f>
        <v>Over Budget</v>
      </c>
      <c r="I563" t="str">
        <f>IF(OR(BOQ_Table[[#This Row],[Quantity]]="",BOQ_Table[[#This Row],[Rate]]=""),"Missing","OK")</f>
        <v>OK</v>
      </c>
    </row>
    <row r="564" spans="1:9" x14ac:dyDescent="0.35">
      <c r="A564" t="s">
        <v>588</v>
      </c>
      <c r="B564" t="s">
        <v>40</v>
      </c>
      <c r="C564" t="s">
        <v>21</v>
      </c>
      <c r="D564">
        <v>362.76</v>
      </c>
      <c r="E564" t="s">
        <v>18</v>
      </c>
      <c r="F564">
        <v>2577.1799999999998</v>
      </c>
      <c r="G564">
        <f t="shared" si="10"/>
        <v>934897.81679999991</v>
      </c>
      <c r="H564" t="str">
        <f>IF(BOQ_Table[[#This Row],[Amount]]&gt;100000,"Over Budget","OK")</f>
        <v>Over Budget</v>
      </c>
      <c r="I564" t="str">
        <f>IF(OR(BOQ_Table[[#This Row],[Quantity]]="",BOQ_Table[[#This Row],[Rate]]=""),"Missing","OK")</f>
        <v>OK</v>
      </c>
    </row>
    <row r="565" spans="1:9" x14ac:dyDescent="0.35">
      <c r="A565" t="s">
        <v>589</v>
      </c>
      <c r="B565" t="s">
        <v>16</v>
      </c>
      <c r="C565" t="s">
        <v>21</v>
      </c>
      <c r="D565">
        <v>260.69</v>
      </c>
      <c r="E565" t="s">
        <v>18</v>
      </c>
      <c r="F565">
        <v>4057.38</v>
      </c>
      <c r="G565">
        <f t="shared" si="10"/>
        <v>1057718.3922000001</v>
      </c>
      <c r="H565" t="str">
        <f>IF(BOQ_Table[[#This Row],[Amount]]&gt;100000,"Over Budget","OK")</f>
        <v>Over Budget</v>
      </c>
      <c r="I565" t="str">
        <f>IF(OR(BOQ_Table[[#This Row],[Quantity]]="",BOQ_Table[[#This Row],[Rate]]=""),"Missing","OK")</f>
        <v>OK</v>
      </c>
    </row>
    <row r="566" spans="1:9" x14ac:dyDescent="0.35">
      <c r="A566" t="s">
        <v>590</v>
      </c>
      <c r="B566" t="s">
        <v>32</v>
      </c>
      <c r="C566" t="s">
        <v>8</v>
      </c>
      <c r="D566">
        <v>279.72000000000003</v>
      </c>
      <c r="E566" t="s">
        <v>14</v>
      </c>
      <c r="F566">
        <v>3579.35</v>
      </c>
      <c r="G566">
        <f t="shared" si="10"/>
        <v>1001215.7820000001</v>
      </c>
      <c r="H566" t="str">
        <f>IF(BOQ_Table[[#This Row],[Amount]]&gt;100000,"Over Budget","OK")</f>
        <v>Over Budget</v>
      </c>
      <c r="I566" t="str">
        <f>IF(OR(BOQ_Table[[#This Row],[Quantity]]="",BOQ_Table[[#This Row],[Rate]]=""),"Missing","OK")</f>
        <v>OK</v>
      </c>
    </row>
    <row r="567" spans="1:9" x14ac:dyDescent="0.35">
      <c r="A567" t="s">
        <v>591</v>
      </c>
      <c r="B567" t="s">
        <v>32</v>
      </c>
      <c r="C567" t="s">
        <v>17</v>
      </c>
      <c r="D567">
        <v>345.26</v>
      </c>
      <c r="E567" t="s">
        <v>14</v>
      </c>
      <c r="F567">
        <v>872.45</v>
      </c>
      <c r="G567">
        <f t="shared" si="10"/>
        <v>301222.087</v>
      </c>
      <c r="H567" t="str">
        <f>IF(BOQ_Table[[#This Row],[Amount]]&gt;100000,"Over Budget","OK")</f>
        <v>Over Budget</v>
      </c>
      <c r="I567" t="str">
        <f>IF(OR(BOQ_Table[[#This Row],[Quantity]]="",BOQ_Table[[#This Row],[Rate]]=""),"Missing","OK")</f>
        <v>OK</v>
      </c>
    </row>
    <row r="568" spans="1:9" x14ac:dyDescent="0.35">
      <c r="A568" t="s">
        <v>592</v>
      </c>
      <c r="B568" t="s">
        <v>30</v>
      </c>
      <c r="C568" t="s">
        <v>17</v>
      </c>
      <c r="D568">
        <v>412.63</v>
      </c>
      <c r="E568" t="s">
        <v>27</v>
      </c>
      <c r="F568">
        <v>4590.95</v>
      </c>
      <c r="G568">
        <f t="shared" si="10"/>
        <v>1894363.6984999999</v>
      </c>
      <c r="H568" t="str">
        <f>IF(BOQ_Table[[#This Row],[Amount]]&gt;100000,"Over Budget","OK")</f>
        <v>Over Budget</v>
      </c>
      <c r="I568" t="str">
        <f>IF(OR(BOQ_Table[[#This Row],[Quantity]]="",BOQ_Table[[#This Row],[Rate]]=""),"Missing","OK")</f>
        <v>OK</v>
      </c>
    </row>
    <row r="569" spans="1:9" x14ac:dyDescent="0.35">
      <c r="A569" t="s">
        <v>593</v>
      </c>
      <c r="B569" t="s">
        <v>42</v>
      </c>
      <c r="C569" t="s">
        <v>21</v>
      </c>
      <c r="D569">
        <v>180.39</v>
      </c>
      <c r="E569" t="s">
        <v>14</v>
      </c>
      <c r="F569">
        <v>545.45000000000005</v>
      </c>
      <c r="G569">
        <f t="shared" si="10"/>
        <v>98393.7255</v>
      </c>
      <c r="H569" t="str">
        <f>IF(BOQ_Table[[#This Row],[Amount]]&gt;100000,"Over Budget","OK")</f>
        <v>OK</v>
      </c>
      <c r="I569" t="str">
        <f>IF(OR(BOQ_Table[[#This Row],[Quantity]]="",BOQ_Table[[#This Row],[Rate]]=""),"Missing","OK")</f>
        <v>OK</v>
      </c>
    </row>
    <row r="570" spans="1:9" x14ac:dyDescent="0.35">
      <c r="A570" t="s">
        <v>594</v>
      </c>
      <c r="B570" t="s">
        <v>32</v>
      </c>
      <c r="C570" t="s">
        <v>21</v>
      </c>
      <c r="D570">
        <v>312.02</v>
      </c>
      <c r="E570" t="s">
        <v>27</v>
      </c>
      <c r="F570">
        <v>2200.0100000000002</v>
      </c>
      <c r="G570">
        <f t="shared" si="10"/>
        <v>686447.1202</v>
      </c>
      <c r="H570" t="str">
        <f>IF(BOQ_Table[[#This Row],[Amount]]&gt;100000,"Over Budget","OK")</f>
        <v>Over Budget</v>
      </c>
      <c r="I570" t="str">
        <f>IF(OR(BOQ_Table[[#This Row],[Quantity]]="",BOQ_Table[[#This Row],[Rate]]=""),"Missing","OK")</f>
        <v>OK</v>
      </c>
    </row>
    <row r="571" spans="1:9" x14ac:dyDescent="0.35">
      <c r="A571" t="s">
        <v>595</v>
      </c>
      <c r="B571" t="s">
        <v>30</v>
      </c>
      <c r="C571" t="s">
        <v>17</v>
      </c>
      <c r="D571">
        <v>162.24</v>
      </c>
      <c r="E571" t="s">
        <v>18</v>
      </c>
      <c r="F571">
        <v>4250.83</v>
      </c>
      <c r="G571">
        <f t="shared" si="10"/>
        <v>689654.65919999999</v>
      </c>
      <c r="H571" t="str">
        <f>IF(BOQ_Table[[#This Row],[Amount]]&gt;100000,"Over Budget","OK")</f>
        <v>Over Budget</v>
      </c>
      <c r="I571" t="str">
        <f>IF(OR(BOQ_Table[[#This Row],[Quantity]]="",BOQ_Table[[#This Row],[Rate]]=""),"Missing","OK")</f>
        <v>OK</v>
      </c>
    </row>
    <row r="572" spans="1:9" x14ac:dyDescent="0.35">
      <c r="A572" t="s">
        <v>596</v>
      </c>
      <c r="B572" t="s">
        <v>16</v>
      </c>
      <c r="C572" t="s">
        <v>12</v>
      </c>
      <c r="D572">
        <v>473.52</v>
      </c>
      <c r="E572" t="s">
        <v>18</v>
      </c>
      <c r="F572">
        <v>3564.13</v>
      </c>
      <c r="G572">
        <f t="shared" si="10"/>
        <v>1687686.8376</v>
      </c>
      <c r="H572" t="str">
        <f>IF(BOQ_Table[[#This Row],[Amount]]&gt;100000,"Over Budget","OK")</f>
        <v>Over Budget</v>
      </c>
      <c r="I572" t="str">
        <f>IF(OR(BOQ_Table[[#This Row],[Quantity]]="",BOQ_Table[[#This Row],[Rate]]=""),"Missing","OK")</f>
        <v>OK</v>
      </c>
    </row>
    <row r="573" spans="1:9" x14ac:dyDescent="0.35">
      <c r="A573" t="s">
        <v>597</v>
      </c>
      <c r="B573" t="s">
        <v>40</v>
      </c>
      <c r="C573" t="s">
        <v>12</v>
      </c>
      <c r="D573">
        <v>436.04</v>
      </c>
      <c r="E573" t="s">
        <v>14</v>
      </c>
      <c r="F573">
        <v>4079.04</v>
      </c>
      <c r="G573">
        <f t="shared" si="10"/>
        <v>1778624.6016000002</v>
      </c>
      <c r="H573" t="str">
        <f>IF(BOQ_Table[[#This Row],[Amount]]&gt;100000,"Over Budget","OK")</f>
        <v>Over Budget</v>
      </c>
      <c r="I573" t="str">
        <f>IF(OR(BOQ_Table[[#This Row],[Quantity]]="",BOQ_Table[[#This Row],[Rate]]=""),"Missing","OK")</f>
        <v>OK</v>
      </c>
    </row>
    <row r="574" spans="1:9" x14ac:dyDescent="0.35">
      <c r="A574" t="s">
        <v>598</v>
      </c>
      <c r="B574" t="s">
        <v>56</v>
      </c>
      <c r="C574" t="s">
        <v>8</v>
      </c>
      <c r="D574">
        <v>205.02</v>
      </c>
      <c r="E574" t="s">
        <v>9</v>
      </c>
      <c r="F574">
        <v>2698.18</v>
      </c>
      <c r="G574">
        <f t="shared" si="10"/>
        <v>553180.86360000004</v>
      </c>
      <c r="H574" t="str">
        <f>IF(BOQ_Table[[#This Row],[Amount]]&gt;100000,"Over Budget","OK")</f>
        <v>Over Budget</v>
      </c>
      <c r="I574" t="str">
        <f>IF(OR(BOQ_Table[[#This Row],[Quantity]]="",BOQ_Table[[#This Row],[Rate]]=""),"Missing","OK")</f>
        <v>OK</v>
      </c>
    </row>
    <row r="575" spans="1:9" x14ac:dyDescent="0.35">
      <c r="A575" t="s">
        <v>599</v>
      </c>
      <c r="B575" t="s">
        <v>56</v>
      </c>
      <c r="C575" t="s">
        <v>17</v>
      </c>
      <c r="D575">
        <v>396.34</v>
      </c>
      <c r="E575" t="s">
        <v>22</v>
      </c>
      <c r="F575">
        <v>1566.41</v>
      </c>
      <c r="G575">
        <f t="shared" si="10"/>
        <v>620830.93940000003</v>
      </c>
      <c r="H575" t="str">
        <f>IF(BOQ_Table[[#This Row],[Amount]]&gt;100000,"Over Budget","OK")</f>
        <v>Over Budget</v>
      </c>
      <c r="I575" t="str">
        <f>IF(OR(BOQ_Table[[#This Row],[Quantity]]="",BOQ_Table[[#This Row],[Rate]]=""),"Missing","OK")</f>
        <v>OK</v>
      </c>
    </row>
    <row r="576" spans="1:9" x14ac:dyDescent="0.35">
      <c r="A576" t="s">
        <v>600</v>
      </c>
      <c r="B576" t="s">
        <v>16</v>
      </c>
      <c r="C576" t="s">
        <v>21</v>
      </c>
      <c r="D576">
        <v>15.02</v>
      </c>
      <c r="E576" t="s">
        <v>18</v>
      </c>
      <c r="F576">
        <v>3560.83</v>
      </c>
      <c r="G576">
        <f t="shared" si="10"/>
        <v>53483.666599999997</v>
      </c>
      <c r="H576" t="str">
        <f>IF(BOQ_Table[[#This Row],[Amount]]&gt;100000,"Over Budget","OK")</f>
        <v>OK</v>
      </c>
      <c r="I576" t="str">
        <f>IF(OR(BOQ_Table[[#This Row],[Quantity]]="",BOQ_Table[[#This Row],[Rate]]=""),"Missing","OK")</f>
        <v>OK</v>
      </c>
    </row>
    <row r="577" spans="1:9" x14ac:dyDescent="0.35">
      <c r="A577" t="s">
        <v>601</v>
      </c>
      <c r="B577" t="s">
        <v>30</v>
      </c>
      <c r="C577" t="s">
        <v>17</v>
      </c>
      <c r="D577">
        <v>22.17</v>
      </c>
      <c r="E577" t="s">
        <v>18</v>
      </c>
      <c r="F577">
        <v>1990.15</v>
      </c>
      <c r="G577">
        <f t="shared" si="10"/>
        <v>44121.625500000002</v>
      </c>
      <c r="H577" t="str">
        <f>IF(BOQ_Table[[#This Row],[Amount]]&gt;100000,"Over Budget","OK")</f>
        <v>OK</v>
      </c>
      <c r="I577" t="str">
        <f>IF(OR(BOQ_Table[[#This Row],[Quantity]]="",BOQ_Table[[#This Row],[Rate]]=""),"Missing","OK")</f>
        <v>OK</v>
      </c>
    </row>
    <row r="578" spans="1:9" x14ac:dyDescent="0.35">
      <c r="A578" t="s">
        <v>602</v>
      </c>
      <c r="B578" t="s">
        <v>32</v>
      </c>
      <c r="C578" t="s">
        <v>17</v>
      </c>
      <c r="D578">
        <v>215.44</v>
      </c>
      <c r="E578" t="s">
        <v>14</v>
      </c>
      <c r="F578">
        <v>2231.54</v>
      </c>
      <c r="G578">
        <f t="shared" ref="G578:G641" si="11">D578*F578</f>
        <v>480762.97759999998</v>
      </c>
      <c r="H578" t="str">
        <f>IF(BOQ_Table[[#This Row],[Amount]]&gt;100000,"Over Budget","OK")</f>
        <v>Over Budget</v>
      </c>
      <c r="I578" t="str">
        <f>IF(OR(BOQ_Table[[#This Row],[Quantity]]="",BOQ_Table[[#This Row],[Rate]]=""),"Missing","OK")</f>
        <v>OK</v>
      </c>
    </row>
    <row r="579" spans="1:9" x14ac:dyDescent="0.35">
      <c r="A579" t="s">
        <v>603</v>
      </c>
      <c r="B579" t="s">
        <v>42</v>
      </c>
      <c r="C579" t="s">
        <v>38</v>
      </c>
      <c r="D579">
        <v>292.41000000000003</v>
      </c>
      <c r="E579" t="s">
        <v>27</v>
      </c>
      <c r="F579">
        <v>4387.88</v>
      </c>
      <c r="G579">
        <f t="shared" si="11"/>
        <v>1283059.9908</v>
      </c>
      <c r="H579" t="str">
        <f>IF(BOQ_Table[[#This Row],[Amount]]&gt;100000,"Over Budget","OK")</f>
        <v>Over Budget</v>
      </c>
      <c r="I579" t="str">
        <f>IF(OR(BOQ_Table[[#This Row],[Quantity]]="",BOQ_Table[[#This Row],[Rate]]=""),"Missing","OK")</f>
        <v>OK</v>
      </c>
    </row>
    <row r="580" spans="1:9" x14ac:dyDescent="0.35">
      <c r="A580" t="s">
        <v>604</v>
      </c>
      <c r="B580" t="s">
        <v>40</v>
      </c>
      <c r="C580" t="s">
        <v>17</v>
      </c>
      <c r="D580">
        <v>99.12</v>
      </c>
      <c r="E580" t="s">
        <v>9</v>
      </c>
      <c r="F580">
        <v>4397.07</v>
      </c>
      <c r="G580">
        <f t="shared" si="11"/>
        <v>435837.5784</v>
      </c>
      <c r="H580" t="str">
        <f>IF(BOQ_Table[[#This Row],[Amount]]&gt;100000,"Over Budget","OK")</f>
        <v>Over Budget</v>
      </c>
      <c r="I580" t="str">
        <f>IF(OR(BOQ_Table[[#This Row],[Quantity]]="",BOQ_Table[[#This Row],[Rate]]=""),"Missing","OK")</f>
        <v>OK</v>
      </c>
    </row>
    <row r="581" spans="1:9" x14ac:dyDescent="0.35">
      <c r="A581" t="s">
        <v>605</v>
      </c>
      <c r="B581" t="s">
        <v>40</v>
      </c>
      <c r="C581" t="s">
        <v>8</v>
      </c>
      <c r="D581">
        <v>88.91</v>
      </c>
      <c r="E581" t="s">
        <v>14</v>
      </c>
      <c r="F581">
        <v>1658.99</v>
      </c>
      <c r="G581">
        <f t="shared" si="11"/>
        <v>147500.8009</v>
      </c>
      <c r="H581" t="str">
        <f>IF(BOQ_Table[[#This Row],[Amount]]&gt;100000,"Over Budget","OK")</f>
        <v>Over Budget</v>
      </c>
      <c r="I581" t="str">
        <f>IF(OR(BOQ_Table[[#This Row],[Quantity]]="",BOQ_Table[[#This Row],[Rate]]=""),"Missing","OK")</f>
        <v>OK</v>
      </c>
    </row>
    <row r="582" spans="1:9" x14ac:dyDescent="0.35">
      <c r="A582" t="s">
        <v>606</v>
      </c>
      <c r="B582" t="s">
        <v>32</v>
      </c>
      <c r="C582" t="s">
        <v>8</v>
      </c>
      <c r="D582">
        <v>159.88999999999999</v>
      </c>
      <c r="E582" t="s">
        <v>18</v>
      </c>
      <c r="F582">
        <v>642.54999999999995</v>
      </c>
      <c r="G582">
        <f t="shared" si="11"/>
        <v>102737.31949999998</v>
      </c>
      <c r="H582" t="str">
        <f>IF(BOQ_Table[[#This Row],[Amount]]&gt;100000,"Over Budget","OK")</f>
        <v>Over Budget</v>
      </c>
      <c r="I582" t="str">
        <f>IF(OR(BOQ_Table[[#This Row],[Quantity]]="",BOQ_Table[[#This Row],[Rate]]=""),"Missing","OK")</f>
        <v>OK</v>
      </c>
    </row>
    <row r="583" spans="1:9" x14ac:dyDescent="0.35">
      <c r="A583" t="s">
        <v>607</v>
      </c>
      <c r="B583" t="s">
        <v>42</v>
      </c>
      <c r="C583" t="s">
        <v>17</v>
      </c>
      <c r="D583">
        <v>121.25</v>
      </c>
      <c r="E583" t="s">
        <v>27</v>
      </c>
      <c r="F583">
        <v>3809</v>
      </c>
      <c r="G583">
        <f t="shared" si="11"/>
        <v>461841.25</v>
      </c>
      <c r="H583" t="str">
        <f>IF(BOQ_Table[[#This Row],[Amount]]&gt;100000,"Over Budget","OK")</f>
        <v>Over Budget</v>
      </c>
      <c r="I583" t="str">
        <f>IF(OR(BOQ_Table[[#This Row],[Quantity]]="",BOQ_Table[[#This Row],[Rate]]=""),"Missing","OK")</f>
        <v>OK</v>
      </c>
    </row>
    <row r="584" spans="1:9" x14ac:dyDescent="0.35">
      <c r="A584" t="s">
        <v>608</v>
      </c>
      <c r="B584" t="s">
        <v>40</v>
      </c>
      <c r="C584" t="s">
        <v>21</v>
      </c>
      <c r="D584">
        <v>64.5</v>
      </c>
      <c r="E584" t="s">
        <v>9</v>
      </c>
      <c r="F584">
        <v>4606.3100000000004</v>
      </c>
      <c r="G584">
        <f t="shared" si="11"/>
        <v>297106.99500000005</v>
      </c>
      <c r="H584" t="str">
        <f>IF(BOQ_Table[[#This Row],[Amount]]&gt;100000,"Over Budget","OK")</f>
        <v>Over Budget</v>
      </c>
      <c r="I584" t="str">
        <f>IF(OR(BOQ_Table[[#This Row],[Quantity]]="",BOQ_Table[[#This Row],[Rate]]=""),"Missing","OK")</f>
        <v>OK</v>
      </c>
    </row>
    <row r="585" spans="1:9" x14ac:dyDescent="0.35">
      <c r="A585" t="s">
        <v>609</v>
      </c>
      <c r="B585" t="s">
        <v>46</v>
      </c>
      <c r="C585" t="s">
        <v>38</v>
      </c>
      <c r="D585">
        <v>59.57</v>
      </c>
      <c r="E585" t="s">
        <v>27</v>
      </c>
      <c r="F585">
        <v>4526.8599999999997</v>
      </c>
      <c r="G585">
        <f t="shared" si="11"/>
        <v>269665.0502</v>
      </c>
      <c r="H585" t="str">
        <f>IF(BOQ_Table[[#This Row],[Amount]]&gt;100000,"Over Budget","OK")</f>
        <v>Over Budget</v>
      </c>
      <c r="I585" t="str">
        <f>IF(OR(BOQ_Table[[#This Row],[Quantity]]="",BOQ_Table[[#This Row],[Rate]]=""),"Missing","OK")</f>
        <v>OK</v>
      </c>
    </row>
    <row r="586" spans="1:9" x14ac:dyDescent="0.35">
      <c r="A586" t="s">
        <v>610</v>
      </c>
      <c r="B586" t="s">
        <v>16</v>
      </c>
      <c r="C586" t="s">
        <v>38</v>
      </c>
      <c r="D586">
        <v>313.83999999999997</v>
      </c>
      <c r="E586" t="s">
        <v>27</v>
      </c>
      <c r="F586">
        <v>4338.6899999999996</v>
      </c>
      <c r="G586">
        <f t="shared" si="11"/>
        <v>1361654.4695999997</v>
      </c>
      <c r="H586" t="str">
        <f>IF(BOQ_Table[[#This Row],[Amount]]&gt;100000,"Over Budget","OK")</f>
        <v>Over Budget</v>
      </c>
      <c r="I586" t="str">
        <f>IF(OR(BOQ_Table[[#This Row],[Quantity]]="",BOQ_Table[[#This Row],[Rate]]=""),"Missing","OK")</f>
        <v>OK</v>
      </c>
    </row>
    <row r="587" spans="1:9" x14ac:dyDescent="0.35">
      <c r="A587" t="s">
        <v>611</v>
      </c>
      <c r="B587" t="s">
        <v>7</v>
      </c>
      <c r="C587" t="s">
        <v>12</v>
      </c>
      <c r="D587">
        <v>395.61</v>
      </c>
      <c r="E587" t="s">
        <v>27</v>
      </c>
      <c r="F587">
        <v>4209.99</v>
      </c>
      <c r="G587">
        <f t="shared" si="11"/>
        <v>1665514.1439</v>
      </c>
      <c r="H587" t="str">
        <f>IF(BOQ_Table[[#This Row],[Amount]]&gt;100000,"Over Budget","OK")</f>
        <v>Over Budget</v>
      </c>
      <c r="I587" t="str">
        <f>IF(OR(BOQ_Table[[#This Row],[Quantity]]="",BOQ_Table[[#This Row],[Rate]]=""),"Missing","OK")</f>
        <v>OK</v>
      </c>
    </row>
    <row r="588" spans="1:9" x14ac:dyDescent="0.35">
      <c r="A588" t="s">
        <v>612</v>
      </c>
      <c r="B588" t="s">
        <v>40</v>
      </c>
      <c r="C588" t="s">
        <v>12</v>
      </c>
      <c r="D588">
        <v>287.38</v>
      </c>
      <c r="E588" t="s">
        <v>18</v>
      </c>
      <c r="F588">
        <v>4051.06</v>
      </c>
      <c r="G588">
        <f t="shared" si="11"/>
        <v>1164193.6228</v>
      </c>
      <c r="H588" t="str">
        <f>IF(BOQ_Table[[#This Row],[Amount]]&gt;100000,"Over Budget","OK")</f>
        <v>Over Budget</v>
      </c>
      <c r="I588" t="str">
        <f>IF(OR(BOQ_Table[[#This Row],[Quantity]]="",BOQ_Table[[#This Row],[Rate]]=""),"Missing","OK")</f>
        <v>OK</v>
      </c>
    </row>
    <row r="589" spans="1:9" x14ac:dyDescent="0.35">
      <c r="A589" t="s">
        <v>613</v>
      </c>
      <c r="B589" t="s">
        <v>32</v>
      </c>
      <c r="C589" t="s">
        <v>12</v>
      </c>
      <c r="D589">
        <v>312.38</v>
      </c>
      <c r="E589" t="s">
        <v>27</v>
      </c>
      <c r="F589">
        <v>115.76</v>
      </c>
      <c r="G589">
        <f t="shared" si="11"/>
        <v>36161.108800000002</v>
      </c>
      <c r="H589" t="str">
        <f>IF(BOQ_Table[[#This Row],[Amount]]&gt;100000,"Over Budget","OK")</f>
        <v>OK</v>
      </c>
      <c r="I589" t="str">
        <f>IF(OR(BOQ_Table[[#This Row],[Quantity]]="",BOQ_Table[[#This Row],[Rate]]=""),"Missing","OK")</f>
        <v>OK</v>
      </c>
    </row>
    <row r="590" spans="1:9" x14ac:dyDescent="0.35">
      <c r="A590" t="s">
        <v>614</v>
      </c>
      <c r="B590" t="s">
        <v>32</v>
      </c>
      <c r="C590" t="s">
        <v>21</v>
      </c>
      <c r="D590">
        <v>104.51</v>
      </c>
      <c r="E590" t="s">
        <v>22</v>
      </c>
      <c r="F590">
        <v>4068.47</v>
      </c>
      <c r="G590">
        <f t="shared" si="11"/>
        <v>425195.79969999997</v>
      </c>
      <c r="H590" t="str">
        <f>IF(BOQ_Table[[#This Row],[Amount]]&gt;100000,"Over Budget","OK")</f>
        <v>Over Budget</v>
      </c>
      <c r="I590" t="str">
        <f>IF(OR(BOQ_Table[[#This Row],[Quantity]]="",BOQ_Table[[#This Row],[Rate]]=""),"Missing","OK")</f>
        <v>OK</v>
      </c>
    </row>
    <row r="591" spans="1:9" x14ac:dyDescent="0.35">
      <c r="A591" t="s">
        <v>615</v>
      </c>
      <c r="B591" t="s">
        <v>40</v>
      </c>
      <c r="C591" t="s">
        <v>8</v>
      </c>
      <c r="D591">
        <v>361.25</v>
      </c>
      <c r="E591" t="s">
        <v>18</v>
      </c>
      <c r="F591">
        <v>2011.37</v>
      </c>
      <c r="G591">
        <f t="shared" si="11"/>
        <v>726607.41249999998</v>
      </c>
      <c r="H591" t="str">
        <f>IF(BOQ_Table[[#This Row],[Amount]]&gt;100000,"Over Budget","OK")</f>
        <v>Over Budget</v>
      </c>
      <c r="I591" t="str">
        <f>IF(OR(BOQ_Table[[#This Row],[Quantity]]="",BOQ_Table[[#This Row],[Rate]]=""),"Missing","OK")</f>
        <v>OK</v>
      </c>
    </row>
    <row r="592" spans="1:9" x14ac:dyDescent="0.35">
      <c r="A592" t="s">
        <v>616</v>
      </c>
      <c r="B592" t="s">
        <v>7</v>
      </c>
      <c r="C592" t="s">
        <v>38</v>
      </c>
      <c r="D592">
        <v>200.68</v>
      </c>
      <c r="E592" t="s">
        <v>18</v>
      </c>
      <c r="F592">
        <v>2382.17</v>
      </c>
      <c r="G592">
        <f t="shared" si="11"/>
        <v>478053.87560000003</v>
      </c>
      <c r="H592" t="str">
        <f>IF(BOQ_Table[[#This Row],[Amount]]&gt;100000,"Over Budget","OK")</f>
        <v>Over Budget</v>
      </c>
      <c r="I592" t="str">
        <f>IF(OR(BOQ_Table[[#This Row],[Quantity]]="",BOQ_Table[[#This Row],[Rate]]=""),"Missing","OK")</f>
        <v>OK</v>
      </c>
    </row>
    <row r="593" spans="1:9" x14ac:dyDescent="0.35">
      <c r="A593" t="s">
        <v>617</v>
      </c>
      <c r="B593" t="s">
        <v>16</v>
      </c>
      <c r="C593" t="s">
        <v>8</v>
      </c>
      <c r="D593">
        <v>440.34</v>
      </c>
      <c r="E593" t="s">
        <v>18</v>
      </c>
      <c r="F593">
        <v>892.49</v>
      </c>
      <c r="G593">
        <f t="shared" si="11"/>
        <v>392999.0466</v>
      </c>
      <c r="H593" t="str">
        <f>IF(BOQ_Table[[#This Row],[Amount]]&gt;100000,"Over Budget","OK")</f>
        <v>Over Budget</v>
      </c>
      <c r="I593" t="str">
        <f>IF(OR(BOQ_Table[[#This Row],[Quantity]]="",BOQ_Table[[#This Row],[Rate]]=""),"Missing","OK")</f>
        <v>OK</v>
      </c>
    </row>
    <row r="594" spans="1:9" x14ac:dyDescent="0.35">
      <c r="A594" t="s">
        <v>618</v>
      </c>
      <c r="B594" t="s">
        <v>56</v>
      </c>
      <c r="C594" t="s">
        <v>21</v>
      </c>
      <c r="D594">
        <v>301.18</v>
      </c>
      <c r="E594" t="s">
        <v>27</v>
      </c>
      <c r="F594">
        <v>4377.13</v>
      </c>
      <c r="G594">
        <f t="shared" si="11"/>
        <v>1318304.0134000001</v>
      </c>
      <c r="H594" t="str">
        <f>IF(BOQ_Table[[#This Row],[Amount]]&gt;100000,"Over Budget","OK")</f>
        <v>Over Budget</v>
      </c>
      <c r="I594" t="str">
        <f>IF(OR(BOQ_Table[[#This Row],[Quantity]]="",BOQ_Table[[#This Row],[Rate]]=""),"Missing","OK")</f>
        <v>OK</v>
      </c>
    </row>
    <row r="595" spans="1:9" x14ac:dyDescent="0.35">
      <c r="A595" t="s">
        <v>619</v>
      </c>
      <c r="B595" t="s">
        <v>16</v>
      </c>
      <c r="C595" t="s">
        <v>38</v>
      </c>
      <c r="D595">
        <v>281.14999999999998</v>
      </c>
      <c r="E595" t="s">
        <v>18</v>
      </c>
      <c r="F595">
        <v>4678.62</v>
      </c>
      <c r="G595">
        <f t="shared" si="11"/>
        <v>1315394.0129999998</v>
      </c>
      <c r="H595" t="str">
        <f>IF(BOQ_Table[[#This Row],[Amount]]&gt;100000,"Over Budget","OK")</f>
        <v>Over Budget</v>
      </c>
      <c r="I595" t="str">
        <f>IF(OR(BOQ_Table[[#This Row],[Quantity]]="",BOQ_Table[[#This Row],[Rate]]=""),"Missing","OK")</f>
        <v>OK</v>
      </c>
    </row>
    <row r="596" spans="1:9" x14ac:dyDescent="0.35">
      <c r="A596" t="s">
        <v>620</v>
      </c>
      <c r="B596" t="s">
        <v>42</v>
      </c>
      <c r="C596" t="s">
        <v>17</v>
      </c>
      <c r="D596">
        <v>460.1</v>
      </c>
      <c r="E596" t="s">
        <v>22</v>
      </c>
      <c r="F596">
        <v>1847.97</v>
      </c>
      <c r="G596">
        <f t="shared" si="11"/>
        <v>850250.99700000009</v>
      </c>
      <c r="H596" t="str">
        <f>IF(BOQ_Table[[#This Row],[Amount]]&gt;100000,"Over Budget","OK")</f>
        <v>Over Budget</v>
      </c>
      <c r="I596" t="str">
        <f>IF(OR(BOQ_Table[[#This Row],[Quantity]]="",BOQ_Table[[#This Row],[Rate]]=""),"Missing","OK")</f>
        <v>OK</v>
      </c>
    </row>
    <row r="597" spans="1:9" x14ac:dyDescent="0.35">
      <c r="A597" t="s">
        <v>621</v>
      </c>
      <c r="B597" t="s">
        <v>16</v>
      </c>
      <c r="C597" t="s">
        <v>12</v>
      </c>
      <c r="D597">
        <v>59.09</v>
      </c>
      <c r="E597" t="s">
        <v>14</v>
      </c>
      <c r="F597">
        <v>693.14</v>
      </c>
      <c r="G597">
        <f t="shared" si="11"/>
        <v>40957.642599999999</v>
      </c>
      <c r="H597" t="str">
        <f>IF(BOQ_Table[[#This Row],[Amount]]&gt;100000,"Over Budget","OK")</f>
        <v>OK</v>
      </c>
      <c r="I597" t="str">
        <f>IF(OR(BOQ_Table[[#This Row],[Quantity]]="",BOQ_Table[[#This Row],[Rate]]=""),"Missing","OK")</f>
        <v>OK</v>
      </c>
    </row>
    <row r="598" spans="1:9" x14ac:dyDescent="0.35">
      <c r="A598" t="s">
        <v>622</v>
      </c>
      <c r="B598" t="s">
        <v>20</v>
      </c>
      <c r="C598" t="s">
        <v>21</v>
      </c>
      <c r="D598">
        <v>375.46</v>
      </c>
      <c r="E598" t="s">
        <v>18</v>
      </c>
      <c r="F598">
        <v>4094.03</v>
      </c>
      <c r="G598">
        <f t="shared" si="11"/>
        <v>1537144.5038000001</v>
      </c>
      <c r="H598" t="str">
        <f>IF(BOQ_Table[[#This Row],[Amount]]&gt;100000,"Over Budget","OK")</f>
        <v>Over Budget</v>
      </c>
      <c r="I598" t="str">
        <f>IF(OR(BOQ_Table[[#This Row],[Quantity]]="",BOQ_Table[[#This Row],[Rate]]=""),"Missing","OK")</f>
        <v>OK</v>
      </c>
    </row>
    <row r="599" spans="1:9" x14ac:dyDescent="0.35">
      <c r="A599" t="s">
        <v>623</v>
      </c>
      <c r="B599" t="s">
        <v>56</v>
      </c>
      <c r="C599" t="s">
        <v>38</v>
      </c>
      <c r="D599">
        <v>346.01</v>
      </c>
      <c r="E599" t="s">
        <v>9</v>
      </c>
      <c r="F599">
        <v>2311.67</v>
      </c>
      <c r="G599">
        <f t="shared" si="11"/>
        <v>799860.93669999996</v>
      </c>
      <c r="H599" t="str">
        <f>IF(BOQ_Table[[#This Row],[Amount]]&gt;100000,"Over Budget","OK")</f>
        <v>Over Budget</v>
      </c>
      <c r="I599" t="str">
        <f>IF(OR(BOQ_Table[[#This Row],[Quantity]]="",BOQ_Table[[#This Row],[Rate]]=""),"Missing","OK")</f>
        <v>OK</v>
      </c>
    </row>
    <row r="600" spans="1:9" x14ac:dyDescent="0.35">
      <c r="A600" t="s">
        <v>624</v>
      </c>
      <c r="B600" t="s">
        <v>30</v>
      </c>
      <c r="C600" t="s">
        <v>21</v>
      </c>
      <c r="D600">
        <v>181.26</v>
      </c>
      <c r="E600" t="s">
        <v>27</v>
      </c>
      <c r="F600">
        <v>2568.8000000000002</v>
      </c>
      <c r="G600">
        <f t="shared" si="11"/>
        <v>465620.68800000002</v>
      </c>
      <c r="H600" t="str">
        <f>IF(BOQ_Table[[#This Row],[Amount]]&gt;100000,"Over Budget","OK")</f>
        <v>Over Budget</v>
      </c>
      <c r="I600" t="str">
        <f>IF(OR(BOQ_Table[[#This Row],[Quantity]]="",BOQ_Table[[#This Row],[Rate]]=""),"Missing","OK")</f>
        <v>OK</v>
      </c>
    </row>
    <row r="601" spans="1:9" x14ac:dyDescent="0.35">
      <c r="A601" t="s">
        <v>625</v>
      </c>
      <c r="B601" t="s">
        <v>20</v>
      </c>
      <c r="C601" t="s">
        <v>12</v>
      </c>
      <c r="D601">
        <v>155.5</v>
      </c>
      <c r="E601" t="s">
        <v>14</v>
      </c>
      <c r="F601">
        <v>1271.93</v>
      </c>
      <c r="G601">
        <f t="shared" si="11"/>
        <v>197785.11500000002</v>
      </c>
      <c r="H601" t="str">
        <f>IF(BOQ_Table[[#This Row],[Amount]]&gt;100000,"Over Budget","OK")</f>
        <v>Over Budget</v>
      </c>
      <c r="I601" t="str">
        <f>IF(OR(BOQ_Table[[#This Row],[Quantity]]="",BOQ_Table[[#This Row],[Rate]]=""),"Missing","OK")</f>
        <v>OK</v>
      </c>
    </row>
    <row r="602" spans="1:9" x14ac:dyDescent="0.35">
      <c r="A602" t="s">
        <v>626</v>
      </c>
      <c r="B602" t="s">
        <v>56</v>
      </c>
      <c r="C602" t="s">
        <v>21</v>
      </c>
      <c r="D602">
        <v>331.64</v>
      </c>
      <c r="E602" t="s">
        <v>18</v>
      </c>
      <c r="F602">
        <v>824.91</v>
      </c>
      <c r="G602">
        <f t="shared" si="11"/>
        <v>273573.15239999996</v>
      </c>
      <c r="H602" t="str">
        <f>IF(BOQ_Table[[#This Row],[Amount]]&gt;100000,"Over Budget","OK")</f>
        <v>Over Budget</v>
      </c>
      <c r="I602" t="str">
        <f>IF(OR(BOQ_Table[[#This Row],[Quantity]]="",BOQ_Table[[#This Row],[Rate]]=""),"Missing","OK")</f>
        <v>OK</v>
      </c>
    </row>
    <row r="603" spans="1:9" x14ac:dyDescent="0.35">
      <c r="A603" t="s">
        <v>627</v>
      </c>
      <c r="B603" t="s">
        <v>7</v>
      </c>
      <c r="C603" t="s">
        <v>17</v>
      </c>
      <c r="D603">
        <v>8.26</v>
      </c>
      <c r="E603" t="s">
        <v>27</v>
      </c>
      <c r="F603">
        <v>2974.25</v>
      </c>
      <c r="G603">
        <f t="shared" si="11"/>
        <v>24567.305</v>
      </c>
      <c r="H603" t="str">
        <f>IF(BOQ_Table[[#This Row],[Amount]]&gt;100000,"Over Budget","OK")</f>
        <v>OK</v>
      </c>
      <c r="I603" t="str">
        <f>IF(OR(BOQ_Table[[#This Row],[Quantity]]="",BOQ_Table[[#This Row],[Rate]]=""),"Missing","OK")</f>
        <v>OK</v>
      </c>
    </row>
    <row r="604" spans="1:9" x14ac:dyDescent="0.35">
      <c r="A604" t="s">
        <v>628</v>
      </c>
      <c r="B604" t="s">
        <v>46</v>
      </c>
      <c r="C604" t="s">
        <v>8</v>
      </c>
      <c r="D604">
        <v>444.69</v>
      </c>
      <c r="E604" t="s">
        <v>22</v>
      </c>
      <c r="F604">
        <v>1497.09</v>
      </c>
      <c r="G604">
        <f t="shared" si="11"/>
        <v>665740.95209999999</v>
      </c>
      <c r="H604" t="str">
        <f>IF(BOQ_Table[[#This Row],[Amount]]&gt;100000,"Over Budget","OK")</f>
        <v>Over Budget</v>
      </c>
      <c r="I604" t="str">
        <f>IF(OR(BOQ_Table[[#This Row],[Quantity]]="",BOQ_Table[[#This Row],[Rate]]=""),"Missing","OK")</f>
        <v>OK</v>
      </c>
    </row>
    <row r="605" spans="1:9" x14ac:dyDescent="0.35">
      <c r="A605" t="s">
        <v>629</v>
      </c>
      <c r="B605" t="s">
        <v>11</v>
      </c>
      <c r="C605" t="s">
        <v>38</v>
      </c>
      <c r="D605">
        <v>161.41</v>
      </c>
      <c r="E605" t="s">
        <v>27</v>
      </c>
      <c r="F605">
        <v>3518.39</v>
      </c>
      <c r="G605">
        <f t="shared" si="11"/>
        <v>567903.32990000001</v>
      </c>
      <c r="H605" t="str">
        <f>IF(BOQ_Table[[#This Row],[Amount]]&gt;100000,"Over Budget","OK")</f>
        <v>Over Budget</v>
      </c>
      <c r="I605" t="str">
        <f>IF(OR(BOQ_Table[[#This Row],[Quantity]]="",BOQ_Table[[#This Row],[Rate]]=""),"Missing","OK")</f>
        <v>OK</v>
      </c>
    </row>
    <row r="606" spans="1:9" x14ac:dyDescent="0.35">
      <c r="A606" t="s">
        <v>630</v>
      </c>
      <c r="B606" t="s">
        <v>56</v>
      </c>
      <c r="C606" t="s">
        <v>21</v>
      </c>
      <c r="D606">
        <v>108.13</v>
      </c>
      <c r="E606" t="s">
        <v>18</v>
      </c>
      <c r="F606">
        <v>2165.5700000000002</v>
      </c>
      <c r="G606">
        <f t="shared" si="11"/>
        <v>234163.08410000001</v>
      </c>
      <c r="H606" t="str">
        <f>IF(BOQ_Table[[#This Row],[Amount]]&gt;100000,"Over Budget","OK")</f>
        <v>Over Budget</v>
      </c>
      <c r="I606" t="str">
        <f>IF(OR(BOQ_Table[[#This Row],[Quantity]]="",BOQ_Table[[#This Row],[Rate]]=""),"Missing","OK")</f>
        <v>OK</v>
      </c>
    </row>
    <row r="607" spans="1:9" x14ac:dyDescent="0.35">
      <c r="A607" t="s">
        <v>631</v>
      </c>
      <c r="B607" t="s">
        <v>7</v>
      </c>
      <c r="C607" t="s">
        <v>17</v>
      </c>
      <c r="D607">
        <v>223.52</v>
      </c>
      <c r="E607" t="s">
        <v>9</v>
      </c>
      <c r="F607">
        <v>3815.69</v>
      </c>
      <c r="G607">
        <f t="shared" si="11"/>
        <v>852883.02880000009</v>
      </c>
      <c r="H607" t="str">
        <f>IF(BOQ_Table[[#This Row],[Amount]]&gt;100000,"Over Budget","OK")</f>
        <v>Over Budget</v>
      </c>
      <c r="I607" t="str">
        <f>IF(OR(BOQ_Table[[#This Row],[Quantity]]="",BOQ_Table[[#This Row],[Rate]]=""),"Missing","OK")</f>
        <v>OK</v>
      </c>
    </row>
    <row r="608" spans="1:9" x14ac:dyDescent="0.35">
      <c r="A608" t="s">
        <v>632</v>
      </c>
      <c r="B608" t="s">
        <v>40</v>
      </c>
      <c r="C608" t="s">
        <v>17</v>
      </c>
      <c r="D608">
        <v>363.98</v>
      </c>
      <c r="E608" t="s">
        <v>9</v>
      </c>
      <c r="F608">
        <v>3458.23</v>
      </c>
      <c r="G608">
        <f t="shared" si="11"/>
        <v>1258726.5554</v>
      </c>
      <c r="H608" t="str">
        <f>IF(BOQ_Table[[#This Row],[Amount]]&gt;100000,"Over Budget","OK")</f>
        <v>Over Budget</v>
      </c>
      <c r="I608" t="str">
        <f>IF(OR(BOQ_Table[[#This Row],[Quantity]]="",BOQ_Table[[#This Row],[Rate]]=""),"Missing","OK")</f>
        <v>OK</v>
      </c>
    </row>
    <row r="609" spans="1:9" x14ac:dyDescent="0.35">
      <c r="A609" t="s">
        <v>633</v>
      </c>
      <c r="B609" t="s">
        <v>42</v>
      </c>
      <c r="C609" t="s">
        <v>17</v>
      </c>
      <c r="D609">
        <v>45.97</v>
      </c>
      <c r="E609" t="s">
        <v>22</v>
      </c>
      <c r="F609">
        <v>4928.71</v>
      </c>
      <c r="G609">
        <f t="shared" si="11"/>
        <v>226572.79869999998</v>
      </c>
      <c r="H609" t="str">
        <f>IF(BOQ_Table[[#This Row],[Amount]]&gt;100000,"Over Budget","OK")</f>
        <v>Over Budget</v>
      </c>
      <c r="I609" t="str">
        <f>IF(OR(BOQ_Table[[#This Row],[Quantity]]="",BOQ_Table[[#This Row],[Rate]]=""),"Missing","OK")</f>
        <v>OK</v>
      </c>
    </row>
    <row r="610" spans="1:9" x14ac:dyDescent="0.35">
      <c r="A610" t="s">
        <v>634</v>
      </c>
      <c r="B610" t="s">
        <v>42</v>
      </c>
      <c r="C610" t="s">
        <v>17</v>
      </c>
      <c r="D610">
        <v>22.87</v>
      </c>
      <c r="E610" t="s">
        <v>27</v>
      </c>
      <c r="F610">
        <v>513.6</v>
      </c>
      <c r="G610">
        <f t="shared" si="11"/>
        <v>11746.032000000001</v>
      </c>
      <c r="H610" t="str">
        <f>IF(BOQ_Table[[#This Row],[Amount]]&gt;100000,"Over Budget","OK")</f>
        <v>OK</v>
      </c>
      <c r="I610" t="str">
        <f>IF(OR(BOQ_Table[[#This Row],[Quantity]]="",BOQ_Table[[#This Row],[Rate]]=""),"Missing","OK")</f>
        <v>OK</v>
      </c>
    </row>
    <row r="611" spans="1:9" x14ac:dyDescent="0.35">
      <c r="A611" t="s">
        <v>635</v>
      </c>
      <c r="B611" t="s">
        <v>7</v>
      </c>
      <c r="C611" t="s">
        <v>21</v>
      </c>
      <c r="D611">
        <v>339.91</v>
      </c>
      <c r="E611" t="s">
        <v>27</v>
      </c>
      <c r="F611">
        <v>1272.3699999999999</v>
      </c>
      <c r="G611">
        <f t="shared" si="11"/>
        <v>432491.2867</v>
      </c>
      <c r="H611" t="str">
        <f>IF(BOQ_Table[[#This Row],[Amount]]&gt;100000,"Over Budget","OK")</f>
        <v>Over Budget</v>
      </c>
      <c r="I611" t="str">
        <f>IF(OR(BOQ_Table[[#This Row],[Quantity]]="",BOQ_Table[[#This Row],[Rate]]=""),"Missing","OK")</f>
        <v>OK</v>
      </c>
    </row>
    <row r="612" spans="1:9" x14ac:dyDescent="0.35">
      <c r="A612" t="s">
        <v>636</v>
      </c>
      <c r="B612" t="s">
        <v>46</v>
      </c>
      <c r="C612" t="s">
        <v>17</v>
      </c>
      <c r="D612">
        <v>42.07</v>
      </c>
      <c r="E612" t="s">
        <v>14</v>
      </c>
      <c r="F612">
        <v>2817.3</v>
      </c>
      <c r="G612">
        <f t="shared" si="11"/>
        <v>118523.811</v>
      </c>
      <c r="H612" t="str">
        <f>IF(BOQ_Table[[#This Row],[Amount]]&gt;100000,"Over Budget","OK")</f>
        <v>Over Budget</v>
      </c>
      <c r="I612" t="str">
        <f>IF(OR(BOQ_Table[[#This Row],[Quantity]]="",BOQ_Table[[#This Row],[Rate]]=""),"Missing","OK")</f>
        <v>OK</v>
      </c>
    </row>
    <row r="613" spans="1:9" x14ac:dyDescent="0.35">
      <c r="A613" t="s">
        <v>637</v>
      </c>
      <c r="B613" t="s">
        <v>46</v>
      </c>
      <c r="C613" t="s">
        <v>21</v>
      </c>
      <c r="D613">
        <v>171.34</v>
      </c>
      <c r="E613" t="s">
        <v>18</v>
      </c>
      <c r="F613">
        <v>3787.22</v>
      </c>
      <c r="G613">
        <f t="shared" si="11"/>
        <v>648902.27480000001</v>
      </c>
      <c r="H613" t="str">
        <f>IF(BOQ_Table[[#This Row],[Amount]]&gt;100000,"Over Budget","OK")</f>
        <v>Over Budget</v>
      </c>
      <c r="I613" t="str">
        <f>IF(OR(BOQ_Table[[#This Row],[Quantity]]="",BOQ_Table[[#This Row],[Rate]]=""),"Missing","OK")</f>
        <v>OK</v>
      </c>
    </row>
    <row r="614" spans="1:9" x14ac:dyDescent="0.35">
      <c r="A614" t="s">
        <v>638</v>
      </c>
      <c r="B614" t="s">
        <v>11</v>
      </c>
      <c r="C614" t="s">
        <v>21</v>
      </c>
      <c r="D614">
        <v>397.95</v>
      </c>
      <c r="E614" t="s">
        <v>18</v>
      </c>
      <c r="F614">
        <v>3746.93</v>
      </c>
      <c r="G614">
        <f t="shared" si="11"/>
        <v>1491090.7934999999</v>
      </c>
      <c r="H614" t="str">
        <f>IF(BOQ_Table[[#This Row],[Amount]]&gt;100000,"Over Budget","OK")</f>
        <v>Over Budget</v>
      </c>
      <c r="I614" t="str">
        <f>IF(OR(BOQ_Table[[#This Row],[Quantity]]="",BOQ_Table[[#This Row],[Rate]]=""),"Missing","OK")</f>
        <v>OK</v>
      </c>
    </row>
    <row r="615" spans="1:9" x14ac:dyDescent="0.35">
      <c r="A615" t="s">
        <v>639</v>
      </c>
      <c r="B615" t="s">
        <v>16</v>
      </c>
      <c r="C615" t="s">
        <v>21</v>
      </c>
      <c r="D615">
        <v>15.45</v>
      </c>
      <c r="E615" t="s">
        <v>18</v>
      </c>
      <c r="F615">
        <v>157.72</v>
      </c>
      <c r="G615">
        <f t="shared" si="11"/>
        <v>2436.7739999999999</v>
      </c>
      <c r="H615" t="str">
        <f>IF(BOQ_Table[[#This Row],[Amount]]&gt;100000,"Over Budget","OK")</f>
        <v>OK</v>
      </c>
      <c r="I615" t="str">
        <f>IF(OR(BOQ_Table[[#This Row],[Quantity]]="",BOQ_Table[[#This Row],[Rate]]=""),"Missing","OK")</f>
        <v>OK</v>
      </c>
    </row>
    <row r="616" spans="1:9" x14ac:dyDescent="0.35">
      <c r="A616" t="s">
        <v>640</v>
      </c>
      <c r="B616" t="s">
        <v>30</v>
      </c>
      <c r="C616" t="s">
        <v>12</v>
      </c>
      <c r="D616">
        <v>277.93</v>
      </c>
      <c r="E616" t="s">
        <v>9</v>
      </c>
      <c r="F616">
        <v>2266.21</v>
      </c>
      <c r="G616">
        <f t="shared" si="11"/>
        <v>629847.74530000007</v>
      </c>
      <c r="H616" t="str">
        <f>IF(BOQ_Table[[#This Row],[Amount]]&gt;100000,"Over Budget","OK")</f>
        <v>Over Budget</v>
      </c>
      <c r="I616" t="str">
        <f>IF(OR(BOQ_Table[[#This Row],[Quantity]]="",BOQ_Table[[#This Row],[Rate]]=""),"Missing","OK")</f>
        <v>OK</v>
      </c>
    </row>
    <row r="617" spans="1:9" x14ac:dyDescent="0.35">
      <c r="A617" t="s">
        <v>641</v>
      </c>
      <c r="B617" t="s">
        <v>30</v>
      </c>
      <c r="C617" t="s">
        <v>12</v>
      </c>
      <c r="D617">
        <v>165.65</v>
      </c>
      <c r="E617" t="s">
        <v>18</v>
      </c>
      <c r="F617">
        <v>2353.91</v>
      </c>
      <c r="G617">
        <f t="shared" si="11"/>
        <v>389925.19150000002</v>
      </c>
      <c r="H617" t="str">
        <f>IF(BOQ_Table[[#This Row],[Amount]]&gt;100000,"Over Budget","OK")</f>
        <v>Over Budget</v>
      </c>
      <c r="I617" t="str">
        <f>IF(OR(BOQ_Table[[#This Row],[Quantity]]="",BOQ_Table[[#This Row],[Rate]]=""),"Missing","OK")</f>
        <v>OK</v>
      </c>
    </row>
    <row r="618" spans="1:9" x14ac:dyDescent="0.35">
      <c r="A618" t="s">
        <v>642</v>
      </c>
      <c r="B618" t="s">
        <v>42</v>
      </c>
      <c r="C618" t="s">
        <v>12</v>
      </c>
      <c r="D618">
        <v>3.02</v>
      </c>
      <c r="E618" t="s">
        <v>27</v>
      </c>
      <c r="F618">
        <v>4352.79</v>
      </c>
      <c r="G618">
        <f t="shared" si="11"/>
        <v>13145.425799999999</v>
      </c>
      <c r="H618" t="str">
        <f>IF(BOQ_Table[[#This Row],[Amount]]&gt;100000,"Over Budget","OK")</f>
        <v>OK</v>
      </c>
      <c r="I618" t="str">
        <f>IF(OR(BOQ_Table[[#This Row],[Quantity]]="",BOQ_Table[[#This Row],[Rate]]=""),"Missing","OK")</f>
        <v>OK</v>
      </c>
    </row>
    <row r="619" spans="1:9" x14ac:dyDescent="0.35">
      <c r="A619" t="s">
        <v>643</v>
      </c>
      <c r="B619" t="s">
        <v>11</v>
      </c>
      <c r="C619" t="s">
        <v>8</v>
      </c>
      <c r="D619">
        <v>493.76</v>
      </c>
      <c r="E619" t="s">
        <v>14</v>
      </c>
      <c r="F619">
        <v>2436.56</v>
      </c>
      <c r="G619">
        <f t="shared" si="11"/>
        <v>1203075.8655999999</v>
      </c>
      <c r="H619" t="str">
        <f>IF(BOQ_Table[[#This Row],[Amount]]&gt;100000,"Over Budget","OK")</f>
        <v>Over Budget</v>
      </c>
      <c r="I619" t="str">
        <f>IF(OR(BOQ_Table[[#This Row],[Quantity]]="",BOQ_Table[[#This Row],[Rate]]=""),"Missing","OK")</f>
        <v>OK</v>
      </c>
    </row>
    <row r="620" spans="1:9" x14ac:dyDescent="0.35">
      <c r="A620" t="s">
        <v>644</v>
      </c>
      <c r="B620" t="s">
        <v>20</v>
      </c>
      <c r="C620" t="s">
        <v>8</v>
      </c>
      <c r="D620">
        <v>390.48</v>
      </c>
      <c r="E620" t="s">
        <v>22</v>
      </c>
      <c r="F620">
        <v>2753.93</v>
      </c>
      <c r="G620">
        <f t="shared" si="11"/>
        <v>1075354.5863999999</v>
      </c>
      <c r="H620" t="str">
        <f>IF(BOQ_Table[[#This Row],[Amount]]&gt;100000,"Over Budget","OK")</f>
        <v>Over Budget</v>
      </c>
      <c r="I620" t="str">
        <f>IF(OR(BOQ_Table[[#This Row],[Quantity]]="",BOQ_Table[[#This Row],[Rate]]=""),"Missing","OK")</f>
        <v>OK</v>
      </c>
    </row>
    <row r="621" spans="1:9" x14ac:dyDescent="0.35">
      <c r="A621" t="s">
        <v>645</v>
      </c>
      <c r="B621" t="s">
        <v>16</v>
      </c>
      <c r="C621" t="s">
        <v>38</v>
      </c>
      <c r="D621">
        <v>392</v>
      </c>
      <c r="E621" t="s">
        <v>22</v>
      </c>
      <c r="F621">
        <v>4577.3500000000004</v>
      </c>
      <c r="G621">
        <f t="shared" si="11"/>
        <v>1794321.2000000002</v>
      </c>
      <c r="H621" t="str">
        <f>IF(BOQ_Table[[#This Row],[Amount]]&gt;100000,"Over Budget","OK")</f>
        <v>Over Budget</v>
      </c>
      <c r="I621" t="str">
        <f>IF(OR(BOQ_Table[[#This Row],[Quantity]]="",BOQ_Table[[#This Row],[Rate]]=""),"Missing","OK")</f>
        <v>OK</v>
      </c>
    </row>
    <row r="622" spans="1:9" x14ac:dyDescent="0.35">
      <c r="A622" t="s">
        <v>646</v>
      </c>
      <c r="B622" t="s">
        <v>46</v>
      </c>
      <c r="C622" t="s">
        <v>17</v>
      </c>
      <c r="D622">
        <v>212.65</v>
      </c>
      <c r="E622" t="s">
        <v>14</v>
      </c>
      <c r="F622">
        <v>904</v>
      </c>
      <c r="G622">
        <f t="shared" si="11"/>
        <v>192235.6</v>
      </c>
      <c r="H622" t="str">
        <f>IF(BOQ_Table[[#This Row],[Amount]]&gt;100000,"Over Budget","OK")</f>
        <v>Over Budget</v>
      </c>
      <c r="I622" t="str">
        <f>IF(OR(BOQ_Table[[#This Row],[Quantity]]="",BOQ_Table[[#This Row],[Rate]]=""),"Missing","OK")</f>
        <v>OK</v>
      </c>
    </row>
    <row r="623" spans="1:9" x14ac:dyDescent="0.35">
      <c r="A623" t="s">
        <v>647</v>
      </c>
      <c r="B623" t="s">
        <v>11</v>
      </c>
      <c r="C623" t="s">
        <v>38</v>
      </c>
      <c r="D623">
        <v>454.97</v>
      </c>
      <c r="E623" t="s">
        <v>9</v>
      </c>
      <c r="F623">
        <v>4475.5600000000004</v>
      </c>
      <c r="G623">
        <f t="shared" si="11"/>
        <v>2036245.5332000004</v>
      </c>
      <c r="H623" t="str">
        <f>IF(BOQ_Table[[#This Row],[Amount]]&gt;100000,"Over Budget","OK")</f>
        <v>Over Budget</v>
      </c>
      <c r="I623" t="str">
        <f>IF(OR(BOQ_Table[[#This Row],[Quantity]]="",BOQ_Table[[#This Row],[Rate]]=""),"Missing","OK")</f>
        <v>OK</v>
      </c>
    </row>
    <row r="624" spans="1:9" x14ac:dyDescent="0.35">
      <c r="A624" t="s">
        <v>648</v>
      </c>
      <c r="B624" t="s">
        <v>40</v>
      </c>
      <c r="C624" t="s">
        <v>21</v>
      </c>
      <c r="D624">
        <v>359.51</v>
      </c>
      <c r="E624" t="s">
        <v>14</v>
      </c>
      <c r="F624">
        <v>3828.39</v>
      </c>
      <c r="G624">
        <f t="shared" si="11"/>
        <v>1376344.4889</v>
      </c>
      <c r="H624" t="str">
        <f>IF(BOQ_Table[[#This Row],[Amount]]&gt;100000,"Over Budget","OK")</f>
        <v>Over Budget</v>
      </c>
      <c r="I624" t="str">
        <f>IF(OR(BOQ_Table[[#This Row],[Quantity]]="",BOQ_Table[[#This Row],[Rate]]=""),"Missing","OK")</f>
        <v>OK</v>
      </c>
    </row>
    <row r="625" spans="1:9" x14ac:dyDescent="0.35">
      <c r="A625" t="s">
        <v>649</v>
      </c>
      <c r="B625" t="s">
        <v>42</v>
      </c>
      <c r="C625" t="s">
        <v>17</v>
      </c>
      <c r="D625">
        <v>482.95</v>
      </c>
      <c r="E625" t="s">
        <v>27</v>
      </c>
      <c r="F625">
        <v>1133.7</v>
      </c>
      <c r="G625">
        <f t="shared" si="11"/>
        <v>547520.41500000004</v>
      </c>
      <c r="H625" t="str">
        <f>IF(BOQ_Table[[#This Row],[Amount]]&gt;100000,"Over Budget","OK")</f>
        <v>Over Budget</v>
      </c>
      <c r="I625" t="str">
        <f>IF(OR(BOQ_Table[[#This Row],[Quantity]]="",BOQ_Table[[#This Row],[Rate]]=""),"Missing","OK")</f>
        <v>OK</v>
      </c>
    </row>
    <row r="626" spans="1:9" x14ac:dyDescent="0.35">
      <c r="A626" t="s">
        <v>650</v>
      </c>
      <c r="B626" t="s">
        <v>46</v>
      </c>
      <c r="C626" t="s">
        <v>21</v>
      </c>
      <c r="D626">
        <v>360.46</v>
      </c>
      <c r="E626" t="s">
        <v>27</v>
      </c>
      <c r="F626">
        <v>1567.36</v>
      </c>
      <c r="G626">
        <f t="shared" si="11"/>
        <v>564970.58559999987</v>
      </c>
      <c r="H626" t="str">
        <f>IF(BOQ_Table[[#This Row],[Amount]]&gt;100000,"Over Budget","OK")</f>
        <v>Over Budget</v>
      </c>
      <c r="I626" t="str">
        <f>IF(OR(BOQ_Table[[#This Row],[Quantity]]="",BOQ_Table[[#This Row],[Rate]]=""),"Missing","OK")</f>
        <v>OK</v>
      </c>
    </row>
    <row r="627" spans="1:9" x14ac:dyDescent="0.35">
      <c r="A627" t="s">
        <v>651</v>
      </c>
      <c r="B627" t="s">
        <v>40</v>
      </c>
      <c r="C627" t="s">
        <v>21</v>
      </c>
      <c r="D627">
        <v>87</v>
      </c>
      <c r="E627" t="s">
        <v>9</v>
      </c>
      <c r="F627">
        <v>3574.72</v>
      </c>
      <c r="G627">
        <f t="shared" si="11"/>
        <v>311000.63999999996</v>
      </c>
      <c r="H627" t="str">
        <f>IF(BOQ_Table[[#This Row],[Amount]]&gt;100000,"Over Budget","OK")</f>
        <v>Over Budget</v>
      </c>
      <c r="I627" t="str">
        <f>IF(OR(BOQ_Table[[#This Row],[Quantity]]="",BOQ_Table[[#This Row],[Rate]]=""),"Missing","OK")</f>
        <v>OK</v>
      </c>
    </row>
    <row r="628" spans="1:9" x14ac:dyDescent="0.35">
      <c r="A628" t="s">
        <v>652</v>
      </c>
      <c r="B628" t="s">
        <v>56</v>
      </c>
      <c r="C628" t="s">
        <v>21</v>
      </c>
      <c r="D628">
        <v>139.26</v>
      </c>
      <c r="E628" t="s">
        <v>14</v>
      </c>
      <c r="F628">
        <v>3622.47</v>
      </c>
      <c r="G628">
        <f t="shared" si="11"/>
        <v>504465.17219999991</v>
      </c>
      <c r="H628" t="str">
        <f>IF(BOQ_Table[[#This Row],[Amount]]&gt;100000,"Over Budget","OK")</f>
        <v>Over Budget</v>
      </c>
      <c r="I628" t="str">
        <f>IF(OR(BOQ_Table[[#This Row],[Quantity]]="",BOQ_Table[[#This Row],[Rate]]=""),"Missing","OK")</f>
        <v>OK</v>
      </c>
    </row>
    <row r="629" spans="1:9" x14ac:dyDescent="0.35">
      <c r="A629" t="s">
        <v>653</v>
      </c>
      <c r="B629" t="s">
        <v>30</v>
      </c>
      <c r="C629" t="s">
        <v>8</v>
      </c>
      <c r="D629">
        <v>197.23</v>
      </c>
      <c r="E629" t="s">
        <v>9</v>
      </c>
      <c r="F629">
        <v>3200.58</v>
      </c>
      <c r="G629">
        <f t="shared" si="11"/>
        <v>631250.39339999994</v>
      </c>
      <c r="H629" t="str">
        <f>IF(BOQ_Table[[#This Row],[Amount]]&gt;100000,"Over Budget","OK")</f>
        <v>Over Budget</v>
      </c>
      <c r="I629" t="str">
        <f>IF(OR(BOQ_Table[[#This Row],[Quantity]]="",BOQ_Table[[#This Row],[Rate]]=""),"Missing","OK")</f>
        <v>OK</v>
      </c>
    </row>
    <row r="630" spans="1:9" x14ac:dyDescent="0.35">
      <c r="A630" t="s">
        <v>654</v>
      </c>
      <c r="B630" t="s">
        <v>32</v>
      </c>
      <c r="C630" t="s">
        <v>12</v>
      </c>
      <c r="D630">
        <v>94.72</v>
      </c>
      <c r="E630" t="s">
        <v>27</v>
      </c>
      <c r="F630">
        <v>3841.79</v>
      </c>
      <c r="G630">
        <f t="shared" si="11"/>
        <v>363894.34879999998</v>
      </c>
      <c r="H630" t="str">
        <f>IF(BOQ_Table[[#This Row],[Amount]]&gt;100000,"Over Budget","OK")</f>
        <v>Over Budget</v>
      </c>
      <c r="I630" t="str">
        <f>IF(OR(BOQ_Table[[#This Row],[Quantity]]="",BOQ_Table[[#This Row],[Rate]]=""),"Missing","OK")</f>
        <v>OK</v>
      </c>
    </row>
    <row r="631" spans="1:9" x14ac:dyDescent="0.35">
      <c r="A631" t="s">
        <v>655</v>
      </c>
      <c r="B631" t="s">
        <v>30</v>
      </c>
      <c r="C631" t="s">
        <v>21</v>
      </c>
      <c r="D631">
        <v>306.20999999999998</v>
      </c>
      <c r="E631" t="s">
        <v>27</v>
      </c>
      <c r="F631">
        <v>364.81</v>
      </c>
      <c r="G631">
        <f t="shared" si="11"/>
        <v>111708.47009999999</v>
      </c>
      <c r="H631" t="str">
        <f>IF(BOQ_Table[[#This Row],[Amount]]&gt;100000,"Over Budget","OK")</f>
        <v>Over Budget</v>
      </c>
      <c r="I631" t="str">
        <f>IF(OR(BOQ_Table[[#This Row],[Quantity]]="",BOQ_Table[[#This Row],[Rate]]=""),"Missing","OK")</f>
        <v>OK</v>
      </c>
    </row>
    <row r="632" spans="1:9" x14ac:dyDescent="0.35">
      <c r="A632" t="s">
        <v>656</v>
      </c>
      <c r="B632" t="s">
        <v>7</v>
      </c>
      <c r="C632" t="s">
        <v>12</v>
      </c>
      <c r="D632">
        <v>293.94</v>
      </c>
      <c r="E632" t="s">
        <v>27</v>
      </c>
      <c r="F632">
        <v>1029.42</v>
      </c>
      <c r="G632">
        <f t="shared" si="11"/>
        <v>302587.71480000002</v>
      </c>
      <c r="H632" t="str">
        <f>IF(BOQ_Table[[#This Row],[Amount]]&gt;100000,"Over Budget","OK")</f>
        <v>Over Budget</v>
      </c>
      <c r="I632" t="str">
        <f>IF(OR(BOQ_Table[[#This Row],[Quantity]]="",BOQ_Table[[#This Row],[Rate]]=""),"Missing","OK")</f>
        <v>OK</v>
      </c>
    </row>
    <row r="633" spans="1:9" x14ac:dyDescent="0.35">
      <c r="A633" t="s">
        <v>657</v>
      </c>
      <c r="B633" t="s">
        <v>11</v>
      </c>
      <c r="C633" t="s">
        <v>8</v>
      </c>
      <c r="D633">
        <v>226</v>
      </c>
      <c r="E633" t="s">
        <v>18</v>
      </c>
      <c r="F633">
        <v>1143.05</v>
      </c>
      <c r="G633">
        <f t="shared" si="11"/>
        <v>258329.3</v>
      </c>
      <c r="H633" t="str">
        <f>IF(BOQ_Table[[#This Row],[Amount]]&gt;100000,"Over Budget","OK")</f>
        <v>Over Budget</v>
      </c>
      <c r="I633" t="str">
        <f>IF(OR(BOQ_Table[[#This Row],[Quantity]]="",BOQ_Table[[#This Row],[Rate]]=""),"Missing","OK")</f>
        <v>OK</v>
      </c>
    </row>
    <row r="634" spans="1:9" x14ac:dyDescent="0.35">
      <c r="A634" t="s">
        <v>658</v>
      </c>
      <c r="B634" t="s">
        <v>32</v>
      </c>
      <c r="C634" t="s">
        <v>12</v>
      </c>
      <c r="D634">
        <v>488.2</v>
      </c>
      <c r="E634" t="s">
        <v>9</v>
      </c>
      <c r="F634">
        <v>1971.2</v>
      </c>
      <c r="G634">
        <f t="shared" si="11"/>
        <v>962339.83999999997</v>
      </c>
      <c r="H634" t="str">
        <f>IF(BOQ_Table[[#This Row],[Amount]]&gt;100000,"Over Budget","OK")</f>
        <v>Over Budget</v>
      </c>
      <c r="I634" t="str">
        <f>IF(OR(BOQ_Table[[#This Row],[Quantity]]="",BOQ_Table[[#This Row],[Rate]]=""),"Missing","OK")</f>
        <v>OK</v>
      </c>
    </row>
    <row r="635" spans="1:9" x14ac:dyDescent="0.35">
      <c r="A635" t="s">
        <v>659</v>
      </c>
      <c r="B635" t="s">
        <v>42</v>
      </c>
      <c r="C635" t="s">
        <v>17</v>
      </c>
      <c r="D635">
        <v>169.74</v>
      </c>
      <c r="E635" t="s">
        <v>18</v>
      </c>
      <c r="F635">
        <v>4262.62</v>
      </c>
      <c r="G635">
        <f t="shared" si="11"/>
        <v>723537.11880000005</v>
      </c>
      <c r="H635" t="str">
        <f>IF(BOQ_Table[[#This Row],[Amount]]&gt;100000,"Over Budget","OK")</f>
        <v>Over Budget</v>
      </c>
      <c r="I635" t="str">
        <f>IF(OR(BOQ_Table[[#This Row],[Quantity]]="",BOQ_Table[[#This Row],[Rate]]=""),"Missing","OK")</f>
        <v>OK</v>
      </c>
    </row>
    <row r="636" spans="1:9" x14ac:dyDescent="0.35">
      <c r="A636" t="s">
        <v>660</v>
      </c>
      <c r="B636" t="s">
        <v>56</v>
      </c>
      <c r="C636" t="s">
        <v>21</v>
      </c>
      <c r="D636">
        <v>153.97</v>
      </c>
      <c r="E636" t="s">
        <v>9</v>
      </c>
      <c r="F636">
        <v>2341.5700000000002</v>
      </c>
      <c r="G636">
        <f t="shared" si="11"/>
        <v>360531.53290000005</v>
      </c>
      <c r="H636" t="str">
        <f>IF(BOQ_Table[[#This Row],[Amount]]&gt;100000,"Over Budget","OK")</f>
        <v>Over Budget</v>
      </c>
      <c r="I636" t="str">
        <f>IF(OR(BOQ_Table[[#This Row],[Quantity]]="",BOQ_Table[[#This Row],[Rate]]=""),"Missing","OK")</f>
        <v>OK</v>
      </c>
    </row>
    <row r="637" spans="1:9" x14ac:dyDescent="0.35">
      <c r="A637" t="s">
        <v>661</v>
      </c>
      <c r="B637" t="s">
        <v>42</v>
      </c>
      <c r="C637" t="s">
        <v>17</v>
      </c>
      <c r="D637">
        <v>437.81</v>
      </c>
      <c r="E637" t="s">
        <v>22</v>
      </c>
      <c r="F637">
        <v>3398.19</v>
      </c>
      <c r="G637">
        <f t="shared" si="11"/>
        <v>1487761.5639</v>
      </c>
      <c r="H637" t="str">
        <f>IF(BOQ_Table[[#This Row],[Amount]]&gt;100000,"Over Budget","OK")</f>
        <v>Over Budget</v>
      </c>
      <c r="I637" t="str">
        <f>IF(OR(BOQ_Table[[#This Row],[Quantity]]="",BOQ_Table[[#This Row],[Rate]]=""),"Missing","OK")</f>
        <v>OK</v>
      </c>
    </row>
    <row r="638" spans="1:9" x14ac:dyDescent="0.35">
      <c r="A638" t="s">
        <v>662</v>
      </c>
      <c r="B638" t="s">
        <v>46</v>
      </c>
      <c r="C638" t="s">
        <v>21</v>
      </c>
      <c r="D638">
        <v>395.6</v>
      </c>
      <c r="E638" t="s">
        <v>22</v>
      </c>
      <c r="F638">
        <v>4702.25</v>
      </c>
      <c r="G638">
        <f t="shared" si="11"/>
        <v>1860210.1</v>
      </c>
      <c r="H638" t="str">
        <f>IF(BOQ_Table[[#This Row],[Amount]]&gt;100000,"Over Budget","OK")</f>
        <v>Over Budget</v>
      </c>
      <c r="I638" t="str">
        <f>IF(OR(BOQ_Table[[#This Row],[Quantity]]="",BOQ_Table[[#This Row],[Rate]]=""),"Missing","OK")</f>
        <v>OK</v>
      </c>
    </row>
    <row r="639" spans="1:9" x14ac:dyDescent="0.35">
      <c r="A639" t="s">
        <v>663</v>
      </c>
      <c r="B639" t="s">
        <v>30</v>
      </c>
      <c r="C639" t="s">
        <v>38</v>
      </c>
      <c r="D639">
        <v>269.3</v>
      </c>
      <c r="E639" t="s">
        <v>18</v>
      </c>
      <c r="F639">
        <v>4141.1000000000004</v>
      </c>
      <c r="G639">
        <f t="shared" si="11"/>
        <v>1115198.2300000002</v>
      </c>
      <c r="H639" t="str">
        <f>IF(BOQ_Table[[#This Row],[Amount]]&gt;100000,"Over Budget","OK")</f>
        <v>Over Budget</v>
      </c>
      <c r="I639" t="str">
        <f>IF(OR(BOQ_Table[[#This Row],[Quantity]]="",BOQ_Table[[#This Row],[Rate]]=""),"Missing","OK")</f>
        <v>OK</v>
      </c>
    </row>
    <row r="640" spans="1:9" x14ac:dyDescent="0.35">
      <c r="A640" t="s">
        <v>664</v>
      </c>
      <c r="B640" t="s">
        <v>16</v>
      </c>
      <c r="C640" t="s">
        <v>38</v>
      </c>
      <c r="D640">
        <v>404.41</v>
      </c>
      <c r="E640" t="s">
        <v>22</v>
      </c>
      <c r="F640">
        <v>803.3</v>
      </c>
      <c r="G640">
        <f t="shared" si="11"/>
        <v>324862.55300000001</v>
      </c>
      <c r="H640" t="str">
        <f>IF(BOQ_Table[[#This Row],[Amount]]&gt;100000,"Over Budget","OK")</f>
        <v>Over Budget</v>
      </c>
      <c r="I640" t="str">
        <f>IF(OR(BOQ_Table[[#This Row],[Quantity]]="",BOQ_Table[[#This Row],[Rate]]=""),"Missing","OK")</f>
        <v>OK</v>
      </c>
    </row>
    <row r="641" spans="1:9" x14ac:dyDescent="0.35">
      <c r="A641" t="s">
        <v>665</v>
      </c>
      <c r="B641" t="s">
        <v>42</v>
      </c>
      <c r="C641" t="s">
        <v>8</v>
      </c>
      <c r="D641">
        <v>439.3</v>
      </c>
      <c r="E641" t="s">
        <v>22</v>
      </c>
      <c r="F641">
        <v>1620.96</v>
      </c>
      <c r="G641">
        <f t="shared" si="11"/>
        <v>712087.728</v>
      </c>
      <c r="H641" t="str">
        <f>IF(BOQ_Table[[#This Row],[Amount]]&gt;100000,"Over Budget","OK")</f>
        <v>Over Budget</v>
      </c>
      <c r="I641" t="str">
        <f>IF(OR(BOQ_Table[[#This Row],[Quantity]]="",BOQ_Table[[#This Row],[Rate]]=""),"Missing","OK")</f>
        <v>OK</v>
      </c>
    </row>
    <row r="642" spans="1:9" x14ac:dyDescent="0.35">
      <c r="A642" t="s">
        <v>666</v>
      </c>
      <c r="B642" t="s">
        <v>46</v>
      </c>
      <c r="C642" t="s">
        <v>17</v>
      </c>
      <c r="D642">
        <v>271.81</v>
      </c>
      <c r="E642" t="s">
        <v>27</v>
      </c>
      <c r="F642">
        <v>872.34</v>
      </c>
      <c r="G642">
        <f t="shared" ref="G642:G705" si="12">D642*F642</f>
        <v>237110.73540000001</v>
      </c>
      <c r="H642" t="str">
        <f>IF(BOQ_Table[[#This Row],[Amount]]&gt;100000,"Over Budget","OK")</f>
        <v>Over Budget</v>
      </c>
      <c r="I642" t="str">
        <f>IF(OR(BOQ_Table[[#This Row],[Quantity]]="",BOQ_Table[[#This Row],[Rate]]=""),"Missing","OK")</f>
        <v>OK</v>
      </c>
    </row>
    <row r="643" spans="1:9" x14ac:dyDescent="0.35">
      <c r="A643" t="s">
        <v>667</v>
      </c>
      <c r="B643" t="s">
        <v>7</v>
      </c>
      <c r="C643" t="s">
        <v>21</v>
      </c>
      <c r="D643">
        <v>355.31</v>
      </c>
      <c r="E643" t="s">
        <v>9</v>
      </c>
      <c r="F643">
        <v>4948.4399999999996</v>
      </c>
      <c r="G643">
        <f t="shared" si="12"/>
        <v>1758230.2163999998</v>
      </c>
      <c r="H643" t="str">
        <f>IF(BOQ_Table[[#This Row],[Amount]]&gt;100000,"Over Budget","OK")</f>
        <v>Over Budget</v>
      </c>
      <c r="I643" t="str">
        <f>IF(OR(BOQ_Table[[#This Row],[Quantity]]="",BOQ_Table[[#This Row],[Rate]]=""),"Missing","OK")</f>
        <v>OK</v>
      </c>
    </row>
    <row r="644" spans="1:9" x14ac:dyDescent="0.35">
      <c r="A644" t="s">
        <v>668</v>
      </c>
      <c r="B644" t="s">
        <v>30</v>
      </c>
      <c r="C644" t="s">
        <v>38</v>
      </c>
      <c r="D644">
        <v>300.54000000000002</v>
      </c>
      <c r="E644" t="s">
        <v>27</v>
      </c>
      <c r="F644">
        <v>3372.08</v>
      </c>
      <c r="G644">
        <f t="shared" si="12"/>
        <v>1013444.9232000001</v>
      </c>
      <c r="H644" t="str">
        <f>IF(BOQ_Table[[#This Row],[Amount]]&gt;100000,"Over Budget","OK")</f>
        <v>Over Budget</v>
      </c>
      <c r="I644" t="str">
        <f>IF(OR(BOQ_Table[[#This Row],[Quantity]]="",BOQ_Table[[#This Row],[Rate]]=""),"Missing","OK")</f>
        <v>OK</v>
      </c>
    </row>
    <row r="645" spans="1:9" x14ac:dyDescent="0.35">
      <c r="A645" t="s">
        <v>669</v>
      </c>
      <c r="B645" t="s">
        <v>16</v>
      </c>
      <c r="C645" t="s">
        <v>21</v>
      </c>
      <c r="D645">
        <v>21.74</v>
      </c>
      <c r="E645" t="s">
        <v>22</v>
      </c>
      <c r="F645">
        <v>1124.6600000000001</v>
      </c>
      <c r="G645">
        <f t="shared" si="12"/>
        <v>24450.108400000001</v>
      </c>
      <c r="H645" t="str">
        <f>IF(BOQ_Table[[#This Row],[Amount]]&gt;100000,"Over Budget","OK")</f>
        <v>OK</v>
      </c>
      <c r="I645" t="str">
        <f>IF(OR(BOQ_Table[[#This Row],[Quantity]]="",BOQ_Table[[#This Row],[Rate]]=""),"Missing","OK")</f>
        <v>OK</v>
      </c>
    </row>
    <row r="646" spans="1:9" x14ac:dyDescent="0.35">
      <c r="A646" t="s">
        <v>670</v>
      </c>
      <c r="B646" t="s">
        <v>56</v>
      </c>
      <c r="C646" t="s">
        <v>8</v>
      </c>
      <c r="D646">
        <v>313.89999999999998</v>
      </c>
      <c r="E646" t="s">
        <v>14</v>
      </c>
      <c r="F646">
        <v>2701.29</v>
      </c>
      <c r="G646">
        <f t="shared" si="12"/>
        <v>847934.93099999998</v>
      </c>
      <c r="H646" t="str">
        <f>IF(BOQ_Table[[#This Row],[Amount]]&gt;100000,"Over Budget","OK")</f>
        <v>Over Budget</v>
      </c>
      <c r="I646" t="str">
        <f>IF(OR(BOQ_Table[[#This Row],[Quantity]]="",BOQ_Table[[#This Row],[Rate]]=""),"Missing","OK")</f>
        <v>OK</v>
      </c>
    </row>
    <row r="647" spans="1:9" x14ac:dyDescent="0.35">
      <c r="A647" t="s">
        <v>671</v>
      </c>
      <c r="B647" t="s">
        <v>20</v>
      </c>
      <c r="C647" t="s">
        <v>17</v>
      </c>
      <c r="D647">
        <v>326.54000000000002</v>
      </c>
      <c r="E647" t="s">
        <v>14</v>
      </c>
      <c r="F647">
        <v>1449.48</v>
      </c>
      <c r="G647">
        <f t="shared" si="12"/>
        <v>473313.19920000003</v>
      </c>
      <c r="H647" t="str">
        <f>IF(BOQ_Table[[#This Row],[Amount]]&gt;100000,"Over Budget","OK")</f>
        <v>Over Budget</v>
      </c>
      <c r="I647" t="str">
        <f>IF(OR(BOQ_Table[[#This Row],[Quantity]]="",BOQ_Table[[#This Row],[Rate]]=""),"Missing","OK")</f>
        <v>OK</v>
      </c>
    </row>
    <row r="648" spans="1:9" x14ac:dyDescent="0.35">
      <c r="A648" t="s">
        <v>672</v>
      </c>
      <c r="B648" t="s">
        <v>46</v>
      </c>
      <c r="C648" t="s">
        <v>12</v>
      </c>
      <c r="D648">
        <v>433.41</v>
      </c>
      <c r="E648" t="s">
        <v>22</v>
      </c>
      <c r="F648">
        <v>4604.1400000000003</v>
      </c>
      <c r="G648">
        <f t="shared" si="12"/>
        <v>1995480.3174000003</v>
      </c>
      <c r="H648" t="str">
        <f>IF(BOQ_Table[[#This Row],[Amount]]&gt;100000,"Over Budget","OK")</f>
        <v>Over Budget</v>
      </c>
      <c r="I648" t="str">
        <f>IF(OR(BOQ_Table[[#This Row],[Quantity]]="",BOQ_Table[[#This Row],[Rate]]=""),"Missing","OK")</f>
        <v>OK</v>
      </c>
    </row>
    <row r="649" spans="1:9" x14ac:dyDescent="0.35">
      <c r="A649" t="s">
        <v>673</v>
      </c>
      <c r="B649" t="s">
        <v>56</v>
      </c>
      <c r="C649" t="s">
        <v>8</v>
      </c>
      <c r="D649">
        <v>31.08</v>
      </c>
      <c r="E649" t="s">
        <v>9</v>
      </c>
      <c r="F649">
        <v>142.32</v>
      </c>
      <c r="G649">
        <f t="shared" si="12"/>
        <v>4423.3055999999997</v>
      </c>
      <c r="H649" t="str">
        <f>IF(BOQ_Table[[#This Row],[Amount]]&gt;100000,"Over Budget","OK")</f>
        <v>OK</v>
      </c>
      <c r="I649" t="str">
        <f>IF(OR(BOQ_Table[[#This Row],[Quantity]]="",BOQ_Table[[#This Row],[Rate]]=""),"Missing","OK")</f>
        <v>OK</v>
      </c>
    </row>
    <row r="650" spans="1:9" x14ac:dyDescent="0.35">
      <c r="A650" t="s">
        <v>674</v>
      </c>
      <c r="B650" t="s">
        <v>30</v>
      </c>
      <c r="C650" t="s">
        <v>21</v>
      </c>
      <c r="D650">
        <v>402.97</v>
      </c>
      <c r="E650" t="s">
        <v>27</v>
      </c>
      <c r="F650">
        <v>1104.0999999999999</v>
      </c>
      <c r="G650">
        <f t="shared" si="12"/>
        <v>444919.17699999997</v>
      </c>
      <c r="H650" t="str">
        <f>IF(BOQ_Table[[#This Row],[Amount]]&gt;100000,"Over Budget","OK")</f>
        <v>Over Budget</v>
      </c>
      <c r="I650" t="str">
        <f>IF(OR(BOQ_Table[[#This Row],[Quantity]]="",BOQ_Table[[#This Row],[Rate]]=""),"Missing","OK")</f>
        <v>OK</v>
      </c>
    </row>
    <row r="651" spans="1:9" x14ac:dyDescent="0.35">
      <c r="A651" t="s">
        <v>675</v>
      </c>
      <c r="B651" t="s">
        <v>40</v>
      </c>
      <c r="C651" t="s">
        <v>21</v>
      </c>
      <c r="D651">
        <v>296.79000000000002</v>
      </c>
      <c r="E651" t="s">
        <v>9</v>
      </c>
      <c r="F651">
        <v>183.19</v>
      </c>
      <c r="G651">
        <f t="shared" si="12"/>
        <v>54368.960100000004</v>
      </c>
      <c r="H651" t="str">
        <f>IF(BOQ_Table[[#This Row],[Amount]]&gt;100000,"Over Budget","OK")</f>
        <v>OK</v>
      </c>
      <c r="I651" t="str">
        <f>IF(OR(BOQ_Table[[#This Row],[Quantity]]="",BOQ_Table[[#This Row],[Rate]]=""),"Missing","OK")</f>
        <v>OK</v>
      </c>
    </row>
    <row r="652" spans="1:9" x14ac:dyDescent="0.35">
      <c r="A652" t="s">
        <v>676</v>
      </c>
      <c r="B652" t="s">
        <v>7</v>
      </c>
      <c r="C652" t="s">
        <v>8</v>
      </c>
      <c r="D652">
        <v>35.799999999999997</v>
      </c>
      <c r="E652" t="s">
        <v>27</v>
      </c>
      <c r="F652">
        <v>2070</v>
      </c>
      <c r="G652">
        <f t="shared" si="12"/>
        <v>74106</v>
      </c>
      <c r="H652" t="str">
        <f>IF(BOQ_Table[[#This Row],[Amount]]&gt;100000,"Over Budget","OK")</f>
        <v>OK</v>
      </c>
      <c r="I652" t="str">
        <f>IF(OR(BOQ_Table[[#This Row],[Quantity]]="",BOQ_Table[[#This Row],[Rate]]=""),"Missing","OK")</f>
        <v>OK</v>
      </c>
    </row>
    <row r="653" spans="1:9" x14ac:dyDescent="0.35">
      <c r="A653" t="s">
        <v>677</v>
      </c>
      <c r="B653" t="s">
        <v>32</v>
      </c>
      <c r="C653" t="s">
        <v>21</v>
      </c>
      <c r="D653">
        <v>462.58</v>
      </c>
      <c r="E653" t="s">
        <v>14</v>
      </c>
      <c r="F653">
        <v>4117.41</v>
      </c>
      <c r="G653">
        <f t="shared" si="12"/>
        <v>1904631.5177999998</v>
      </c>
      <c r="H653" t="str">
        <f>IF(BOQ_Table[[#This Row],[Amount]]&gt;100000,"Over Budget","OK")</f>
        <v>Over Budget</v>
      </c>
      <c r="I653" t="str">
        <f>IF(OR(BOQ_Table[[#This Row],[Quantity]]="",BOQ_Table[[#This Row],[Rate]]=""),"Missing","OK")</f>
        <v>OK</v>
      </c>
    </row>
    <row r="654" spans="1:9" x14ac:dyDescent="0.35">
      <c r="A654" t="s">
        <v>678</v>
      </c>
      <c r="B654" t="s">
        <v>20</v>
      </c>
      <c r="C654" t="s">
        <v>21</v>
      </c>
      <c r="D654">
        <v>292.37</v>
      </c>
      <c r="E654" t="s">
        <v>9</v>
      </c>
      <c r="F654">
        <v>2139.94</v>
      </c>
      <c r="G654">
        <f t="shared" si="12"/>
        <v>625654.25780000002</v>
      </c>
      <c r="H654" t="str">
        <f>IF(BOQ_Table[[#This Row],[Amount]]&gt;100000,"Over Budget","OK")</f>
        <v>Over Budget</v>
      </c>
      <c r="I654" t="str">
        <f>IF(OR(BOQ_Table[[#This Row],[Quantity]]="",BOQ_Table[[#This Row],[Rate]]=""),"Missing","OK")</f>
        <v>OK</v>
      </c>
    </row>
    <row r="655" spans="1:9" x14ac:dyDescent="0.35">
      <c r="A655" t="s">
        <v>679</v>
      </c>
      <c r="B655" t="s">
        <v>42</v>
      </c>
      <c r="C655" t="s">
        <v>12</v>
      </c>
      <c r="D655">
        <v>7.68</v>
      </c>
      <c r="E655" t="s">
        <v>22</v>
      </c>
      <c r="F655">
        <v>3586.28</v>
      </c>
      <c r="G655">
        <f t="shared" si="12"/>
        <v>27542.630400000002</v>
      </c>
      <c r="H655" t="str">
        <f>IF(BOQ_Table[[#This Row],[Amount]]&gt;100000,"Over Budget","OK")</f>
        <v>OK</v>
      </c>
      <c r="I655" t="str">
        <f>IF(OR(BOQ_Table[[#This Row],[Quantity]]="",BOQ_Table[[#This Row],[Rate]]=""),"Missing","OK")</f>
        <v>OK</v>
      </c>
    </row>
    <row r="656" spans="1:9" x14ac:dyDescent="0.35">
      <c r="A656" t="s">
        <v>680</v>
      </c>
      <c r="B656" t="s">
        <v>30</v>
      </c>
      <c r="C656" t="s">
        <v>38</v>
      </c>
      <c r="D656">
        <v>112.88</v>
      </c>
      <c r="E656" t="s">
        <v>9</v>
      </c>
      <c r="F656">
        <v>4711.09</v>
      </c>
      <c r="G656">
        <f t="shared" si="12"/>
        <v>531787.83920000005</v>
      </c>
      <c r="H656" t="str">
        <f>IF(BOQ_Table[[#This Row],[Amount]]&gt;100000,"Over Budget","OK")</f>
        <v>Over Budget</v>
      </c>
      <c r="I656" t="str">
        <f>IF(OR(BOQ_Table[[#This Row],[Quantity]]="",BOQ_Table[[#This Row],[Rate]]=""),"Missing","OK")</f>
        <v>OK</v>
      </c>
    </row>
    <row r="657" spans="1:9" x14ac:dyDescent="0.35">
      <c r="A657" t="s">
        <v>681</v>
      </c>
      <c r="B657" t="s">
        <v>40</v>
      </c>
      <c r="C657" t="s">
        <v>21</v>
      </c>
      <c r="D657">
        <v>101.25</v>
      </c>
      <c r="E657" t="s">
        <v>9</v>
      </c>
      <c r="F657">
        <v>4699.1000000000004</v>
      </c>
      <c r="G657">
        <f t="shared" si="12"/>
        <v>475783.87500000006</v>
      </c>
      <c r="H657" t="str">
        <f>IF(BOQ_Table[[#This Row],[Amount]]&gt;100000,"Over Budget","OK")</f>
        <v>Over Budget</v>
      </c>
      <c r="I657" t="str">
        <f>IF(OR(BOQ_Table[[#This Row],[Quantity]]="",BOQ_Table[[#This Row],[Rate]]=""),"Missing","OK")</f>
        <v>OK</v>
      </c>
    </row>
    <row r="658" spans="1:9" x14ac:dyDescent="0.35">
      <c r="A658" t="s">
        <v>682</v>
      </c>
      <c r="B658" t="s">
        <v>30</v>
      </c>
      <c r="C658" t="s">
        <v>17</v>
      </c>
      <c r="D658">
        <v>491.36</v>
      </c>
      <c r="E658" t="s">
        <v>18</v>
      </c>
      <c r="F658">
        <v>821.75</v>
      </c>
      <c r="G658">
        <f t="shared" si="12"/>
        <v>403775.08</v>
      </c>
      <c r="H658" t="str">
        <f>IF(BOQ_Table[[#This Row],[Amount]]&gt;100000,"Over Budget","OK")</f>
        <v>Over Budget</v>
      </c>
      <c r="I658" t="str">
        <f>IF(OR(BOQ_Table[[#This Row],[Quantity]]="",BOQ_Table[[#This Row],[Rate]]=""),"Missing","OK")</f>
        <v>OK</v>
      </c>
    </row>
    <row r="659" spans="1:9" x14ac:dyDescent="0.35">
      <c r="A659" t="s">
        <v>683</v>
      </c>
      <c r="B659" t="s">
        <v>30</v>
      </c>
      <c r="C659" t="s">
        <v>17</v>
      </c>
      <c r="D659">
        <v>10.92</v>
      </c>
      <c r="E659" t="s">
        <v>22</v>
      </c>
      <c r="F659">
        <v>4495.95</v>
      </c>
      <c r="G659">
        <f t="shared" si="12"/>
        <v>49095.773999999998</v>
      </c>
      <c r="H659" t="str">
        <f>IF(BOQ_Table[[#This Row],[Amount]]&gt;100000,"Over Budget","OK")</f>
        <v>OK</v>
      </c>
      <c r="I659" t="str">
        <f>IF(OR(BOQ_Table[[#This Row],[Quantity]]="",BOQ_Table[[#This Row],[Rate]]=""),"Missing","OK")</f>
        <v>OK</v>
      </c>
    </row>
    <row r="660" spans="1:9" x14ac:dyDescent="0.35">
      <c r="A660" t="s">
        <v>684</v>
      </c>
      <c r="B660" t="s">
        <v>16</v>
      </c>
      <c r="C660" t="s">
        <v>8</v>
      </c>
      <c r="D660">
        <v>114.68</v>
      </c>
      <c r="E660" t="s">
        <v>18</v>
      </c>
      <c r="F660">
        <v>2738.39</v>
      </c>
      <c r="G660">
        <f t="shared" si="12"/>
        <v>314038.56520000001</v>
      </c>
      <c r="H660" t="str">
        <f>IF(BOQ_Table[[#This Row],[Amount]]&gt;100000,"Over Budget","OK")</f>
        <v>Over Budget</v>
      </c>
      <c r="I660" t="str">
        <f>IF(OR(BOQ_Table[[#This Row],[Quantity]]="",BOQ_Table[[#This Row],[Rate]]=""),"Missing","OK")</f>
        <v>OK</v>
      </c>
    </row>
    <row r="661" spans="1:9" x14ac:dyDescent="0.35">
      <c r="A661" t="s">
        <v>685</v>
      </c>
      <c r="B661" t="s">
        <v>11</v>
      </c>
      <c r="C661" t="s">
        <v>38</v>
      </c>
      <c r="D661">
        <v>138.03</v>
      </c>
      <c r="E661" t="s">
        <v>14</v>
      </c>
      <c r="F661">
        <v>1527.18</v>
      </c>
      <c r="G661">
        <f t="shared" si="12"/>
        <v>210796.65540000002</v>
      </c>
      <c r="H661" t="str">
        <f>IF(BOQ_Table[[#This Row],[Amount]]&gt;100000,"Over Budget","OK")</f>
        <v>Over Budget</v>
      </c>
      <c r="I661" t="str">
        <f>IF(OR(BOQ_Table[[#This Row],[Quantity]]="",BOQ_Table[[#This Row],[Rate]]=""),"Missing","OK")</f>
        <v>OK</v>
      </c>
    </row>
    <row r="662" spans="1:9" x14ac:dyDescent="0.35">
      <c r="A662" t="s">
        <v>686</v>
      </c>
      <c r="B662" t="s">
        <v>40</v>
      </c>
      <c r="C662" t="s">
        <v>38</v>
      </c>
      <c r="D662">
        <v>155.6</v>
      </c>
      <c r="E662" t="s">
        <v>27</v>
      </c>
      <c r="F662">
        <v>3909.15</v>
      </c>
      <c r="G662">
        <f t="shared" si="12"/>
        <v>608263.74</v>
      </c>
      <c r="H662" t="str">
        <f>IF(BOQ_Table[[#This Row],[Amount]]&gt;100000,"Over Budget","OK")</f>
        <v>Over Budget</v>
      </c>
      <c r="I662" t="str">
        <f>IF(OR(BOQ_Table[[#This Row],[Quantity]]="",BOQ_Table[[#This Row],[Rate]]=""),"Missing","OK")</f>
        <v>OK</v>
      </c>
    </row>
    <row r="663" spans="1:9" x14ac:dyDescent="0.35">
      <c r="A663" t="s">
        <v>687</v>
      </c>
      <c r="B663" t="s">
        <v>30</v>
      </c>
      <c r="C663" t="s">
        <v>21</v>
      </c>
      <c r="D663">
        <v>369.79</v>
      </c>
      <c r="E663" t="s">
        <v>27</v>
      </c>
      <c r="F663">
        <v>3005.62</v>
      </c>
      <c r="G663">
        <f t="shared" si="12"/>
        <v>1111448.2198000001</v>
      </c>
      <c r="H663" t="str">
        <f>IF(BOQ_Table[[#This Row],[Amount]]&gt;100000,"Over Budget","OK")</f>
        <v>Over Budget</v>
      </c>
      <c r="I663" t="str">
        <f>IF(OR(BOQ_Table[[#This Row],[Quantity]]="",BOQ_Table[[#This Row],[Rate]]=""),"Missing","OK")</f>
        <v>OK</v>
      </c>
    </row>
    <row r="664" spans="1:9" x14ac:dyDescent="0.35">
      <c r="A664" t="s">
        <v>688</v>
      </c>
      <c r="B664" t="s">
        <v>16</v>
      </c>
      <c r="C664" t="s">
        <v>17</v>
      </c>
      <c r="D664">
        <v>452.77</v>
      </c>
      <c r="E664" t="s">
        <v>22</v>
      </c>
      <c r="F664">
        <v>4760</v>
      </c>
      <c r="G664">
        <f t="shared" si="12"/>
        <v>2155185.1999999997</v>
      </c>
      <c r="H664" t="str">
        <f>IF(BOQ_Table[[#This Row],[Amount]]&gt;100000,"Over Budget","OK")</f>
        <v>Over Budget</v>
      </c>
      <c r="I664" t="str">
        <f>IF(OR(BOQ_Table[[#This Row],[Quantity]]="",BOQ_Table[[#This Row],[Rate]]=""),"Missing","OK")</f>
        <v>OK</v>
      </c>
    </row>
    <row r="665" spans="1:9" x14ac:dyDescent="0.35">
      <c r="A665" t="s">
        <v>689</v>
      </c>
      <c r="B665" t="s">
        <v>46</v>
      </c>
      <c r="C665" t="s">
        <v>8</v>
      </c>
      <c r="D665">
        <v>213.07</v>
      </c>
      <c r="E665" t="s">
        <v>27</v>
      </c>
      <c r="F665">
        <v>3413.79</v>
      </c>
      <c r="G665">
        <f t="shared" si="12"/>
        <v>727376.23529999994</v>
      </c>
      <c r="H665" t="str">
        <f>IF(BOQ_Table[[#This Row],[Amount]]&gt;100000,"Over Budget","OK")</f>
        <v>Over Budget</v>
      </c>
      <c r="I665" t="str">
        <f>IF(OR(BOQ_Table[[#This Row],[Quantity]]="",BOQ_Table[[#This Row],[Rate]]=""),"Missing","OK")</f>
        <v>OK</v>
      </c>
    </row>
    <row r="666" spans="1:9" x14ac:dyDescent="0.35">
      <c r="A666" t="s">
        <v>690</v>
      </c>
      <c r="B666" t="s">
        <v>56</v>
      </c>
      <c r="C666" t="s">
        <v>21</v>
      </c>
      <c r="D666">
        <v>308.60000000000002</v>
      </c>
      <c r="E666" t="s">
        <v>27</v>
      </c>
      <c r="F666">
        <v>4772.4399999999996</v>
      </c>
      <c r="G666">
        <f t="shared" si="12"/>
        <v>1472774.9839999999</v>
      </c>
      <c r="H666" t="str">
        <f>IF(BOQ_Table[[#This Row],[Amount]]&gt;100000,"Over Budget","OK")</f>
        <v>Over Budget</v>
      </c>
      <c r="I666" t="str">
        <f>IF(OR(BOQ_Table[[#This Row],[Quantity]]="",BOQ_Table[[#This Row],[Rate]]=""),"Missing","OK")</f>
        <v>OK</v>
      </c>
    </row>
    <row r="667" spans="1:9" x14ac:dyDescent="0.35">
      <c r="A667" t="s">
        <v>691</v>
      </c>
      <c r="B667" t="s">
        <v>32</v>
      </c>
      <c r="C667" t="s">
        <v>12</v>
      </c>
      <c r="D667">
        <v>262.08</v>
      </c>
      <c r="E667" t="s">
        <v>27</v>
      </c>
      <c r="F667">
        <v>1486.42</v>
      </c>
      <c r="G667">
        <f t="shared" si="12"/>
        <v>389560.95360000001</v>
      </c>
      <c r="H667" t="str">
        <f>IF(BOQ_Table[[#This Row],[Amount]]&gt;100000,"Over Budget","OK")</f>
        <v>Over Budget</v>
      </c>
      <c r="I667" t="str">
        <f>IF(OR(BOQ_Table[[#This Row],[Quantity]]="",BOQ_Table[[#This Row],[Rate]]=""),"Missing","OK")</f>
        <v>OK</v>
      </c>
    </row>
    <row r="668" spans="1:9" x14ac:dyDescent="0.35">
      <c r="A668" t="s">
        <v>692</v>
      </c>
      <c r="B668" t="s">
        <v>7</v>
      </c>
      <c r="C668" t="s">
        <v>21</v>
      </c>
      <c r="D668">
        <v>440.64</v>
      </c>
      <c r="E668" t="s">
        <v>9</v>
      </c>
      <c r="F668">
        <v>1546.66</v>
      </c>
      <c r="G668">
        <f t="shared" si="12"/>
        <v>681520.26240000001</v>
      </c>
      <c r="H668" t="str">
        <f>IF(BOQ_Table[[#This Row],[Amount]]&gt;100000,"Over Budget","OK")</f>
        <v>Over Budget</v>
      </c>
      <c r="I668" t="str">
        <f>IF(OR(BOQ_Table[[#This Row],[Quantity]]="",BOQ_Table[[#This Row],[Rate]]=""),"Missing","OK")</f>
        <v>OK</v>
      </c>
    </row>
    <row r="669" spans="1:9" x14ac:dyDescent="0.35">
      <c r="A669" t="s">
        <v>693</v>
      </c>
      <c r="B669" t="s">
        <v>56</v>
      </c>
      <c r="C669" t="s">
        <v>38</v>
      </c>
      <c r="D669">
        <v>111.17</v>
      </c>
      <c r="E669" t="s">
        <v>22</v>
      </c>
      <c r="F669">
        <v>4321.4799999999996</v>
      </c>
      <c r="G669">
        <f t="shared" si="12"/>
        <v>480418.93159999995</v>
      </c>
      <c r="H669" t="str">
        <f>IF(BOQ_Table[[#This Row],[Amount]]&gt;100000,"Over Budget","OK")</f>
        <v>Over Budget</v>
      </c>
      <c r="I669" t="str">
        <f>IF(OR(BOQ_Table[[#This Row],[Quantity]]="",BOQ_Table[[#This Row],[Rate]]=""),"Missing","OK")</f>
        <v>OK</v>
      </c>
    </row>
    <row r="670" spans="1:9" x14ac:dyDescent="0.35">
      <c r="A670" t="s">
        <v>694</v>
      </c>
      <c r="B670" t="s">
        <v>42</v>
      </c>
      <c r="C670" t="s">
        <v>21</v>
      </c>
      <c r="D670">
        <v>285.44</v>
      </c>
      <c r="E670" t="s">
        <v>9</v>
      </c>
      <c r="F670">
        <v>1441.59</v>
      </c>
      <c r="G670">
        <f t="shared" si="12"/>
        <v>411487.44959999999</v>
      </c>
      <c r="H670" t="str">
        <f>IF(BOQ_Table[[#This Row],[Amount]]&gt;100000,"Over Budget","OK")</f>
        <v>Over Budget</v>
      </c>
      <c r="I670" t="str">
        <f>IF(OR(BOQ_Table[[#This Row],[Quantity]]="",BOQ_Table[[#This Row],[Rate]]=""),"Missing","OK")</f>
        <v>OK</v>
      </c>
    </row>
    <row r="671" spans="1:9" x14ac:dyDescent="0.35">
      <c r="A671" t="s">
        <v>695</v>
      </c>
      <c r="B671" t="s">
        <v>30</v>
      </c>
      <c r="C671" t="s">
        <v>17</v>
      </c>
      <c r="D671">
        <v>246.52</v>
      </c>
      <c r="E671" t="s">
        <v>14</v>
      </c>
      <c r="F671">
        <v>3905.38</v>
      </c>
      <c r="G671">
        <f t="shared" si="12"/>
        <v>962754.27760000003</v>
      </c>
      <c r="H671" t="str">
        <f>IF(BOQ_Table[[#This Row],[Amount]]&gt;100000,"Over Budget","OK")</f>
        <v>Over Budget</v>
      </c>
      <c r="I671" t="str">
        <f>IF(OR(BOQ_Table[[#This Row],[Quantity]]="",BOQ_Table[[#This Row],[Rate]]=""),"Missing","OK")</f>
        <v>OK</v>
      </c>
    </row>
    <row r="672" spans="1:9" x14ac:dyDescent="0.35">
      <c r="A672" t="s">
        <v>696</v>
      </c>
      <c r="B672" t="s">
        <v>42</v>
      </c>
      <c r="C672" t="s">
        <v>21</v>
      </c>
      <c r="D672">
        <v>271.74</v>
      </c>
      <c r="E672" t="s">
        <v>22</v>
      </c>
      <c r="F672">
        <v>4875.75</v>
      </c>
      <c r="G672">
        <f t="shared" si="12"/>
        <v>1324936.3049999999</v>
      </c>
      <c r="H672" t="str">
        <f>IF(BOQ_Table[[#This Row],[Amount]]&gt;100000,"Over Budget","OK")</f>
        <v>Over Budget</v>
      </c>
      <c r="I672" t="str">
        <f>IF(OR(BOQ_Table[[#This Row],[Quantity]]="",BOQ_Table[[#This Row],[Rate]]=""),"Missing","OK")</f>
        <v>OK</v>
      </c>
    </row>
    <row r="673" spans="1:9" x14ac:dyDescent="0.35">
      <c r="A673" t="s">
        <v>697</v>
      </c>
      <c r="B673" t="s">
        <v>16</v>
      </c>
      <c r="C673" t="s">
        <v>17</v>
      </c>
      <c r="D673">
        <v>264.92</v>
      </c>
      <c r="E673" t="s">
        <v>18</v>
      </c>
      <c r="F673">
        <v>2797.7</v>
      </c>
      <c r="G673">
        <f t="shared" si="12"/>
        <v>741166.68400000001</v>
      </c>
      <c r="H673" t="str">
        <f>IF(BOQ_Table[[#This Row],[Amount]]&gt;100000,"Over Budget","OK")</f>
        <v>Over Budget</v>
      </c>
      <c r="I673" t="str">
        <f>IF(OR(BOQ_Table[[#This Row],[Quantity]]="",BOQ_Table[[#This Row],[Rate]]=""),"Missing","OK")</f>
        <v>OK</v>
      </c>
    </row>
    <row r="674" spans="1:9" x14ac:dyDescent="0.35">
      <c r="A674" t="s">
        <v>698</v>
      </c>
      <c r="B674" t="s">
        <v>30</v>
      </c>
      <c r="C674" t="s">
        <v>8</v>
      </c>
      <c r="D674">
        <v>104.52</v>
      </c>
      <c r="E674" t="s">
        <v>18</v>
      </c>
      <c r="F674">
        <v>3379.64</v>
      </c>
      <c r="G674">
        <f t="shared" si="12"/>
        <v>353239.97279999999</v>
      </c>
      <c r="H674" t="str">
        <f>IF(BOQ_Table[[#This Row],[Amount]]&gt;100000,"Over Budget","OK")</f>
        <v>Over Budget</v>
      </c>
      <c r="I674" t="str">
        <f>IF(OR(BOQ_Table[[#This Row],[Quantity]]="",BOQ_Table[[#This Row],[Rate]]=""),"Missing","OK")</f>
        <v>OK</v>
      </c>
    </row>
    <row r="675" spans="1:9" x14ac:dyDescent="0.35">
      <c r="A675" t="s">
        <v>699</v>
      </c>
      <c r="B675" t="s">
        <v>16</v>
      </c>
      <c r="C675" t="s">
        <v>38</v>
      </c>
      <c r="D675">
        <v>141.65</v>
      </c>
      <c r="E675" t="s">
        <v>14</v>
      </c>
      <c r="F675">
        <v>2492.77</v>
      </c>
      <c r="G675">
        <f t="shared" si="12"/>
        <v>353100.87050000002</v>
      </c>
      <c r="H675" t="str">
        <f>IF(BOQ_Table[[#This Row],[Amount]]&gt;100000,"Over Budget","OK")</f>
        <v>Over Budget</v>
      </c>
      <c r="I675" t="str">
        <f>IF(OR(BOQ_Table[[#This Row],[Quantity]]="",BOQ_Table[[#This Row],[Rate]]=""),"Missing","OK")</f>
        <v>OK</v>
      </c>
    </row>
    <row r="676" spans="1:9" x14ac:dyDescent="0.35">
      <c r="A676" t="s">
        <v>700</v>
      </c>
      <c r="B676" t="s">
        <v>32</v>
      </c>
      <c r="C676" t="s">
        <v>38</v>
      </c>
      <c r="D676">
        <v>192.15</v>
      </c>
      <c r="E676" t="s">
        <v>9</v>
      </c>
      <c r="F676">
        <v>1793.35</v>
      </c>
      <c r="G676">
        <f t="shared" si="12"/>
        <v>344592.20250000001</v>
      </c>
      <c r="H676" t="str">
        <f>IF(BOQ_Table[[#This Row],[Amount]]&gt;100000,"Over Budget","OK")</f>
        <v>Over Budget</v>
      </c>
      <c r="I676" t="str">
        <f>IF(OR(BOQ_Table[[#This Row],[Quantity]]="",BOQ_Table[[#This Row],[Rate]]=""),"Missing","OK")</f>
        <v>OK</v>
      </c>
    </row>
    <row r="677" spans="1:9" x14ac:dyDescent="0.35">
      <c r="A677" t="s">
        <v>701</v>
      </c>
      <c r="B677" t="s">
        <v>20</v>
      </c>
      <c r="C677" t="s">
        <v>21</v>
      </c>
      <c r="D677">
        <v>280.24</v>
      </c>
      <c r="E677" t="s">
        <v>14</v>
      </c>
      <c r="F677">
        <v>2742.62</v>
      </c>
      <c r="G677">
        <f t="shared" si="12"/>
        <v>768591.82880000002</v>
      </c>
      <c r="H677" t="str">
        <f>IF(BOQ_Table[[#This Row],[Amount]]&gt;100000,"Over Budget","OK")</f>
        <v>Over Budget</v>
      </c>
      <c r="I677" t="str">
        <f>IF(OR(BOQ_Table[[#This Row],[Quantity]]="",BOQ_Table[[#This Row],[Rate]]=""),"Missing","OK")</f>
        <v>OK</v>
      </c>
    </row>
    <row r="678" spans="1:9" x14ac:dyDescent="0.35">
      <c r="A678" t="s">
        <v>702</v>
      </c>
      <c r="B678" t="s">
        <v>30</v>
      </c>
      <c r="C678" t="s">
        <v>38</v>
      </c>
      <c r="D678">
        <v>50.93</v>
      </c>
      <c r="E678" t="s">
        <v>22</v>
      </c>
      <c r="F678">
        <v>369.18</v>
      </c>
      <c r="G678">
        <f t="shared" si="12"/>
        <v>18802.3374</v>
      </c>
      <c r="H678" t="str">
        <f>IF(BOQ_Table[[#This Row],[Amount]]&gt;100000,"Over Budget","OK")</f>
        <v>OK</v>
      </c>
      <c r="I678" t="str">
        <f>IF(OR(BOQ_Table[[#This Row],[Quantity]]="",BOQ_Table[[#This Row],[Rate]]=""),"Missing","OK")</f>
        <v>OK</v>
      </c>
    </row>
    <row r="679" spans="1:9" x14ac:dyDescent="0.35">
      <c r="A679" t="s">
        <v>703</v>
      </c>
      <c r="B679" t="s">
        <v>40</v>
      </c>
      <c r="C679" t="s">
        <v>21</v>
      </c>
      <c r="D679">
        <v>311.76</v>
      </c>
      <c r="E679" t="s">
        <v>27</v>
      </c>
      <c r="F679">
        <v>4260.8500000000004</v>
      </c>
      <c r="G679">
        <f t="shared" si="12"/>
        <v>1328362.5960000001</v>
      </c>
      <c r="H679" t="str">
        <f>IF(BOQ_Table[[#This Row],[Amount]]&gt;100000,"Over Budget","OK")</f>
        <v>Over Budget</v>
      </c>
      <c r="I679" t="str">
        <f>IF(OR(BOQ_Table[[#This Row],[Quantity]]="",BOQ_Table[[#This Row],[Rate]]=""),"Missing","OK")</f>
        <v>OK</v>
      </c>
    </row>
    <row r="680" spans="1:9" x14ac:dyDescent="0.35">
      <c r="A680" t="s">
        <v>704</v>
      </c>
      <c r="B680" t="s">
        <v>32</v>
      </c>
      <c r="C680" t="s">
        <v>12</v>
      </c>
      <c r="D680">
        <v>300.89</v>
      </c>
      <c r="E680" t="s">
        <v>14</v>
      </c>
      <c r="F680">
        <v>4681.4799999999996</v>
      </c>
      <c r="G680">
        <f t="shared" si="12"/>
        <v>1408610.5171999999</v>
      </c>
      <c r="H680" t="str">
        <f>IF(BOQ_Table[[#This Row],[Amount]]&gt;100000,"Over Budget","OK")</f>
        <v>Over Budget</v>
      </c>
      <c r="I680" t="str">
        <f>IF(OR(BOQ_Table[[#This Row],[Quantity]]="",BOQ_Table[[#This Row],[Rate]]=""),"Missing","OK")</f>
        <v>OK</v>
      </c>
    </row>
    <row r="681" spans="1:9" x14ac:dyDescent="0.35">
      <c r="A681" t="s">
        <v>705</v>
      </c>
      <c r="B681" t="s">
        <v>30</v>
      </c>
      <c r="C681" t="s">
        <v>21</v>
      </c>
      <c r="D681">
        <v>313.83999999999997</v>
      </c>
      <c r="E681" t="s">
        <v>18</v>
      </c>
      <c r="F681">
        <v>4474.8100000000004</v>
      </c>
      <c r="G681">
        <f t="shared" si="12"/>
        <v>1404374.3703999999</v>
      </c>
      <c r="H681" t="str">
        <f>IF(BOQ_Table[[#This Row],[Amount]]&gt;100000,"Over Budget","OK")</f>
        <v>Over Budget</v>
      </c>
      <c r="I681" t="str">
        <f>IF(OR(BOQ_Table[[#This Row],[Quantity]]="",BOQ_Table[[#This Row],[Rate]]=""),"Missing","OK")</f>
        <v>OK</v>
      </c>
    </row>
    <row r="682" spans="1:9" x14ac:dyDescent="0.35">
      <c r="A682" t="s">
        <v>706</v>
      </c>
      <c r="B682" t="s">
        <v>56</v>
      </c>
      <c r="C682" t="s">
        <v>38</v>
      </c>
      <c r="D682">
        <v>133.69</v>
      </c>
      <c r="E682" t="s">
        <v>18</v>
      </c>
      <c r="F682">
        <v>3124.67</v>
      </c>
      <c r="G682">
        <f t="shared" si="12"/>
        <v>417737.1323</v>
      </c>
      <c r="H682" t="str">
        <f>IF(BOQ_Table[[#This Row],[Amount]]&gt;100000,"Over Budget","OK")</f>
        <v>Over Budget</v>
      </c>
      <c r="I682" t="str">
        <f>IF(OR(BOQ_Table[[#This Row],[Quantity]]="",BOQ_Table[[#This Row],[Rate]]=""),"Missing","OK")</f>
        <v>OK</v>
      </c>
    </row>
    <row r="683" spans="1:9" x14ac:dyDescent="0.35">
      <c r="A683" t="s">
        <v>707</v>
      </c>
      <c r="B683" t="s">
        <v>20</v>
      </c>
      <c r="C683" t="s">
        <v>38</v>
      </c>
      <c r="D683">
        <v>293.82</v>
      </c>
      <c r="E683" t="s">
        <v>27</v>
      </c>
      <c r="F683">
        <v>3820.03</v>
      </c>
      <c r="G683">
        <f t="shared" si="12"/>
        <v>1122401.2146000001</v>
      </c>
      <c r="H683" t="str">
        <f>IF(BOQ_Table[[#This Row],[Amount]]&gt;100000,"Over Budget","OK")</f>
        <v>Over Budget</v>
      </c>
      <c r="I683" t="str">
        <f>IF(OR(BOQ_Table[[#This Row],[Quantity]]="",BOQ_Table[[#This Row],[Rate]]=""),"Missing","OK")</f>
        <v>OK</v>
      </c>
    </row>
    <row r="684" spans="1:9" x14ac:dyDescent="0.35">
      <c r="A684" t="s">
        <v>708</v>
      </c>
      <c r="B684" t="s">
        <v>11</v>
      </c>
      <c r="C684" t="s">
        <v>38</v>
      </c>
      <c r="D684">
        <v>396.14</v>
      </c>
      <c r="E684" t="s">
        <v>14</v>
      </c>
      <c r="F684">
        <v>3666.02</v>
      </c>
      <c r="G684">
        <f t="shared" si="12"/>
        <v>1452257.1628</v>
      </c>
      <c r="H684" t="str">
        <f>IF(BOQ_Table[[#This Row],[Amount]]&gt;100000,"Over Budget","OK")</f>
        <v>Over Budget</v>
      </c>
      <c r="I684" t="str">
        <f>IF(OR(BOQ_Table[[#This Row],[Quantity]]="",BOQ_Table[[#This Row],[Rate]]=""),"Missing","OK")</f>
        <v>OK</v>
      </c>
    </row>
    <row r="685" spans="1:9" x14ac:dyDescent="0.35">
      <c r="A685" t="s">
        <v>709</v>
      </c>
      <c r="B685" t="s">
        <v>56</v>
      </c>
      <c r="C685" t="s">
        <v>8</v>
      </c>
      <c r="D685">
        <v>384.25</v>
      </c>
      <c r="E685" t="s">
        <v>14</v>
      </c>
      <c r="F685">
        <v>745.93</v>
      </c>
      <c r="G685">
        <f t="shared" si="12"/>
        <v>286623.60249999998</v>
      </c>
      <c r="H685" t="str">
        <f>IF(BOQ_Table[[#This Row],[Amount]]&gt;100000,"Over Budget","OK")</f>
        <v>Over Budget</v>
      </c>
      <c r="I685" t="str">
        <f>IF(OR(BOQ_Table[[#This Row],[Quantity]]="",BOQ_Table[[#This Row],[Rate]]=""),"Missing","OK")</f>
        <v>OK</v>
      </c>
    </row>
    <row r="686" spans="1:9" x14ac:dyDescent="0.35">
      <c r="A686" t="s">
        <v>710</v>
      </c>
      <c r="B686" t="s">
        <v>46</v>
      </c>
      <c r="C686" t="s">
        <v>12</v>
      </c>
      <c r="D686">
        <v>177.07</v>
      </c>
      <c r="E686" t="s">
        <v>9</v>
      </c>
      <c r="F686">
        <v>1124.5899999999999</v>
      </c>
      <c r="G686">
        <f t="shared" si="12"/>
        <v>199131.15129999997</v>
      </c>
      <c r="H686" t="str">
        <f>IF(BOQ_Table[[#This Row],[Amount]]&gt;100000,"Over Budget","OK")</f>
        <v>Over Budget</v>
      </c>
      <c r="I686" t="str">
        <f>IF(OR(BOQ_Table[[#This Row],[Quantity]]="",BOQ_Table[[#This Row],[Rate]]=""),"Missing","OK")</f>
        <v>OK</v>
      </c>
    </row>
    <row r="687" spans="1:9" x14ac:dyDescent="0.35">
      <c r="A687" t="s">
        <v>711</v>
      </c>
      <c r="B687" t="s">
        <v>46</v>
      </c>
      <c r="C687" t="s">
        <v>12</v>
      </c>
      <c r="D687">
        <v>260.51</v>
      </c>
      <c r="E687" t="s">
        <v>18</v>
      </c>
      <c r="F687">
        <v>3497.94</v>
      </c>
      <c r="G687">
        <f t="shared" si="12"/>
        <v>911248.34939999995</v>
      </c>
      <c r="H687" t="str">
        <f>IF(BOQ_Table[[#This Row],[Amount]]&gt;100000,"Over Budget","OK")</f>
        <v>Over Budget</v>
      </c>
      <c r="I687" t="str">
        <f>IF(OR(BOQ_Table[[#This Row],[Quantity]]="",BOQ_Table[[#This Row],[Rate]]=""),"Missing","OK")</f>
        <v>OK</v>
      </c>
    </row>
    <row r="688" spans="1:9" x14ac:dyDescent="0.35">
      <c r="A688" t="s">
        <v>712</v>
      </c>
      <c r="B688" t="s">
        <v>40</v>
      </c>
      <c r="C688" t="s">
        <v>12</v>
      </c>
      <c r="D688">
        <v>52.86</v>
      </c>
      <c r="E688" t="s">
        <v>9</v>
      </c>
      <c r="F688">
        <v>831.67</v>
      </c>
      <c r="G688">
        <f t="shared" si="12"/>
        <v>43962.076199999996</v>
      </c>
      <c r="H688" t="str">
        <f>IF(BOQ_Table[[#This Row],[Amount]]&gt;100000,"Over Budget","OK")</f>
        <v>OK</v>
      </c>
      <c r="I688" t="str">
        <f>IF(OR(BOQ_Table[[#This Row],[Quantity]]="",BOQ_Table[[#This Row],[Rate]]=""),"Missing","OK")</f>
        <v>OK</v>
      </c>
    </row>
    <row r="689" spans="1:9" x14ac:dyDescent="0.35">
      <c r="A689" t="s">
        <v>713</v>
      </c>
      <c r="B689" t="s">
        <v>7</v>
      </c>
      <c r="C689" t="s">
        <v>38</v>
      </c>
      <c r="D689">
        <v>366.68</v>
      </c>
      <c r="E689" t="s">
        <v>18</v>
      </c>
      <c r="F689">
        <v>2479.9499999999998</v>
      </c>
      <c r="G689">
        <f t="shared" si="12"/>
        <v>909348.06599999999</v>
      </c>
      <c r="H689" t="str">
        <f>IF(BOQ_Table[[#This Row],[Amount]]&gt;100000,"Over Budget","OK")</f>
        <v>Over Budget</v>
      </c>
      <c r="I689" t="str">
        <f>IF(OR(BOQ_Table[[#This Row],[Quantity]]="",BOQ_Table[[#This Row],[Rate]]=""),"Missing","OK")</f>
        <v>OK</v>
      </c>
    </row>
    <row r="690" spans="1:9" x14ac:dyDescent="0.35">
      <c r="A690" t="s">
        <v>714</v>
      </c>
      <c r="B690" t="s">
        <v>46</v>
      </c>
      <c r="C690" t="s">
        <v>17</v>
      </c>
      <c r="D690">
        <v>443.3</v>
      </c>
      <c r="E690" t="s">
        <v>14</v>
      </c>
      <c r="F690">
        <v>2233.19</v>
      </c>
      <c r="G690">
        <f t="shared" si="12"/>
        <v>989973.12700000009</v>
      </c>
      <c r="H690" t="str">
        <f>IF(BOQ_Table[[#This Row],[Amount]]&gt;100000,"Over Budget","OK")</f>
        <v>Over Budget</v>
      </c>
      <c r="I690" t="str">
        <f>IF(OR(BOQ_Table[[#This Row],[Quantity]]="",BOQ_Table[[#This Row],[Rate]]=""),"Missing","OK")</f>
        <v>OK</v>
      </c>
    </row>
    <row r="691" spans="1:9" x14ac:dyDescent="0.35">
      <c r="A691" t="s">
        <v>715</v>
      </c>
      <c r="B691" t="s">
        <v>56</v>
      </c>
      <c r="C691" t="s">
        <v>21</v>
      </c>
      <c r="D691">
        <v>92.16</v>
      </c>
      <c r="E691" t="s">
        <v>18</v>
      </c>
      <c r="F691">
        <v>1416.98</v>
      </c>
      <c r="G691">
        <f t="shared" si="12"/>
        <v>130588.8768</v>
      </c>
      <c r="H691" t="str">
        <f>IF(BOQ_Table[[#This Row],[Amount]]&gt;100000,"Over Budget","OK")</f>
        <v>Over Budget</v>
      </c>
      <c r="I691" t="str">
        <f>IF(OR(BOQ_Table[[#This Row],[Quantity]]="",BOQ_Table[[#This Row],[Rate]]=""),"Missing","OK")</f>
        <v>OK</v>
      </c>
    </row>
    <row r="692" spans="1:9" x14ac:dyDescent="0.35">
      <c r="A692" t="s">
        <v>716</v>
      </c>
      <c r="B692" t="s">
        <v>16</v>
      </c>
      <c r="C692" t="s">
        <v>38</v>
      </c>
      <c r="D692">
        <v>280.93</v>
      </c>
      <c r="E692" t="s">
        <v>18</v>
      </c>
      <c r="F692">
        <v>4609.21</v>
      </c>
      <c r="G692">
        <f t="shared" si="12"/>
        <v>1294865.3652999999</v>
      </c>
      <c r="H692" t="str">
        <f>IF(BOQ_Table[[#This Row],[Amount]]&gt;100000,"Over Budget","OK")</f>
        <v>Over Budget</v>
      </c>
      <c r="I692" t="str">
        <f>IF(OR(BOQ_Table[[#This Row],[Quantity]]="",BOQ_Table[[#This Row],[Rate]]=""),"Missing","OK")</f>
        <v>OK</v>
      </c>
    </row>
    <row r="693" spans="1:9" x14ac:dyDescent="0.35">
      <c r="A693" t="s">
        <v>717</v>
      </c>
      <c r="B693" t="s">
        <v>46</v>
      </c>
      <c r="C693" t="s">
        <v>17</v>
      </c>
      <c r="D693">
        <v>452.5</v>
      </c>
      <c r="E693" t="s">
        <v>14</v>
      </c>
      <c r="F693">
        <v>1804.11</v>
      </c>
      <c r="G693">
        <f t="shared" si="12"/>
        <v>816359.77499999991</v>
      </c>
      <c r="H693" t="str">
        <f>IF(BOQ_Table[[#This Row],[Amount]]&gt;100000,"Over Budget","OK")</f>
        <v>Over Budget</v>
      </c>
      <c r="I693" t="str">
        <f>IF(OR(BOQ_Table[[#This Row],[Quantity]]="",BOQ_Table[[#This Row],[Rate]]=""),"Missing","OK")</f>
        <v>OK</v>
      </c>
    </row>
    <row r="694" spans="1:9" x14ac:dyDescent="0.35">
      <c r="A694" t="s">
        <v>718</v>
      </c>
      <c r="B694" t="s">
        <v>40</v>
      </c>
      <c r="C694" t="s">
        <v>8</v>
      </c>
      <c r="D694">
        <v>336.88</v>
      </c>
      <c r="E694" t="s">
        <v>14</v>
      </c>
      <c r="F694">
        <v>2263.23</v>
      </c>
      <c r="G694">
        <f t="shared" si="12"/>
        <v>762436.92240000004</v>
      </c>
      <c r="H694" t="str">
        <f>IF(BOQ_Table[[#This Row],[Amount]]&gt;100000,"Over Budget","OK")</f>
        <v>Over Budget</v>
      </c>
      <c r="I694" t="str">
        <f>IF(OR(BOQ_Table[[#This Row],[Quantity]]="",BOQ_Table[[#This Row],[Rate]]=""),"Missing","OK")</f>
        <v>OK</v>
      </c>
    </row>
    <row r="695" spans="1:9" x14ac:dyDescent="0.35">
      <c r="A695" t="s">
        <v>719</v>
      </c>
      <c r="B695" t="s">
        <v>30</v>
      </c>
      <c r="C695" t="s">
        <v>8</v>
      </c>
      <c r="D695">
        <v>165.11</v>
      </c>
      <c r="E695" t="s">
        <v>14</v>
      </c>
      <c r="F695">
        <v>184.51</v>
      </c>
      <c r="G695">
        <f t="shared" si="12"/>
        <v>30464.446100000001</v>
      </c>
      <c r="H695" t="str">
        <f>IF(BOQ_Table[[#This Row],[Amount]]&gt;100000,"Over Budget","OK")</f>
        <v>OK</v>
      </c>
      <c r="I695" t="str">
        <f>IF(OR(BOQ_Table[[#This Row],[Quantity]]="",BOQ_Table[[#This Row],[Rate]]=""),"Missing","OK")</f>
        <v>OK</v>
      </c>
    </row>
    <row r="696" spans="1:9" x14ac:dyDescent="0.35">
      <c r="A696" t="s">
        <v>720</v>
      </c>
      <c r="B696" t="s">
        <v>40</v>
      </c>
      <c r="C696" t="s">
        <v>12</v>
      </c>
      <c r="D696">
        <v>352.53</v>
      </c>
      <c r="E696" t="s">
        <v>14</v>
      </c>
      <c r="F696">
        <v>1304.69</v>
      </c>
      <c r="G696">
        <f t="shared" si="12"/>
        <v>459942.36569999997</v>
      </c>
      <c r="H696" t="str">
        <f>IF(BOQ_Table[[#This Row],[Amount]]&gt;100000,"Over Budget","OK")</f>
        <v>Over Budget</v>
      </c>
      <c r="I696" t="str">
        <f>IF(OR(BOQ_Table[[#This Row],[Quantity]]="",BOQ_Table[[#This Row],[Rate]]=""),"Missing","OK")</f>
        <v>OK</v>
      </c>
    </row>
    <row r="697" spans="1:9" x14ac:dyDescent="0.35">
      <c r="A697" t="s">
        <v>721</v>
      </c>
      <c r="B697" t="s">
        <v>46</v>
      </c>
      <c r="C697" t="s">
        <v>8</v>
      </c>
      <c r="D697">
        <v>138.53</v>
      </c>
      <c r="E697" t="s">
        <v>27</v>
      </c>
      <c r="F697">
        <v>928.69</v>
      </c>
      <c r="G697">
        <f t="shared" si="12"/>
        <v>128651.42570000001</v>
      </c>
      <c r="H697" t="str">
        <f>IF(BOQ_Table[[#This Row],[Amount]]&gt;100000,"Over Budget","OK")</f>
        <v>Over Budget</v>
      </c>
      <c r="I697" t="str">
        <f>IF(OR(BOQ_Table[[#This Row],[Quantity]]="",BOQ_Table[[#This Row],[Rate]]=""),"Missing","OK")</f>
        <v>OK</v>
      </c>
    </row>
    <row r="698" spans="1:9" x14ac:dyDescent="0.35">
      <c r="A698" t="s">
        <v>722</v>
      </c>
      <c r="B698" t="s">
        <v>42</v>
      </c>
      <c r="C698" t="s">
        <v>12</v>
      </c>
      <c r="D698">
        <v>218.69</v>
      </c>
      <c r="E698" t="s">
        <v>14</v>
      </c>
      <c r="F698">
        <v>748.52</v>
      </c>
      <c r="G698">
        <f t="shared" si="12"/>
        <v>163693.8388</v>
      </c>
      <c r="H698" t="str">
        <f>IF(BOQ_Table[[#This Row],[Amount]]&gt;100000,"Over Budget","OK")</f>
        <v>Over Budget</v>
      </c>
      <c r="I698" t="str">
        <f>IF(OR(BOQ_Table[[#This Row],[Quantity]]="",BOQ_Table[[#This Row],[Rate]]=""),"Missing","OK")</f>
        <v>OK</v>
      </c>
    </row>
    <row r="699" spans="1:9" x14ac:dyDescent="0.35">
      <c r="A699" t="s">
        <v>723</v>
      </c>
      <c r="B699" t="s">
        <v>32</v>
      </c>
      <c r="C699" t="s">
        <v>8</v>
      </c>
      <c r="D699">
        <v>92.8</v>
      </c>
      <c r="E699" t="s">
        <v>27</v>
      </c>
      <c r="F699">
        <v>4177.3</v>
      </c>
      <c r="G699">
        <f t="shared" si="12"/>
        <v>387653.44</v>
      </c>
      <c r="H699" t="str">
        <f>IF(BOQ_Table[[#This Row],[Amount]]&gt;100000,"Over Budget","OK")</f>
        <v>Over Budget</v>
      </c>
      <c r="I699" t="str">
        <f>IF(OR(BOQ_Table[[#This Row],[Quantity]]="",BOQ_Table[[#This Row],[Rate]]=""),"Missing","OK")</f>
        <v>OK</v>
      </c>
    </row>
    <row r="700" spans="1:9" x14ac:dyDescent="0.35">
      <c r="A700" t="s">
        <v>724</v>
      </c>
      <c r="B700" t="s">
        <v>42</v>
      </c>
      <c r="C700" t="s">
        <v>17</v>
      </c>
      <c r="D700">
        <v>146.57</v>
      </c>
      <c r="E700" t="s">
        <v>27</v>
      </c>
      <c r="F700">
        <v>3592.74</v>
      </c>
      <c r="G700">
        <f t="shared" si="12"/>
        <v>526587.90179999999</v>
      </c>
      <c r="H700" t="str">
        <f>IF(BOQ_Table[[#This Row],[Amount]]&gt;100000,"Over Budget","OK")</f>
        <v>Over Budget</v>
      </c>
      <c r="I700" t="str">
        <f>IF(OR(BOQ_Table[[#This Row],[Quantity]]="",BOQ_Table[[#This Row],[Rate]]=""),"Missing","OK")</f>
        <v>OK</v>
      </c>
    </row>
    <row r="701" spans="1:9" x14ac:dyDescent="0.35">
      <c r="A701" t="s">
        <v>725</v>
      </c>
      <c r="B701" t="s">
        <v>30</v>
      </c>
      <c r="C701" t="s">
        <v>38</v>
      </c>
      <c r="D701">
        <v>482.61</v>
      </c>
      <c r="E701" t="s">
        <v>9</v>
      </c>
      <c r="F701">
        <v>308.33999999999997</v>
      </c>
      <c r="G701">
        <f t="shared" si="12"/>
        <v>148807.96739999999</v>
      </c>
      <c r="H701" t="str">
        <f>IF(BOQ_Table[[#This Row],[Amount]]&gt;100000,"Over Budget","OK")</f>
        <v>Over Budget</v>
      </c>
      <c r="I701" t="str">
        <f>IF(OR(BOQ_Table[[#This Row],[Quantity]]="",BOQ_Table[[#This Row],[Rate]]=""),"Missing","OK")</f>
        <v>OK</v>
      </c>
    </row>
    <row r="702" spans="1:9" x14ac:dyDescent="0.35">
      <c r="A702" t="s">
        <v>726</v>
      </c>
      <c r="B702" t="s">
        <v>46</v>
      </c>
      <c r="C702" t="s">
        <v>17</v>
      </c>
      <c r="D702">
        <v>231.38</v>
      </c>
      <c r="E702" t="s">
        <v>18</v>
      </c>
      <c r="F702">
        <v>729.85</v>
      </c>
      <c r="G702">
        <f t="shared" si="12"/>
        <v>168872.693</v>
      </c>
      <c r="H702" t="str">
        <f>IF(BOQ_Table[[#This Row],[Amount]]&gt;100000,"Over Budget","OK")</f>
        <v>Over Budget</v>
      </c>
      <c r="I702" t="str">
        <f>IF(OR(BOQ_Table[[#This Row],[Quantity]]="",BOQ_Table[[#This Row],[Rate]]=""),"Missing","OK")</f>
        <v>OK</v>
      </c>
    </row>
    <row r="703" spans="1:9" x14ac:dyDescent="0.35">
      <c r="A703" t="s">
        <v>727</v>
      </c>
      <c r="B703" t="s">
        <v>20</v>
      </c>
      <c r="C703" t="s">
        <v>17</v>
      </c>
      <c r="D703">
        <v>24.34</v>
      </c>
      <c r="E703" t="s">
        <v>14</v>
      </c>
      <c r="F703">
        <v>2085.2600000000002</v>
      </c>
      <c r="G703">
        <f t="shared" si="12"/>
        <v>50755.228400000007</v>
      </c>
      <c r="H703" t="str">
        <f>IF(BOQ_Table[[#This Row],[Amount]]&gt;100000,"Over Budget","OK")</f>
        <v>OK</v>
      </c>
      <c r="I703" t="str">
        <f>IF(OR(BOQ_Table[[#This Row],[Quantity]]="",BOQ_Table[[#This Row],[Rate]]=""),"Missing","OK")</f>
        <v>OK</v>
      </c>
    </row>
    <row r="704" spans="1:9" x14ac:dyDescent="0.35">
      <c r="A704" t="s">
        <v>728</v>
      </c>
      <c r="B704" t="s">
        <v>11</v>
      </c>
      <c r="C704" t="s">
        <v>38</v>
      </c>
      <c r="D704">
        <v>362.73</v>
      </c>
      <c r="E704" t="s">
        <v>22</v>
      </c>
      <c r="F704">
        <v>4142.84</v>
      </c>
      <c r="G704">
        <f t="shared" si="12"/>
        <v>1502732.3532</v>
      </c>
      <c r="H704" t="str">
        <f>IF(BOQ_Table[[#This Row],[Amount]]&gt;100000,"Over Budget","OK")</f>
        <v>Over Budget</v>
      </c>
      <c r="I704" t="str">
        <f>IF(OR(BOQ_Table[[#This Row],[Quantity]]="",BOQ_Table[[#This Row],[Rate]]=""),"Missing","OK")</f>
        <v>OK</v>
      </c>
    </row>
    <row r="705" spans="1:9" x14ac:dyDescent="0.35">
      <c r="A705" t="s">
        <v>729</v>
      </c>
      <c r="B705" t="s">
        <v>40</v>
      </c>
      <c r="C705" t="s">
        <v>12</v>
      </c>
      <c r="D705">
        <v>337.96</v>
      </c>
      <c r="E705" t="s">
        <v>18</v>
      </c>
      <c r="F705">
        <v>1065.27</v>
      </c>
      <c r="G705">
        <f t="shared" si="12"/>
        <v>360018.64919999999</v>
      </c>
      <c r="H705" t="str">
        <f>IF(BOQ_Table[[#This Row],[Amount]]&gt;100000,"Over Budget","OK")</f>
        <v>Over Budget</v>
      </c>
      <c r="I705" t="str">
        <f>IF(OR(BOQ_Table[[#This Row],[Quantity]]="",BOQ_Table[[#This Row],[Rate]]=""),"Missing","OK")</f>
        <v>OK</v>
      </c>
    </row>
    <row r="706" spans="1:9" x14ac:dyDescent="0.35">
      <c r="A706" t="s">
        <v>730</v>
      </c>
      <c r="B706" t="s">
        <v>20</v>
      </c>
      <c r="C706" t="s">
        <v>17</v>
      </c>
      <c r="D706">
        <v>76.53</v>
      </c>
      <c r="E706" t="s">
        <v>14</v>
      </c>
      <c r="F706">
        <v>3712.7</v>
      </c>
      <c r="G706">
        <f t="shared" ref="G706:G769" si="13">D706*F706</f>
        <v>284132.93099999998</v>
      </c>
      <c r="H706" t="str">
        <f>IF(BOQ_Table[[#This Row],[Amount]]&gt;100000,"Over Budget","OK")</f>
        <v>Over Budget</v>
      </c>
      <c r="I706" t="str">
        <f>IF(OR(BOQ_Table[[#This Row],[Quantity]]="",BOQ_Table[[#This Row],[Rate]]=""),"Missing","OK")</f>
        <v>OK</v>
      </c>
    </row>
    <row r="707" spans="1:9" x14ac:dyDescent="0.35">
      <c r="A707" t="s">
        <v>731</v>
      </c>
      <c r="B707" t="s">
        <v>7</v>
      </c>
      <c r="C707" t="s">
        <v>21</v>
      </c>
      <c r="D707">
        <v>91.71</v>
      </c>
      <c r="E707" t="s">
        <v>27</v>
      </c>
      <c r="F707">
        <v>1140.57</v>
      </c>
      <c r="G707">
        <f t="shared" si="13"/>
        <v>104601.67469999999</v>
      </c>
      <c r="H707" t="str">
        <f>IF(BOQ_Table[[#This Row],[Amount]]&gt;100000,"Over Budget","OK")</f>
        <v>Over Budget</v>
      </c>
      <c r="I707" t="str">
        <f>IF(OR(BOQ_Table[[#This Row],[Quantity]]="",BOQ_Table[[#This Row],[Rate]]=""),"Missing","OK")</f>
        <v>OK</v>
      </c>
    </row>
    <row r="708" spans="1:9" x14ac:dyDescent="0.35">
      <c r="A708" t="s">
        <v>732</v>
      </c>
      <c r="B708" t="s">
        <v>16</v>
      </c>
      <c r="C708" t="s">
        <v>21</v>
      </c>
      <c r="D708">
        <v>281.66000000000003</v>
      </c>
      <c r="E708" t="s">
        <v>27</v>
      </c>
      <c r="F708">
        <v>1871.63</v>
      </c>
      <c r="G708">
        <f t="shared" si="13"/>
        <v>527163.30580000009</v>
      </c>
      <c r="H708" t="str">
        <f>IF(BOQ_Table[[#This Row],[Amount]]&gt;100000,"Over Budget","OK")</f>
        <v>Over Budget</v>
      </c>
      <c r="I708" t="str">
        <f>IF(OR(BOQ_Table[[#This Row],[Quantity]]="",BOQ_Table[[#This Row],[Rate]]=""),"Missing","OK")</f>
        <v>OK</v>
      </c>
    </row>
    <row r="709" spans="1:9" x14ac:dyDescent="0.35">
      <c r="A709" t="s">
        <v>733</v>
      </c>
      <c r="B709" t="s">
        <v>42</v>
      </c>
      <c r="C709" t="s">
        <v>17</v>
      </c>
      <c r="D709">
        <v>388.73</v>
      </c>
      <c r="E709" t="s">
        <v>9</v>
      </c>
      <c r="F709">
        <v>4209.95</v>
      </c>
      <c r="G709">
        <f t="shared" si="13"/>
        <v>1636533.8635</v>
      </c>
      <c r="H709" t="str">
        <f>IF(BOQ_Table[[#This Row],[Amount]]&gt;100000,"Over Budget","OK")</f>
        <v>Over Budget</v>
      </c>
      <c r="I709" t="str">
        <f>IF(OR(BOQ_Table[[#This Row],[Quantity]]="",BOQ_Table[[#This Row],[Rate]]=""),"Missing","OK")</f>
        <v>OK</v>
      </c>
    </row>
    <row r="710" spans="1:9" x14ac:dyDescent="0.35">
      <c r="A710" t="s">
        <v>734</v>
      </c>
      <c r="B710" t="s">
        <v>20</v>
      </c>
      <c r="C710" t="s">
        <v>38</v>
      </c>
      <c r="D710">
        <v>357.69</v>
      </c>
      <c r="E710" t="s">
        <v>9</v>
      </c>
      <c r="F710">
        <v>823.4</v>
      </c>
      <c r="G710">
        <f t="shared" si="13"/>
        <v>294521.946</v>
      </c>
      <c r="H710" t="str">
        <f>IF(BOQ_Table[[#This Row],[Amount]]&gt;100000,"Over Budget","OK")</f>
        <v>Over Budget</v>
      </c>
      <c r="I710" t="str">
        <f>IF(OR(BOQ_Table[[#This Row],[Quantity]]="",BOQ_Table[[#This Row],[Rate]]=""),"Missing","OK")</f>
        <v>OK</v>
      </c>
    </row>
    <row r="711" spans="1:9" x14ac:dyDescent="0.35">
      <c r="A711" t="s">
        <v>735</v>
      </c>
      <c r="B711" t="s">
        <v>7</v>
      </c>
      <c r="C711" t="s">
        <v>8</v>
      </c>
      <c r="D711">
        <v>243.83</v>
      </c>
      <c r="E711" t="s">
        <v>27</v>
      </c>
      <c r="F711">
        <v>3891.32</v>
      </c>
      <c r="G711">
        <f t="shared" si="13"/>
        <v>948820.55560000008</v>
      </c>
      <c r="H711" t="str">
        <f>IF(BOQ_Table[[#This Row],[Amount]]&gt;100000,"Over Budget","OK")</f>
        <v>Over Budget</v>
      </c>
      <c r="I711" t="str">
        <f>IF(OR(BOQ_Table[[#This Row],[Quantity]]="",BOQ_Table[[#This Row],[Rate]]=""),"Missing","OK")</f>
        <v>OK</v>
      </c>
    </row>
    <row r="712" spans="1:9" x14ac:dyDescent="0.35">
      <c r="A712" t="s">
        <v>736</v>
      </c>
      <c r="B712" t="s">
        <v>32</v>
      </c>
      <c r="C712" t="s">
        <v>8</v>
      </c>
      <c r="D712">
        <v>218.06</v>
      </c>
      <c r="E712" t="s">
        <v>9</v>
      </c>
      <c r="F712">
        <v>324.04000000000002</v>
      </c>
      <c r="G712">
        <f t="shared" si="13"/>
        <v>70660.162400000001</v>
      </c>
      <c r="H712" t="str">
        <f>IF(BOQ_Table[[#This Row],[Amount]]&gt;100000,"Over Budget","OK")</f>
        <v>OK</v>
      </c>
      <c r="I712" t="str">
        <f>IF(OR(BOQ_Table[[#This Row],[Quantity]]="",BOQ_Table[[#This Row],[Rate]]=""),"Missing","OK")</f>
        <v>OK</v>
      </c>
    </row>
    <row r="713" spans="1:9" x14ac:dyDescent="0.35">
      <c r="A713" t="s">
        <v>737</v>
      </c>
      <c r="B713" t="s">
        <v>40</v>
      </c>
      <c r="C713" t="s">
        <v>8</v>
      </c>
      <c r="D713">
        <v>43.51</v>
      </c>
      <c r="E713" t="s">
        <v>14</v>
      </c>
      <c r="F713">
        <v>595.87</v>
      </c>
      <c r="G713">
        <f t="shared" si="13"/>
        <v>25926.3037</v>
      </c>
      <c r="H713" t="str">
        <f>IF(BOQ_Table[[#This Row],[Amount]]&gt;100000,"Over Budget","OK")</f>
        <v>OK</v>
      </c>
      <c r="I713" t="str">
        <f>IF(OR(BOQ_Table[[#This Row],[Quantity]]="",BOQ_Table[[#This Row],[Rate]]=""),"Missing","OK")</f>
        <v>OK</v>
      </c>
    </row>
    <row r="714" spans="1:9" x14ac:dyDescent="0.35">
      <c r="A714" t="s">
        <v>738</v>
      </c>
      <c r="B714" t="s">
        <v>40</v>
      </c>
      <c r="C714" t="s">
        <v>17</v>
      </c>
      <c r="D714">
        <v>87.06</v>
      </c>
      <c r="E714" t="s">
        <v>27</v>
      </c>
      <c r="F714">
        <v>3555.83</v>
      </c>
      <c r="G714">
        <f t="shared" si="13"/>
        <v>309570.55979999999</v>
      </c>
      <c r="H714" t="str">
        <f>IF(BOQ_Table[[#This Row],[Amount]]&gt;100000,"Over Budget","OK")</f>
        <v>Over Budget</v>
      </c>
      <c r="I714" t="str">
        <f>IF(OR(BOQ_Table[[#This Row],[Quantity]]="",BOQ_Table[[#This Row],[Rate]]=""),"Missing","OK")</f>
        <v>OK</v>
      </c>
    </row>
    <row r="715" spans="1:9" x14ac:dyDescent="0.35">
      <c r="A715" t="s">
        <v>739</v>
      </c>
      <c r="B715" t="s">
        <v>16</v>
      </c>
      <c r="C715" t="s">
        <v>17</v>
      </c>
      <c r="D715">
        <v>95.85</v>
      </c>
      <c r="E715" t="s">
        <v>14</v>
      </c>
      <c r="F715">
        <v>1968.39</v>
      </c>
      <c r="G715">
        <f t="shared" si="13"/>
        <v>188670.18150000001</v>
      </c>
      <c r="H715" t="str">
        <f>IF(BOQ_Table[[#This Row],[Amount]]&gt;100000,"Over Budget","OK")</f>
        <v>Over Budget</v>
      </c>
      <c r="I715" t="str">
        <f>IF(OR(BOQ_Table[[#This Row],[Quantity]]="",BOQ_Table[[#This Row],[Rate]]=""),"Missing","OK")</f>
        <v>OK</v>
      </c>
    </row>
    <row r="716" spans="1:9" x14ac:dyDescent="0.35">
      <c r="A716" t="s">
        <v>740</v>
      </c>
      <c r="B716" t="s">
        <v>56</v>
      </c>
      <c r="C716" t="s">
        <v>21</v>
      </c>
      <c r="D716">
        <v>205.84</v>
      </c>
      <c r="E716" t="s">
        <v>9</v>
      </c>
      <c r="F716">
        <v>4103.82</v>
      </c>
      <c r="G716">
        <f t="shared" si="13"/>
        <v>844730.3088</v>
      </c>
      <c r="H716" t="str">
        <f>IF(BOQ_Table[[#This Row],[Amount]]&gt;100000,"Over Budget","OK")</f>
        <v>Over Budget</v>
      </c>
      <c r="I716" t="str">
        <f>IF(OR(BOQ_Table[[#This Row],[Quantity]]="",BOQ_Table[[#This Row],[Rate]]=""),"Missing","OK")</f>
        <v>OK</v>
      </c>
    </row>
    <row r="717" spans="1:9" x14ac:dyDescent="0.35">
      <c r="A717" t="s">
        <v>741</v>
      </c>
      <c r="B717" t="s">
        <v>56</v>
      </c>
      <c r="C717" t="s">
        <v>12</v>
      </c>
      <c r="D717">
        <v>439.67</v>
      </c>
      <c r="E717" t="s">
        <v>9</v>
      </c>
      <c r="F717">
        <v>3294.58</v>
      </c>
      <c r="G717">
        <f t="shared" si="13"/>
        <v>1448527.9886</v>
      </c>
      <c r="H717" t="str">
        <f>IF(BOQ_Table[[#This Row],[Amount]]&gt;100000,"Over Budget","OK")</f>
        <v>Over Budget</v>
      </c>
      <c r="I717" t="str">
        <f>IF(OR(BOQ_Table[[#This Row],[Quantity]]="",BOQ_Table[[#This Row],[Rate]]=""),"Missing","OK")</f>
        <v>OK</v>
      </c>
    </row>
    <row r="718" spans="1:9" x14ac:dyDescent="0.35">
      <c r="A718" t="s">
        <v>742</v>
      </c>
      <c r="B718" t="s">
        <v>11</v>
      </c>
      <c r="C718" t="s">
        <v>12</v>
      </c>
      <c r="D718">
        <v>277.99</v>
      </c>
      <c r="E718" t="s">
        <v>14</v>
      </c>
      <c r="F718">
        <v>2042.5</v>
      </c>
      <c r="G718">
        <f t="shared" si="13"/>
        <v>567794.57500000007</v>
      </c>
      <c r="H718" t="str">
        <f>IF(BOQ_Table[[#This Row],[Amount]]&gt;100000,"Over Budget","OK")</f>
        <v>Over Budget</v>
      </c>
      <c r="I718" t="str">
        <f>IF(OR(BOQ_Table[[#This Row],[Quantity]]="",BOQ_Table[[#This Row],[Rate]]=""),"Missing","OK")</f>
        <v>OK</v>
      </c>
    </row>
    <row r="719" spans="1:9" x14ac:dyDescent="0.35">
      <c r="A719" t="s">
        <v>743</v>
      </c>
      <c r="B719" t="s">
        <v>56</v>
      </c>
      <c r="C719" t="s">
        <v>17</v>
      </c>
      <c r="D719">
        <v>463.88</v>
      </c>
      <c r="E719" t="s">
        <v>27</v>
      </c>
      <c r="F719">
        <v>3125.58</v>
      </c>
      <c r="G719">
        <f t="shared" si="13"/>
        <v>1449894.0504000001</v>
      </c>
      <c r="H719" t="str">
        <f>IF(BOQ_Table[[#This Row],[Amount]]&gt;100000,"Over Budget","OK")</f>
        <v>Over Budget</v>
      </c>
      <c r="I719" t="str">
        <f>IF(OR(BOQ_Table[[#This Row],[Quantity]]="",BOQ_Table[[#This Row],[Rate]]=""),"Missing","OK")</f>
        <v>OK</v>
      </c>
    </row>
    <row r="720" spans="1:9" x14ac:dyDescent="0.35">
      <c r="A720" t="s">
        <v>744</v>
      </c>
      <c r="B720" t="s">
        <v>46</v>
      </c>
      <c r="C720" t="s">
        <v>17</v>
      </c>
      <c r="D720">
        <v>11.89</v>
      </c>
      <c r="E720" t="s">
        <v>18</v>
      </c>
      <c r="F720">
        <v>2396.13</v>
      </c>
      <c r="G720">
        <f t="shared" si="13"/>
        <v>28489.985700000001</v>
      </c>
      <c r="H720" t="str">
        <f>IF(BOQ_Table[[#This Row],[Amount]]&gt;100000,"Over Budget","OK")</f>
        <v>OK</v>
      </c>
      <c r="I720" t="str">
        <f>IF(OR(BOQ_Table[[#This Row],[Quantity]]="",BOQ_Table[[#This Row],[Rate]]=""),"Missing","OK")</f>
        <v>OK</v>
      </c>
    </row>
    <row r="721" spans="1:9" x14ac:dyDescent="0.35">
      <c r="A721" t="s">
        <v>745</v>
      </c>
      <c r="B721" t="s">
        <v>46</v>
      </c>
      <c r="C721" t="s">
        <v>38</v>
      </c>
      <c r="D721">
        <v>78.72</v>
      </c>
      <c r="E721" t="s">
        <v>18</v>
      </c>
      <c r="F721">
        <v>872.51</v>
      </c>
      <c r="G721">
        <f t="shared" si="13"/>
        <v>68683.987200000003</v>
      </c>
      <c r="H721" t="str">
        <f>IF(BOQ_Table[[#This Row],[Amount]]&gt;100000,"Over Budget","OK")</f>
        <v>OK</v>
      </c>
      <c r="I721" t="str">
        <f>IF(OR(BOQ_Table[[#This Row],[Quantity]]="",BOQ_Table[[#This Row],[Rate]]=""),"Missing","OK")</f>
        <v>OK</v>
      </c>
    </row>
    <row r="722" spans="1:9" x14ac:dyDescent="0.35">
      <c r="A722" t="s">
        <v>746</v>
      </c>
      <c r="B722" t="s">
        <v>30</v>
      </c>
      <c r="C722" t="s">
        <v>12</v>
      </c>
      <c r="D722">
        <v>64.28</v>
      </c>
      <c r="E722" t="s">
        <v>14</v>
      </c>
      <c r="F722">
        <v>4937.79</v>
      </c>
      <c r="G722">
        <f t="shared" si="13"/>
        <v>317401.14120000001</v>
      </c>
      <c r="H722" t="str">
        <f>IF(BOQ_Table[[#This Row],[Amount]]&gt;100000,"Over Budget","OK")</f>
        <v>Over Budget</v>
      </c>
      <c r="I722" t="str">
        <f>IF(OR(BOQ_Table[[#This Row],[Quantity]]="",BOQ_Table[[#This Row],[Rate]]=""),"Missing","OK")</f>
        <v>OK</v>
      </c>
    </row>
    <row r="723" spans="1:9" x14ac:dyDescent="0.35">
      <c r="A723" t="s">
        <v>747</v>
      </c>
      <c r="B723" t="s">
        <v>16</v>
      </c>
      <c r="C723" t="s">
        <v>21</v>
      </c>
      <c r="D723">
        <v>234.53</v>
      </c>
      <c r="E723" t="s">
        <v>9</v>
      </c>
      <c r="F723">
        <v>1083.33</v>
      </c>
      <c r="G723">
        <f t="shared" si="13"/>
        <v>254073.38489999998</v>
      </c>
      <c r="H723" t="str">
        <f>IF(BOQ_Table[[#This Row],[Amount]]&gt;100000,"Over Budget","OK")</f>
        <v>Over Budget</v>
      </c>
      <c r="I723" t="str">
        <f>IF(OR(BOQ_Table[[#This Row],[Quantity]]="",BOQ_Table[[#This Row],[Rate]]=""),"Missing","OK")</f>
        <v>OK</v>
      </c>
    </row>
    <row r="724" spans="1:9" x14ac:dyDescent="0.35">
      <c r="A724" t="s">
        <v>748</v>
      </c>
      <c r="B724" t="s">
        <v>30</v>
      </c>
      <c r="C724" t="s">
        <v>12</v>
      </c>
      <c r="D724">
        <v>52.61</v>
      </c>
      <c r="E724" t="s">
        <v>18</v>
      </c>
      <c r="F724">
        <v>3115.68</v>
      </c>
      <c r="G724">
        <f t="shared" si="13"/>
        <v>163915.92479999998</v>
      </c>
      <c r="H724" t="str">
        <f>IF(BOQ_Table[[#This Row],[Amount]]&gt;100000,"Over Budget","OK")</f>
        <v>Over Budget</v>
      </c>
      <c r="I724" t="str">
        <f>IF(OR(BOQ_Table[[#This Row],[Quantity]]="",BOQ_Table[[#This Row],[Rate]]=""),"Missing","OK")</f>
        <v>OK</v>
      </c>
    </row>
    <row r="725" spans="1:9" x14ac:dyDescent="0.35">
      <c r="A725" t="s">
        <v>749</v>
      </c>
      <c r="B725" t="s">
        <v>20</v>
      </c>
      <c r="C725" t="s">
        <v>38</v>
      </c>
      <c r="D725">
        <v>454.31</v>
      </c>
      <c r="E725" t="s">
        <v>18</v>
      </c>
      <c r="F725">
        <v>1353.21</v>
      </c>
      <c r="G725">
        <f t="shared" si="13"/>
        <v>614776.83510000003</v>
      </c>
      <c r="H725" t="str">
        <f>IF(BOQ_Table[[#This Row],[Amount]]&gt;100000,"Over Budget","OK")</f>
        <v>Over Budget</v>
      </c>
      <c r="I725" t="str">
        <f>IF(OR(BOQ_Table[[#This Row],[Quantity]]="",BOQ_Table[[#This Row],[Rate]]=""),"Missing","OK")</f>
        <v>OK</v>
      </c>
    </row>
    <row r="726" spans="1:9" x14ac:dyDescent="0.35">
      <c r="A726" t="s">
        <v>750</v>
      </c>
      <c r="B726" t="s">
        <v>30</v>
      </c>
      <c r="C726" t="s">
        <v>12</v>
      </c>
      <c r="D726">
        <v>124.56</v>
      </c>
      <c r="E726" t="s">
        <v>9</v>
      </c>
      <c r="F726">
        <v>2818.34</v>
      </c>
      <c r="G726">
        <f t="shared" si="13"/>
        <v>351052.43040000001</v>
      </c>
      <c r="H726" t="str">
        <f>IF(BOQ_Table[[#This Row],[Amount]]&gt;100000,"Over Budget","OK")</f>
        <v>Over Budget</v>
      </c>
      <c r="I726" t="str">
        <f>IF(OR(BOQ_Table[[#This Row],[Quantity]]="",BOQ_Table[[#This Row],[Rate]]=""),"Missing","OK")</f>
        <v>OK</v>
      </c>
    </row>
    <row r="727" spans="1:9" x14ac:dyDescent="0.35">
      <c r="A727" t="s">
        <v>751</v>
      </c>
      <c r="B727" t="s">
        <v>46</v>
      </c>
      <c r="C727" t="s">
        <v>12</v>
      </c>
      <c r="D727">
        <v>269.37</v>
      </c>
      <c r="E727" t="s">
        <v>27</v>
      </c>
      <c r="F727">
        <v>4944.84</v>
      </c>
      <c r="G727">
        <f t="shared" si="13"/>
        <v>1331991.5508000001</v>
      </c>
      <c r="H727" t="str">
        <f>IF(BOQ_Table[[#This Row],[Amount]]&gt;100000,"Over Budget","OK")</f>
        <v>Over Budget</v>
      </c>
      <c r="I727" t="str">
        <f>IF(OR(BOQ_Table[[#This Row],[Quantity]]="",BOQ_Table[[#This Row],[Rate]]=""),"Missing","OK")</f>
        <v>OK</v>
      </c>
    </row>
    <row r="728" spans="1:9" x14ac:dyDescent="0.35">
      <c r="A728" t="s">
        <v>752</v>
      </c>
      <c r="B728" t="s">
        <v>56</v>
      </c>
      <c r="C728" t="s">
        <v>17</v>
      </c>
      <c r="D728">
        <v>367.05</v>
      </c>
      <c r="E728" t="s">
        <v>18</v>
      </c>
      <c r="F728">
        <v>3163.69</v>
      </c>
      <c r="G728">
        <f t="shared" si="13"/>
        <v>1161232.4145</v>
      </c>
      <c r="H728" t="str">
        <f>IF(BOQ_Table[[#This Row],[Amount]]&gt;100000,"Over Budget","OK")</f>
        <v>Over Budget</v>
      </c>
      <c r="I728" t="str">
        <f>IF(OR(BOQ_Table[[#This Row],[Quantity]]="",BOQ_Table[[#This Row],[Rate]]=""),"Missing","OK")</f>
        <v>OK</v>
      </c>
    </row>
    <row r="729" spans="1:9" x14ac:dyDescent="0.35">
      <c r="A729" t="s">
        <v>753</v>
      </c>
      <c r="B729" t="s">
        <v>56</v>
      </c>
      <c r="C729" t="s">
        <v>12</v>
      </c>
      <c r="D729">
        <v>254.01</v>
      </c>
      <c r="E729" t="s">
        <v>9</v>
      </c>
      <c r="F729">
        <v>450.59</v>
      </c>
      <c r="G729">
        <f t="shared" si="13"/>
        <v>114454.36589999999</v>
      </c>
      <c r="H729" t="str">
        <f>IF(BOQ_Table[[#This Row],[Amount]]&gt;100000,"Over Budget","OK")</f>
        <v>Over Budget</v>
      </c>
      <c r="I729" t="str">
        <f>IF(OR(BOQ_Table[[#This Row],[Quantity]]="",BOQ_Table[[#This Row],[Rate]]=""),"Missing","OK")</f>
        <v>OK</v>
      </c>
    </row>
    <row r="730" spans="1:9" x14ac:dyDescent="0.35">
      <c r="A730" t="s">
        <v>754</v>
      </c>
      <c r="B730" t="s">
        <v>46</v>
      </c>
      <c r="C730" t="s">
        <v>8</v>
      </c>
      <c r="D730">
        <v>300.95999999999998</v>
      </c>
      <c r="E730" t="s">
        <v>22</v>
      </c>
      <c r="F730">
        <v>2005.99</v>
      </c>
      <c r="G730">
        <f t="shared" si="13"/>
        <v>603722.75040000002</v>
      </c>
      <c r="H730" t="str">
        <f>IF(BOQ_Table[[#This Row],[Amount]]&gt;100000,"Over Budget","OK")</f>
        <v>Over Budget</v>
      </c>
      <c r="I730" t="str">
        <f>IF(OR(BOQ_Table[[#This Row],[Quantity]]="",BOQ_Table[[#This Row],[Rate]]=""),"Missing","OK")</f>
        <v>OK</v>
      </c>
    </row>
    <row r="731" spans="1:9" x14ac:dyDescent="0.35">
      <c r="A731" t="s">
        <v>755</v>
      </c>
      <c r="B731" t="s">
        <v>32</v>
      </c>
      <c r="C731" t="s">
        <v>17</v>
      </c>
      <c r="D731">
        <v>366.17</v>
      </c>
      <c r="E731" t="s">
        <v>9</v>
      </c>
      <c r="F731">
        <v>2936.73</v>
      </c>
      <c r="G731">
        <f t="shared" si="13"/>
        <v>1075342.4240999999</v>
      </c>
      <c r="H731" t="str">
        <f>IF(BOQ_Table[[#This Row],[Amount]]&gt;100000,"Over Budget","OK")</f>
        <v>Over Budget</v>
      </c>
      <c r="I731" t="str">
        <f>IF(OR(BOQ_Table[[#This Row],[Quantity]]="",BOQ_Table[[#This Row],[Rate]]=""),"Missing","OK")</f>
        <v>OK</v>
      </c>
    </row>
    <row r="732" spans="1:9" x14ac:dyDescent="0.35">
      <c r="A732" t="s">
        <v>756</v>
      </c>
      <c r="B732" t="s">
        <v>42</v>
      </c>
      <c r="C732" t="s">
        <v>38</v>
      </c>
      <c r="D732">
        <v>435.27</v>
      </c>
      <c r="E732" t="s">
        <v>22</v>
      </c>
      <c r="F732">
        <v>4307.46</v>
      </c>
      <c r="G732">
        <f t="shared" si="13"/>
        <v>1874908.1142</v>
      </c>
      <c r="H732" t="str">
        <f>IF(BOQ_Table[[#This Row],[Amount]]&gt;100000,"Over Budget","OK")</f>
        <v>Over Budget</v>
      </c>
      <c r="I732" t="str">
        <f>IF(OR(BOQ_Table[[#This Row],[Quantity]]="",BOQ_Table[[#This Row],[Rate]]=""),"Missing","OK")</f>
        <v>OK</v>
      </c>
    </row>
    <row r="733" spans="1:9" x14ac:dyDescent="0.35">
      <c r="A733" t="s">
        <v>757</v>
      </c>
      <c r="B733" t="s">
        <v>40</v>
      </c>
      <c r="C733" t="s">
        <v>12</v>
      </c>
      <c r="D733">
        <v>319.82</v>
      </c>
      <c r="E733" t="s">
        <v>9</v>
      </c>
      <c r="F733">
        <v>2330.1799999999998</v>
      </c>
      <c r="G733">
        <f t="shared" si="13"/>
        <v>745238.16759999993</v>
      </c>
      <c r="H733" t="str">
        <f>IF(BOQ_Table[[#This Row],[Amount]]&gt;100000,"Over Budget","OK")</f>
        <v>Over Budget</v>
      </c>
      <c r="I733" t="str">
        <f>IF(OR(BOQ_Table[[#This Row],[Quantity]]="",BOQ_Table[[#This Row],[Rate]]=""),"Missing","OK")</f>
        <v>OK</v>
      </c>
    </row>
    <row r="734" spans="1:9" x14ac:dyDescent="0.35">
      <c r="A734" t="s">
        <v>758</v>
      </c>
      <c r="B734" t="s">
        <v>56</v>
      </c>
      <c r="C734" t="s">
        <v>17</v>
      </c>
      <c r="D734">
        <v>316.47000000000003</v>
      </c>
      <c r="E734" t="s">
        <v>14</v>
      </c>
      <c r="F734">
        <v>4560.08</v>
      </c>
      <c r="G734">
        <f t="shared" si="13"/>
        <v>1443128.5176000001</v>
      </c>
      <c r="H734" t="str">
        <f>IF(BOQ_Table[[#This Row],[Amount]]&gt;100000,"Over Budget","OK")</f>
        <v>Over Budget</v>
      </c>
      <c r="I734" t="str">
        <f>IF(OR(BOQ_Table[[#This Row],[Quantity]]="",BOQ_Table[[#This Row],[Rate]]=""),"Missing","OK")</f>
        <v>OK</v>
      </c>
    </row>
    <row r="735" spans="1:9" x14ac:dyDescent="0.35">
      <c r="A735" t="s">
        <v>759</v>
      </c>
      <c r="B735" t="s">
        <v>42</v>
      </c>
      <c r="C735" t="s">
        <v>38</v>
      </c>
      <c r="D735">
        <v>4.66</v>
      </c>
      <c r="E735" t="s">
        <v>22</v>
      </c>
      <c r="F735">
        <v>4540.59</v>
      </c>
      <c r="G735">
        <f t="shared" si="13"/>
        <v>21159.149400000002</v>
      </c>
      <c r="H735" t="str">
        <f>IF(BOQ_Table[[#This Row],[Amount]]&gt;100000,"Over Budget","OK")</f>
        <v>OK</v>
      </c>
      <c r="I735" t="str">
        <f>IF(OR(BOQ_Table[[#This Row],[Quantity]]="",BOQ_Table[[#This Row],[Rate]]=""),"Missing","OK")</f>
        <v>OK</v>
      </c>
    </row>
    <row r="736" spans="1:9" x14ac:dyDescent="0.35">
      <c r="A736" t="s">
        <v>760</v>
      </c>
      <c r="B736" t="s">
        <v>32</v>
      </c>
      <c r="C736" t="s">
        <v>17</v>
      </c>
      <c r="D736">
        <v>496.25</v>
      </c>
      <c r="E736" t="s">
        <v>27</v>
      </c>
      <c r="F736">
        <v>1061.3800000000001</v>
      </c>
      <c r="G736">
        <f t="shared" si="13"/>
        <v>526709.82500000007</v>
      </c>
      <c r="H736" t="str">
        <f>IF(BOQ_Table[[#This Row],[Amount]]&gt;100000,"Over Budget","OK")</f>
        <v>Over Budget</v>
      </c>
      <c r="I736" t="str">
        <f>IF(OR(BOQ_Table[[#This Row],[Quantity]]="",BOQ_Table[[#This Row],[Rate]]=""),"Missing","OK")</f>
        <v>OK</v>
      </c>
    </row>
    <row r="737" spans="1:9" x14ac:dyDescent="0.35">
      <c r="A737" t="s">
        <v>761</v>
      </c>
      <c r="B737" t="s">
        <v>56</v>
      </c>
      <c r="C737" t="s">
        <v>8</v>
      </c>
      <c r="D737">
        <v>1.9</v>
      </c>
      <c r="E737" t="s">
        <v>14</v>
      </c>
      <c r="F737">
        <v>692.32</v>
      </c>
      <c r="G737">
        <f t="shared" si="13"/>
        <v>1315.4080000000001</v>
      </c>
      <c r="H737" t="str">
        <f>IF(BOQ_Table[[#This Row],[Amount]]&gt;100000,"Over Budget","OK")</f>
        <v>OK</v>
      </c>
      <c r="I737" t="str">
        <f>IF(OR(BOQ_Table[[#This Row],[Quantity]]="",BOQ_Table[[#This Row],[Rate]]=""),"Missing","OK")</f>
        <v>OK</v>
      </c>
    </row>
    <row r="738" spans="1:9" x14ac:dyDescent="0.35">
      <c r="A738" t="s">
        <v>762</v>
      </c>
      <c r="B738" t="s">
        <v>16</v>
      </c>
      <c r="C738" t="s">
        <v>8</v>
      </c>
      <c r="D738">
        <v>174.03</v>
      </c>
      <c r="E738" t="s">
        <v>9</v>
      </c>
      <c r="F738">
        <v>2930.74</v>
      </c>
      <c r="G738">
        <f t="shared" si="13"/>
        <v>510036.68219999998</v>
      </c>
      <c r="H738" t="str">
        <f>IF(BOQ_Table[[#This Row],[Amount]]&gt;100000,"Over Budget","OK")</f>
        <v>Over Budget</v>
      </c>
      <c r="I738" t="str">
        <f>IF(OR(BOQ_Table[[#This Row],[Quantity]]="",BOQ_Table[[#This Row],[Rate]]=""),"Missing","OK")</f>
        <v>OK</v>
      </c>
    </row>
    <row r="739" spans="1:9" x14ac:dyDescent="0.35">
      <c r="A739" t="s">
        <v>763</v>
      </c>
      <c r="B739" t="s">
        <v>40</v>
      </c>
      <c r="C739" t="s">
        <v>12</v>
      </c>
      <c r="D739">
        <v>16.23</v>
      </c>
      <c r="E739" t="s">
        <v>18</v>
      </c>
      <c r="F739">
        <v>3071.83</v>
      </c>
      <c r="G739">
        <f t="shared" si="13"/>
        <v>49855.800900000002</v>
      </c>
      <c r="H739" t="str">
        <f>IF(BOQ_Table[[#This Row],[Amount]]&gt;100000,"Over Budget","OK")</f>
        <v>OK</v>
      </c>
      <c r="I739" t="str">
        <f>IF(OR(BOQ_Table[[#This Row],[Quantity]]="",BOQ_Table[[#This Row],[Rate]]=""),"Missing","OK")</f>
        <v>OK</v>
      </c>
    </row>
    <row r="740" spans="1:9" x14ac:dyDescent="0.35">
      <c r="A740" t="s">
        <v>764</v>
      </c>
      <c r="B740" t="s">
        <v>56</v>
      </c>
      <c r="C740" t="s">
        <v>12</v>
      </c>
      <c r="D740">
        <v>344.82</v>
      </c>
      <c r="E740" t="s">
        <v>22</v>
      </c>
      <c r="F740">
        <v>2435.73</v>
      </c>
      <c r="G740">
        <f t="shared" si="13"/>
        <v>839888.41859999998</v>
      </c>
      <c r="H740" t="str">
        <f>IF(BOQ_Table[[#This Row],[Amount]]&gt;100000,"Over Budget","OK")</f>
        <v>Over Budget</v>
      </c>
      <c r="I740" t="str">
        <f>IF(OR(BOQ_Table[[#This Row],[Quantity]]="",BOQ_Table[[#This Row],[Rate]]=""),"Missing","OK")</f>
        <v>OK</v>
      </c>
    </row>
    <row r="741" spans="1:9" x14ac:dyDescent="0.35">
      <c r="A741" t="s">
        <v>765</v>
      </c>
      <c r="B741" t="s">
        <v>16</v>
      </c>
      <c r="C741" t="s">
        <v>17</v>
      </c>
      <c r="D741">
        <v>241.94</v>
      </c>
      <c r="E741" t="s">
        <v>22</v>
      </c>
      <c r="F741">
        <v>2306.0700000000002</v>
      </c>
      <c r="G741">
        <f t="shared" si="13"/>
        <v>557930.57579999999</v>
      </c>
      <c r="H741" t="str">
        <f>IF(BOQ_Table[[#This Row],[Amount]]&gt;100000,"Over Budget","OK")</f>
        <v>Over Budget</v>
      </c>
      <c r="I741" t="str">
        <f>IF(OR(BOQ_Table[[#This Row],[Quantity]]="",BOQ_Table[[#This Row],[Rate]]=""),"Missing","OK")</f>
        <v>OK</v>
      </c>
    </row>
    <row r="742" spans="1:9" x14ac:dyDescent="0.35">
      <c r="A742" t="s">
        <v>766</v>
      </c>
      <c r="B742" t="s">
        <v>11</v>
      </c>
      <c r="C742" t="s">
        <v>38</v>
      </c>
      <c r="D742">
        <v>40.409999999999997</v>
      </c>
      <c r="E742" t="s">
        <v>18</v>
      </c>
      <c r="F742">
        <v>4016.92</v>
      </c>
      <c r="G742">
        <f t="shared" si="13"/>
        <v>162323.7372</v>
      </c>
      <c r="H742" t="str">
        <f>IF(BOQ_Table[[#This Row],[Amount]]&gt;100000,"Over Budget","OK")</f>
        <v>Over Budget</v>
      </c>
      <c r="I742" t="str">
        <f>IF(OR(BOQ_Table[[#This Row],[Quantity]]="",BOQ_Table[[#This Row],[Rate]]=""),"Missing","OK")</f>
        <v>OK</v>
      </c>
    </row>
    <row r="743" spans="1:9" x14ac:dyDescent="0.35">
      <c r="A743" t="s">
        <v>767</v>
      </c>
      <c r="B743" t="s">
        <v>16</v>
      </c>
      <c r="C743" t="s">
        <v>12</v>
      </c>
      <c r="D743">
        <v>181.82</v>
      </c>
      <c r="E743" t="s">
        <v>18</v>
      </c>
      <c r="F743">
        <v>1168.3399999999999</v>
      </c>
      <c r="G743">
        <f t="shared" si="13"/>
        <v>212427.57879999999</v>
      </c>
      <c r="H743" t="str">
        <f>IF(BOQ_Table[[#This Row],[Amount]]&gt;100000,"Over Budget","OK")</f>
        <v>Over Budget</v>
      </c>
      <c r="I743" t="str">
        <f>IF(OR(BOQ_Table[[#This Row],[Quantity]]="",BOQ_Table[[#This Row],[Rate]]=""),"Missing","OK")</f>
        <v>OK</v>
      </c>
    </row>
    <row r="744" spans="1:9" x14ac:dyDescent="0.35">
      <c r="A744" t="s">
        <v>768</v>
      </c>
      <c r="B744" t="s">
        <v>7</v>
      </c>
      <c r="C744" t="s">
        <v>38</v>
      </c>
      <c r="D744">
        <v>106.55</v>
      </c>
      <c r="E744" t="s">
        <v>27</v>
      </c>
      <c r="F744">
        <v>4713.45</v>
      </c>
      <c r="G744">
        <f t="shared" si="13"/>
        <v>502218.09749999997</v>
      </c>
      <c r="H744" t="str">
        <f>IF(BOQ_Table[[#This Row],[Amount]]&gt;100000,"Over Budget","OK")</f>
        <v>Over Budget</v>
      </c>
      <c r="I744" t="str">
        <f>IF(OR(BOQ_Table[[#This Row],[Quantity]]="",BOQ_Table[[#This Row],[Rate]]=""),"Missing","OK")</f>
        <v>OK</v>
      </c>
    </row>
    <row r="745" spans="1:9" x14ac:dyDescent="0.35">
      <c r="A745" t="s">
        <v>769</v>
      </c>
      <c r="B745" t="s">
        <v>16</v>
      </c>
      <c r="C745" t="s">
        <v>38</v>
      </c>
      <c r="D745">
        <v>467.55</v>
      </c>
      <c r="E745" t="s">
        <v>14</v>
      </c>
      <c r="F745">
        <v>1551.49</v>
      </c>
      <c r="G745">
        <f t="shared" si="13"/>
        <v>725399.14950000006</v>
      </c>
      <c r="H745" t="str">
        <f>IF(BOQ_Table[[#This Row],[Amount]]&gt;100000,"Over Budget","OK")</f>
        <v>Over Budget</v>
      </c>
      <c r="I745" t="str">
        <f>IF(OR(BOQ_Table[[#This Row],[Quantity]]="",BOQ_Table[[#This Row],[Rate]]=""),"Missing","OK")</f>
        <v>OK</v>
      </c>
    </row>
    <row r="746" spans="1:9" x14ac:dyDescent="0.35">
      <c r="A746" t="s">
        <v>770</v>
      </c>
      <c r="B746" t="s">
        <v>30</v>
      </c>
      <c r="C746" t="s">
        <v>12</v>
      </c>
      <c r="D746">
        <v>180.99</v>
      </c>
      <c r="E746" t="s">
        <v>22</v>
      </c>
      <c r="F746">
        <v>3181.27</v>
      </c>
      <c r="G746">
        <f t="shared" si="13"/>
        <v>575778.05729999999</v>
      </c>
      <c r="H746" t="str">
        <f>IF(BOQ_Table[[#This Row],[Amount]]&gt;100000,"Over Budget","OK")</f>
        <v>Over Budget</v>
      </c>
      <c r="I746" t="str">
        <f>IF(OR(BOQ_Table[[#This Row],[Quantity]]="",BOQ_Table[[#This Row],[Rate]]=""),"Missing","OK")</f>
        <v>OK</v>
      </c>
    </row>
    <row r="747" spans="1:9" x14ac:dyDescent="0.35">
      <c r="A747" t="s">
        <v>771</v>
      </c>
      <c r="B747" t="s">
        <v>42</v>
      </c>
      <c r="C747" t="s">
        <v>21</v>
      </c>
      <c r="D747">
        <v>292.48</v>
      </c>
      <c r="E747" t="s">
        <v>14</v>
      </c>
      <c r="F747">
        <v>2537.42</v>
      </c>
      <c r="G747">
        <f t="shared" si="13"/>
        <v>742144.60160000005</v>
      </c>
      <c r="H747" t="str">
        <f>IF(BOQ_Table[[#This Row],[Amount]]&gt;100000,"Over Budget","OK")</f>
        <v>Over Budget</v>
      </c>
      <c r="I747" t="str">
        <f>IF(OR(BOQ_Table[[#This Row],[Quantity]]="",BOQ_Table[[#This Row],[Rate]]=""),"Missing","OK")</f>
        <v>OK</v>
      </c>
    </row>
    <row r="748" spans="1:9" x14ac:dyDescent="0.35">
      <c r="A748" t="s">
        <v>772</v>
      </c>
      <c r="B748" t="s">
        <v>42</v>
      </c>
      <c r="C748" t="s">
        <v>21</v>
      </c>
      <c r="D748">
        <v>326.79000000000002</v>
      </c>
      <c r="E748" t="s">
        <v>14</v>
      </c>
      <c r="F748">
        <v>2130.92</v>
      </c>
      <c r="G748">
        <f t="shared" si="13"/>
        <v>696363.34680000006</v>
      </c>
      <c r="H748" t="str">
        <f>IF(BOQ_Table[[#This Row],[Amount]]&gt;100000,"Over Budget","OK")</f>
        <v>Over Budget</v>
      </c>
      <c r="I748" t="str">
        <f>IF(OR(BOQ_Table[[#This Row],[Quantity]]="",BOQ_Table[[#This Row],[Rate]]=""),"Missing","OK")</f>
        <v>OK</v>
      </c>
    </row>
    <row r="749" spans="1:9" x14ac:dyDescent="0.35">
      <c r="A749" t="s">
        <v>773</v>
      </c>
      <c r="B749" t="s">
        <v>40</v>
      </c>
      <c r="C749" t="s">
        <v>12</v>
      </c>
      <c r="D749">
        <v>428.09</v>
      </c>
      <c r="E749" t="s">
        <v>14</v>
      </c>
      <c r="F749">
        <v>705.57</v>
      </c>
      <c r="G749">
        <f t="shared" si="13"/>
        <v>302047.46130000002</v>
      </c>
      <c r="H749" t="str">
        <f>IF(BOQ_Table[[#This Row],[Amount]]&gt;100000,"Over Budget","OK")</f>
        <v>Over Budget</v>
      </c>
      <c r="I749" t="str">
        <f>IF(OR(BOQ_Table[[#This Row],[Quantity]]="",BOQ_Table[[#This Row],[Rate]]=""),"Missing","OK")</f>
        <v>OK</v>
      </c>
    </row>
    <row r="750" spans="1:9" x14ac:dyDescent="0.35">
      <c r="A750" t="s">
        <v>774</v>
      </c>
      <c r="B750" t="s">
        <v>7</v>
      </c>
      <c r="C750" t="s">
        <v>8</v>
      </c>
      <c r="D750">
        <v>260.67</v>
      </c>
      <c r="E750" t="s">
        <v>9</v>
      </c>
      <c r="F750">
        <v>4462.3999999999996</v>
      </c>
      <c r="G750">
        <f t="shared" si="13"/>
        <v>1163213.808</v>
      </c>
      <c r="H750" t="str">
        <f>IF(BOQ_Table[[#This Row],[Amount]]&gt;100000,"Over Budget","OK")</f>
        <v>Over Budget</v>
      </c>
      <c r="I750" t="str">
        <f>IF(OR(BOQ_Table[[#This Row],[Quantity]]="",BOQ_Table[[#This Row],[Rate]]=""),"Missing","OK")</f>
        <v>OK</v>
      </c>
    </row>
    <row r="751" spans="1:9" x14ac:dyDescent="0.35">
      <c r="A751" t="s">
        <v>775</v>
      </c>
      <c r="B751" t="s">
        <v>20</v>
      </c>
      <c r="C751" t="s">
        <v>21</v>
      </c>
      <c r="D751">
        <v>13.92</v>
      </c>
      <c r="E751" t="s">
        <v>14</v>
      </c>
      <c r="F751">
        <v>2196.66</v>
      </c>
      <c r="G751">
        <f t="shared" si="13"/>
        <v>30577.507199999996</v>
      </c>
      <c r="H751" t="str">
        <f>IF(BOQ_Table[[#This Row],[Amount]]&gt;100000,"Over Budget","OK")</f>
        <v>OK</v>
      </c>
      <c r="I751" t="str">
        <f>IF(OR(BOQ_Table[[#This Row],[Quantity]]="",BOQ_Table[[#This Row],[Rate]]=""),"Missing","OK")</f>
        <v>OK</v>
      </c>
    </row>
    <row r="752" spans="1:9" x14ac:dyDescent="0.35">
      <c r="A752" t="s">
        <v>776</v>
      </c>
      <c r="B752" t="s">
        <v>11</v>
      </c>
      <c r="C752" t="s">
        <v>8</v>
      </c>
      <c r="D752">
        <v>55.26</v>
      </c>
      <c r="E752" t="s">
        <v>27</v>
      </c>
      <c r="F752">
        <v>4655.33</v>
      </c>
      <c r="G752">
        <f t="shared" si="13"/>
        <v>257253.53579999998</v>
      </c>
      <c r="H752" t="str">
        <f>IF(BOQ_Table[[#This Row],[Amount]]&gt;100000,"Over Budget","OK")</f>
        <v>Over Budget</v>
      </c>
      <c r="I752" t="str">
        <f>IF(OR(BOQ_Table[[#This Row],[Quantity]]="",BOQ_Table[[#This Row],[Rate]]=""),"Missing","OK")</f>
        <v>OK</v>
      </c>
    </row>
    <row r="753" spans="1:9" x14ac:dyDescent="0.35">
      <c r="A753" t="s">
        <v>777</v>
      </c>
      <c r="B753" t="s">
        <v>56</v>
      </c>
      <c r="C753" t="s">
        <v>17</v>
      </c>
      <c r="D753">
        <v>450.28</v>
      </c>
      <c r="E753" t="s">
        <v>14</v>
      </c>
      <c r="F753">
        <v>1081.1500000000001</v>
      </c>
      <c r="G753">
        <f t="shared" si="13"/>
        <v>486820.22200000001</v>
      </c>
      <c r="H753" t="str">
        <f>IF(BOQ_Table[[#This Row],[Amount]]&gt;100000,"Over Budget","OK")</f>
        <v>Over Budget</v>
      </c>
      <c r="I753" t="str">
        <f>IF(OR(BOQ_Table[[#This Row],[Quantity]]="",BOQ_Table[[#This Row],[Rate]]=""),"Missing","OK")</f>
        <v>OK</v>
      </c>
    </row>
    <row r="754" spans="1:9" x14ac:dyDescent="0.35">
      <c r="A754" t="s">
        <v>778</v>
      </c>
      <c r="B754" t="s">
        <v>16</v>
      </c>
      <c r="C754" t="s">
        <v>8</v>
      </c>
      <c r="D754">
        <v>11.74</v>
      </c>
      <c r="E754" t="s">
        <v>22</v>
      </c>
      <c r="F754">
        <v>3543.99</v>
      </c>
      <c r="G754">
        <f t="shared" si="13"/>
        <v>41606.442599999995</v>
      </c>
      <c r="H754" t="str">
        <f>IF(BOQ_Table[[#This Row],[Amount]]&gt;100000,"Over Budget","OK")</f>
        <v>OK</v>
      </c>
      <c r="I754" t="str">
        <f>IF(OR(BOQ_Table[[#This Row],[Quantity]]="",BOQ_Table[[#This Row],[Rate]]=""),"Missing","OK")</f>
        <v>OK</v>
      </c>
    </row>
    <row r="755" spans="1:9" x14ac:dyDescent="0.35">
      <c r="A755" t="s">
        <v>779</v>
      </c>
      <c r="B755" t="s">
        <v>42</v>
      </c>
      <c r="C755" t="s">
        <v>38</v>
      </c>
      <c r="D755">
        <v>33.659999999999997</v>
      </c>
      <c r="E755" t="s">
        <v>22</v>
      </c>
      <c r="F755">
        <v>4031.4</v>
      </c>
      <c r="G755">
        <f t="shared" si="13"/>
        <v>135696.924</v>
      </c>
      <c r="H755" t="str">
        <f>IF(BOQ_Table[[#This Row],[Amount]]&gt;100000,"Over Budget","OK")</f>
        <v>Over Budget</v>
      </c>
      <c r="I755" t="str">
        <f>IF(OR(BOQ_Table[[#This Row],[Quantity]]="",BOQ_Table[[#This Row],[Rate]]=""),"Missing","OK")</f>
        <v>OK</v>
      </c>
    </row>
    <row r="756" spans="1:9" x14ac:dyDescent="0.35">
      <c r="A756" t="s">
        <v>780</v>
      </c>
      <c r="B756" t="s">
        <v>7</v>
      </c>
      <c r="C756" t="s">
        <v>21</v>
      </c>
      <c r="D756">
        <v>424.18</v>
      </c>
      <c r="E756" t="s">
        <v>27</v>
      </c>
      <c r="F756">
        <v>2269.1999999999998</v>
      </c>
      <c r="G756">
        <f t="shared" si="13"/>
        <v>962549.25599999994</v>
      </c>
      <c r="H756" t="str">
        <f>IF(BOQ_Table[[#This Row],[Amount]]&gt;100000,"Over Budget","OK")</f>
        <v>Over Budget</v>
      </c>
      <c r="I756" t="str">
        <f>IF(OR(BOQ_Table[[#This Row],[Quantity]]="",BOQ_Table[[#This Row],[Rate]]=""),"Missing","OK")</f>
        <v>OK</v>
      </c>
    </row>
    <row r="757" spans="1:9" x14ac:dyDescent="0.35">
      <c r="A757" t="s">
        <v>781</v>
      </c>
      <c r="B757" t="s">
        <v>56</v>
      </c>
      <c r="C757" t="s">
        <v>21</v>
      </c>
      <c r="D757">
        <v>182.11</v>
      </c>
      <c r="E757" t="s">
        <v>14</v>
      </c>
      <c r="F757">
        <v>2843.91</v>
      </c>
      <c r="G757">
        <f t="shared" si="13"/>
        <v>517904.45010000002</v>
      </c>
      <c r="H757" t="str">
        <f>IF(BOQ_Table[[#This Row],[Amount]]&gt;100000,"Over Budget","OK")</f>
        <v>Over Budget</v>
      </c>
      <c r="I757" t="str">
        <f>IF(OR(BOQ_Table[[#This Row],[Quantity]]="",BOQ_Table[[#This Row],[Rate]]=""),"Missing","OK")</f>
        <v>OK</v>
      </c>
    </row>
    <row r="758" spans="1:9" x14ac:dyDescent="0.35">
      <c r="A758" t="s">
        <v>782</v>
      </c>
      <c r="B758" t="s">
        <v>46</v>
      </c>
      <c r="C758" t="s">
        <v>38</v>
      </c>
      <c r="D758">
        <v>320.26</v>
      </c>
      <c r="E758" t="s">
        <v>18</v>
      </c>
      <c r="F758">
        <v>585.97</v>
      </c>
      <c r="G758">
        <f t="shared" si="13"/>
        <v>187662.75220000002</v>
      </c>
      <c r="H758" t="str">
        <f>IF(BOQ_Table[[#This Row],[Amount]]&gt;100000,"Over Budget","OK")</f>
        <v>Over Budget</v>
      </c>
      <c r="I758" t="str">
        <f>IF(OR(BOQ_Table[[#This Row],[Quantity]]="",BOQ_Table[[#This Row],[Rate]]=""),"Missing","OK")</f>
        <v>OK</v>
      </c>
    </row>
    <row r="759" spans="1:9" x14ac:dyDescent="0.35">
      <c r="A759" t="s">
        <v>783</v>
      </c>
      <c r="B759" t="s">
        <v>42</v>
      </c>
      <c r="C759" t="s">
        <v>38</v>
      </c>
      <c r="D759">
        <v>200.58</v>
      </c>
      <c r="E759" t="s">
        <v>27</v>
      </c>
      <c r="F759">
        <v>2449.0100000000002</v>
      </c>
      <c r="G759">
        <f t="shared" si="13"/>
        <v>491222.42580000008</v>
      </c>
      <c r="H759" t="str">
        <f>IF(BOQ_Table[[#This Row],[Amount]]&gt;100000,"Over Budget","OK")</f>
        <v>Over Budget</v>
      </c>
      <c r="I759" t="str">
        <f>IF(OR(BOQ_Table[[#This Row],[Quantity]]="",BOQ_Table[[#This Row],[Rate]]=""),"Missing","OK")</f>
        <v>OK</v>
      </c>
    </row>
    <row r="760" spans="1:9" x14ac:dyDescent="0.35">
      <c r="A760" t="s">
        <v>784</v>
      </c>
      <c r="B760" t="s">
        <v>42</v>
      </c>
      <c r="C760" t="s">
        <v>17</v>
      </c>
      <c r="D760">
        <v>380</v>
      </c>
      <c r="E760" t="s">
        <v>22</v>
      </c>
      <c r="F760">
        <v>1337.87</v>
      </c>
      <c r="G760">
        <f t="shared" si="13"/>
        <v>508390.6</v>
      </c>
      <c r="H760" t="str">
        <f>IF(BOQ_Table[[#This Row],[Amount]]&gt;100000,"Over Budget","OK")</f>
        <v>Over Budget</v>
      </c>
      <c r="I760" t="str">
        <f>IF(OR(BOQ_Table[[#This Row],[Quantity]]="",BOQ_Table[[#This Row],[Rate]]=""),"Missing","OK")</f>
        <v>OK</v>
      </c>
    </row>
    <row r="761" spans="1:9" x14ac:dyDescent="0.35">
      <c r="A761" t="s">
        <v>785</v>
      </c>
      <c r="B761" t="s">
        <v>56</v>
      </c>
      <c r="C761" t="s">
        <v>12</v>
      </c>
      <c r="D761">
        <v>45.97</v>
      </c>
      <c r="E761" t="s">
        <v>27</v>
      </c>
      <c r="F761">
        <v>2347.9899999999998</v>
      </c>
      <c r="G761">
        <f t="shared" si="13"/>
        <v>107937.10029999999</v>
      </c>
      <c r="H761" t="str">
        <f>IF(BOQ_Table[[#This Row],[Amount]]&gt;100000,"Over Budget","OK")</f>
        <v>Over Budget</v>
      </c>
      <c r="I761" t="str">
        <f>IF(OR(BOQ_Table[[#This Row],[Quantity]]="",BOQ_Table[[#This Row],[Rate]]=""),"Missing","OK")</f>
        <v>OK</v>
      </c>
    </row>
    <row r="762" spans="1:9" x14ac:dyDescent="0.35">
      <c r="A762" t="s">
        <v>786</v>
      </c>
      <c r="B762" t="s">
        <v>11</v>
      </c>
      <c r="C762" t="s">
        <v>12</v>
      </c>
      <c r="D762">
        <v>486.65</v>
      </c>
      <c r="E762" t="s">
        <v>9</v>
      </c>
      <c r="F762">
        <v>1682.41</v>
      </c>
      <c r="G762">
        <f t="shared" si="13"/>
        <v>818744.82649999997</v>
      </c>
      <c r="H762" t="str">
        <f>IF(BOQ_Table[[#This Row],[Amount]]&gt;100000,"Over Budget","OK")</f>
        <v>Over Budget</v>
      </c>
      <c r="I762" t="str">
        <f>IF(OR(BOQ_Table[[#This Row],[Quantity]]="",BOQ_Table[[#This Row],[Rate]]=""),"Missing","OK")</f>
        <v>OK</v>
      </c>
    </row>
    <row r="763" spans="1:9" x14ac:dyDescent="0.35">
      <c r="A763" t="s">
        <v>787</v>
      </c>
      <c r="B763" t="s">
        <v>56</v>
      </c>
      <c r="C763" t="s">
        <v>21</v>
      </c>
      <c r="D763">
        <v>162.31</v>
      </c>
      <c r="E763" t="s">
        <v>18</v>
      </c>
      <c r="F763">
        <v>1034.6199999999999</v>
      </c>
      <c r="G763">
        <f t="shared" si="13"/>
        <v>167929.17219999997</v>
      </c>
      <c r="H763" t="str">
        <f>IF(BOQ_Table[[#This Row],[Amount]]&gt;100000,"Over Budget","OK")</f>
        <v>Over Budget</v>
      </c>
      <c r="I763" t="str">
        <f>IF(OR(BOQ_Table[[#This Row],[Quantity]]="",BOQ_Table[[#This Row],[Rate]]=""),"Missing","OK")</f>
        <v>OK</v>
      </c>
    </row>
    <row r="764" spans="1:9" x14ac:dyDescent="0.35">
      <c r="A764" t="s">
        <v>788</v>
      </c>
      <c r="B764" t="s">
        <v>56</v>
      </c>
      <c r="C764" t="s">
        <v>17</v>
      </c>
      <c r="D764">
        <v>332.47</v>
      </c>
      <c r="E764" t="s">
        <v>14</v>
      </c>
      <c r="F764">
        <v>640.5</v>
      </c>
      <c r="G764">
        <f t="shared" si="13"/>
        <v>212947.035</v>
      </c>
      <c r="H764" t="str">
        <f>IF(BOQ_Table[[#This Row],[Amount]]&gt;100000,"Over Budget","OK")</f>
        <v>Over Budget</v>
      </c>
      <c r="I764" t="str">
        <f>IF(OR(BOQ_Table[[#This Row],[Quantity]]="",BOQ_Table[[#This Row],[Rate]]=""),"Missing","OK")</f>
        <v>OK</v>
      </c>
    </row>
    <row r="765" spans="1:9" x14ac:dyDescent="0.35">
      <c r="A765" t="s">
        <v>789</v>
      </c>
      <c r="B765" t="s">
        <v>11</v>
      </c>
      <c r="C765" t="s">
        <v>8</v>
      </c>
      <c r="D765">
        <v>51.79</v>
      </c>
      <c r="E765" t="s">
        <v>9</v>
      </c>
      <c r="F765">
        <v>3845.21</v>
      </c>
      <c r="G765">
        <f t="shared" si="13"/>
        <v>199143.4259</v>
      </c>
      <c r="H765" t="str">
        <f>IF(BOQ_Table[[#This Row],[Amount]]&gt;100000,"Over Budget","OK")</f>
        <v>Over Budget</v>
      </c>
      <c r="I765" t="str">
        <f>IF(OR(BOQ_Table[[#This Row],[Quantity]]="",BOQ_Table[[#This Row],[Rate]]=""),"Missing","OK")</f>
        <v>OK</v>
      </c>
    </row>
    <row r="766" spans="1:9" x14ac:dyDescent="0.35">
      <c r="A766" t="s">
        <v>790</v>
      </c>
      <c r="B766" t="s">
        <v>46</v>
      </c>
      <c r="C766" t="s">
        <v>21</v>
      </c>
      <c r="D766">
        <v>263.94</v>
      </c>
      <c r="E766" t="s">
        <v>9</v>
      </c>
      <c r="F766">
        <v>3725.69</v>
      </c>
      <c r="G766">
        <f t="shared" si="13"/>
        <v>983358.61860000005</v>
      </c>
      <c r="H766" t="str">
        <f>IF(BOQ_Table[[#This Row],[Amount]]&gt;100000,"Over Budget","OK")</f>
        <v>Over Budget</v>
      </c>
      <c r="I766" t="str">
        <f>IF(OR(BOQ_Table[[#This Row],[Quantity]]="",BOQ_Table[[#This Row],[Rate]]=""),"Missing","OK")</f>
        <v>OK</v>
      </c>
    </row>
    <row r="767" spans="1:9" x14ac:dyDescent="0.35">
      <c r="A767" t="s">
        <v>791</v>
      </c>
      <c r="B767" t="s">
        <v>30</v>
      </c>
      <c r="C767" t="s">
        <v>17</v>
      </c>
      <c r="D767">
        <v>137.66</v>
      </c>
      <c r="E767" t="s">
        <v>14</v>
      </c>
      <c r="F767">
        <v>4253.3</v>
      </c>
      <c r="G767">
        <f t="shared" si="13"/>
        <v>585509.27800000005</v>
      </c>
      <c r="H767" t="str">
        <f>IF(BOQ_Table[[#This Row],[Amount]]&gt;100000,"Over Budget","OK")</f>
        <v>Over Budget</v>
      </c>
      <c r="I767" t="str">
        <f>IF(OR(BOQ_Table[[#This Row],[Quantity]]="",BOQ_Table[[#This Row],[Rate]]=""),"Missing","OK")</f>
        <v>OK</v>
      </c>
    </row>
    <row r="768" spans="1:9" x14ac:dyDescent="0.35">
      <c r="A768" t="s">
        <v>792</v>
      </c>
      <c r="B768" t="s">
        <v>30</v>
      </c>
      <c r="C768" t="s">
        <v>38</v>
      </c>
      <c r="D768">
        <v>261.45999999999998</v>
      </c>
      <c r="E768" t="s">
        <v>22</v>
      </c>
      <c r="F768">
        <v>4377.83</v>
      </c>
      <c r="G768">
        <f t="shared" si="13"/>
        <v>1144627.4317999999</v>
      </c>
      <c r="H768" t="str">
        <f>IF(BOQ_Table[[#This Row],[Amount]]&gt;100000,"Over Budget","OK")</f>
        <v>Over Budget</v>
      </c>
      <c r="I768" t="str">
        <f>IF(OR(BOQ_Table[[#This Row],[Quantity]]="",BOQ_Table[[#This Row],[Rate]]=""),"Missing","OK")</f>
        <v>OK</v>
      </c>
    </row>
    <row r="769" spans="1:9" x14ac:dyDescent="0.35">
      <c r="A769" t="s">
        <v>793</v>
      </c>
      <c r="B769" t="s">
        <v>46</v>
      </c>
      <c r="C769" t="s">
        <v>8</v>
      </c>
      <c r="D769">
        <v>369</v>
      </c>
      <c r="E769" t="s">
        <v>27</v>
      </c>
      <c r="F769">
        <v>1492.03</v>
      </c>
      <c r="G769">
        <f t="shared" si="13"/>
        <v>550559.06999999995</v>
      </c>
      <c r="H769" t="str">
        <f>IF(BOQ_Table[[#This Row],[Amount]]&gt;100000,"Over Budget","OK")</f>
        <v>Over Budget</v>
      </c>
      <c r="I769" t="str">
        <f>IF(OR(BOQ_Table[[#This Row],[Quantity]]="",BOQ_Table[[#This Row],[Rate]]=""),"Missing","OK")</f>
        <v>OK</v>
      </c>
    </row>
    <row r="770" spans="1:9" x14ac:dyDescent="0.35">
      <c r="A770" t="s">
        <v>794</v>
      </c>
      <c r="B770" t="s">
        <v>32</v>
      </c>
      <c r="C770" t="s">
        <v>8</v>
      </c>
      <c r="D770">
        <v>265.29000000000002</v>
      </c>
      <c r="E770" t="s">
        <v>14</v>
      </c>
      <c r="F770">
        <v>1088.7</v>
      </c>
      <c r="G770">
        <f t="shared" ref="G770:G833" si="14">D770*F770</f>
        <v>288821.22300000006</v>
      </c>
      <c r="H770" t="str">
        <f>IF(BOQ_Table[[#This Row],[Amount]]&gt;100000,"Over Budget","OK")</f>
        <v>Over Budget</v>
      </c>
      <c r="I770" t="str">
        <f>IF(OR(BOQ_Table[[#This Row],[Quantity]]="",BOQ_Table[[#This Row],[Rate]]=""),"Missing","OK")</f>
        <v>OK</v>
      </c>
    </row>
    <row r="771" spans="1:9" x14ac:dyDescent="0.35">
      <c r="A771" t="s">
        <v>795</v>
      </c>
      <c r="B771" t="s">
        <v>7</v>
      </c>
      <c r="C771" t="s">
        <v>8</v>
      </c>
      <c r="D771">
        <v>410.48</v>
      </c>
      <c r="E771" t="s">
        <v>18</v>
      </c>
      <c r="F771">
        <v>3871.33</v>
      </c>
      <c r="G771">
        <f t="shared" si="14"/>
        <v>1589103.5384</v>
      </c>
      <c r="H771" t="str">
        <f>IF(BOQ_Table[[#This Row],[Amount]]&gt;100000,"Over Budget","OK")</f>
        <v>Over Budget</v>
      </c>
      <c r="I771" t="str">
        <f>IF(OR(BOQ_Table[[#This Row],[Quantity]]="",BOQ_Table[[#This Row],[Rate]]=""),"Missing","OK")</f>
        <v>OK</v>
      </c>
    </row>
    <row r="772" spans="1:9" x14ac:dyDescent="0.35">
      <c r="A772" t="s">
        <v>796</v>
      </c>
      <c r="B772" t="s">
        <v>40</v>
      </c>
      <c r="C772" t="s">
        <v>8</v>
      </c>
      <c r="D772">
        <v>326.77999999999997</v>
      </c>
      <c r="E772" t="s">
        <v>27</v>
      </c>
      <c r="F772">
        <v>2810.21</v>
      </c>
      <c r="G772">
        <f t="shared" si="14"/>
        <v>918320.42379999999</v>
      </c>
      <c r="H772" t="str">
        <f>IF(BOQ_Table[[#This Row],[Amount]]&gt;100000,"Over Budget","OK")</f>
        <v>Over Budget</v>
      </c>
      <c r="I772" t="str">
        <f>IF(OR(BOQ_Table[[#This Row],[Quantity]]="",BOQ_Table[[#This Row],[Rate]]=""),"Missing","OK")</f>
        <v>OK</v>
      </c>
    </row>
    <row r="773" spans="1:9" x14ac:dyDescent="0.35">
      <c r="A773" t="s">
        <v>797</v>
      </c>
      <c r="B773" t="s">
        <v>16</v>
      </c>
      <c r="C773" t="s">
        <v>17</v>
      </c>
      <c r="D773">
        <v>191.86</v>
      </c>
      <c r="E773" t="s">
        <v>27</v>
      </c>
      <c r="F773">
        <v>3077.86</v>
      </c>
      <c r="G773">
        <f t="shared" si="14"/>
        <v>590518.21960000007</v>
      </c>
      <c r="H773" t="str">
        <f>IF(BOQ_Table[[#This Row],[Amount]]&gt;100000,"Over Budget","OK")</f>
        <v>Over Budget</v>
      </c>
      <c r="I773" t="str">
        <f>IF(OR(BOQ_Table[[#This Row],[Quantity]]="",BOQ_Table[[#This Row],[Rate]]=""),"Missing","OK")</f>
        <v>OK</v>
      </c>
    </row>
    <row r="774" spans="1:9" x14ac:dyDescent="0.35">
      <c r="A774" t="s">
        <v>798</v>
      </c>
      <c r="B774" t="s">
        <v>46</v>
      </c>
      <c r="C774" t="s">
        <v>8</v>
      </c>
      <c r="D774">
        <v>62.24</v>
      </c>
      <c r="E774" t="s">
        <v>14</v>
      </c>
      <c r="F774">
        <v>2491.2800000000002</v>
      </c>
      <c r="G774">
        <f t="shared" si="14"/>
        <v>155057.26720000003</v>
      </c>
      <c r="H774" t="str">
        <f>IF(BOQ_Table[[#This Row],[Amount]]&gt;100000,"Over Budget","OK")</f>
        <v>Over Budget</v>
      </c>
      <c r="I774" t="str">
        <f>IF(OR(BOQ_Table[[#This Row],[Quantity]]="",BOQ_Table[[#This Row],[Rate]]=""),"Missing","OK")</f>
        <v>OK</v>
      </c>
    </row>
    <row r="775" spans="1:9" x14ac:dyDescent="0.35">
      <c r="A775" t="s">
        <v>799</v>
      </c>
      <c r="B775" t="s">
        <v>20</v>
      </c>
      <c r="C775" t="s">
        <v>17</v>
      </c>
      <c r="D775">
        <v>376.54</v>
      </c>
      <c r="E775" t="s">
        <v>18</v>
      </c>
      <c r="F775">
        <v>157.99</v>
      </c>
      <c r="G775">
        <f t="shared" si="14"/>
        <v>59489.554600000003</v>
      </c>
      <c r="H775" t="str">
        <f>IF(BOQ_Table[[#This Row],[Amount]]&gt;100000,"Over Budget","OK")</f>
        <v>OK</v>
      </c>
      <c r="I775" t="str">
        <f>IF(OR(BOQ_Table[[#This Row],[Quantity]]="",BOQ_Table[[#This Row],[Rate]]=""),"Missing","OK")</f>
        <v>OK</v>
      </c>
    </row>
    <row r="776" spans="1:9" x14ac:dyDescent="0.35">
      <c r="A776" t="s">
        <v>800</v>
      </c>
      <c r="B776" t="s">
        <v>46</v>
      </c>
      <c r="C776" t="s">
        <v>21</v>
      </c>
      <c r="D776">
        <v>36.11</v>
      </c>
      <c r="E776" t="s">
        <v>18</v>
      </c>
      <c r="F776">
        <v>1835.24</v>
      </c>
      <c r="G776">
        <f t="shared" si="14"/>
        <v>66270.516399999993</v>
      </c>
      <c r="H776" t="str">
        <f>IF(BOQ_Table[[#This Row],[Amount]]&gt;100000,"Over Budget","OK")</f>
        <v>OK</v>
      </c>
      <c r="I776" t="str">
        <f>IF(OR(BOQ_Table[[#This Row],[Quantity]]="",BOQ_Table[[#This Row],[Rate]]=""),"Missing","OK")</f>
        <v>OK</v>
      </c>
    </row>
    <row r="777" spans="1:9" x14ac:dyDescent="0.35">
      <c r="A777" t="s">
        <v>801</v>
      </c>
      <c r="B777" t="s">
        <v>56</v>
      </c>
      <c r="C777" t="s">
        <v>12</v>
      </c>
      <c r="D777">
        <v>337.91</v>
      </c>
      <c r="E777" t="s">
        <v>14</v>
      </c>
      <c r="F777">
        <v>1822.43</v>
      </c>
      <c r="G777">
        <f t="shared" si="14"/>
        <v>615817.32130000007</v>
      </c>
      <c r="H777" t="str">
        <f>IF(BOQ_Table[[#This Row],[Amount]]&gt;100000,"Over Budget","OK")</f>
        <v>Over Budget</v>
      </c>
      <c r="I777" t="str">
        <f>IF(OR(BOQ_Table[[#This Row],[Quantity]]="",BOQ_Table[[#This Row],[Rate]]=""),"Missing","OK")</f>
        <v>OK</v>
      </c>
    </row>
    <row r="778" spans="1:9" x14ac:dyDescent="0.35">
      <c r="A778" t="s">
        <v>802</v>
      </c>
      <c r="B778" t="s">
        <v>7</v>
      </c>
      <c r="C778" t="s">
        <v>17</v>
      </c>
      <c r="D778">
        <v>299.35000000000002</v>
      </c>
      <c r="E778" t="s">
        <v>27</v>
      </c>
      <c r="F778">
        <v>4561.38</v>
      </c>
      <c r="G778">
        <f t="shared" si="14"/>
        <v>1365449.1030000001</v>
      </c>
      <c r="H778" t="str">
        <f>IF(BOQ_Table[[#This Row],[Amount]]&gt;100000,"Over Budget","OK")</f>
        <v>Over Budget</v>
      </c>
      <c r="I778" t="str">
        <f>IF(OR(BOQ_Table[[#This Row],[Quantity]]="",BOQ_Table[[#This Row],[Rate]]=""),"Missing","OK")</f>
        <v>OK</v>
      </c>
    </row>
    <row r="779" spans="1:9" x14ac:dyDescent="0.35">
      <c r="A779" t="s">
        <v>803</v>
      </c>
      <c r="B779" t="s">
        <v>56</v>
      </c>
      <c r="C779" t="s">
        <v>38</v>
      </c>
      <c r="D779">
        <v>138.01</v>
      </c>
      <c r="E779" t="s">
        <v>9</v>
      </c>
      <c r="F779">
        <v>2397.89</v>
      </c>
      <c r="G779">
        <f t="shared" si="14"/>
        <v>330932.79889999994</v>
      </c>
      <c r="H779" t="str">
        <f>IF(BOQ_Table[[#This Row],[Amount]]&gt;100000,"Over Budget","OK")</f>
        <v>Over Budget</v>
      </c>
      <c r="I779" t="str">
        <f>IF(OR(BOQ_Table[[#This Row],[Quantity]]="",BOQ_Table[[#This Row],[Rate]]=""),"Missing","OK")</f>
        <v>OK</v>
      </c>
    </row>
    <row r="780" spans="1:9" x14ac:dyDescent="0.35">
      <c r="A780" t="s">
        <v>804</v>
      </c>
      <c r="B780" t="s">
        <v>56</v>
      </c>
      <c r="C780" t="s">
        <v>21</v>
      </c>
      <c r="D780">
        <v>254.4</v>
      </c>
      <c r="E780" t="s">
        <v>14</v>
      </c>
      <c r="F780">
        <v>1665.66</v>
      </c>
      <c r="G780">
        <f t="shared" si="14"/>
        <v>423743.90400000004</v>
      </c>
      <c r="H780" t="str">
        <f>IF(BOQ_Table[[#This Row],[Amount]]&gt;100000,"Over Budget","OK")</f>
        <v>Over Budget</v>
      </c>
      <c r="I780" t="str">
        <f>IF(OR(BOQ_Table[[#This Row],[Quantity]]="",BOQ_Table[[#This Row],[Rate]]=""),"Missing","OK")</f>
        <v>OK</v>
      </c>
    </row>
    <row r="781" spans="1:9" x14ac:dyDescent="0.35">
      <c r="A781" t="s">
        <v>805</v>
      </c>
      <c r="B781" t="s">
        <v>32</v>
      </c>
      <c r="C781" t="s">
        <v>8</v>
      </c>
      <c r="D781">
        <v>323.27999999999997</v>
      </c>
      <c r="E781" t="s">
        <v>14</v>
      </c>
      <c r="F781">
        <v>2702.17</v>
      </c>
      <c r="G781">
        <f t="shared" si="14"/>
        <v>873557.5175999999</v>
      </c>
      <c r="H781" t="str">
        <f>IF(BOQ_Table[[#This Row],[Amount]]&gt;100000,"Over Budget","OK")</f>
        <v>Over Budget</v>
      </c>
      <c r="I781" t="str">
        <f>IF(OR(BOQ_Table[[#This Row],[Quantity]]="",BOQ_Table[[#This Row],[Rate]]=""),"Missing","OK")</f>
        <v>OK</v>
      </c>
    </row>
    <row r="782" spans="1:9" x14ac:dyDescent="0.35">
      <c r="A782" t="s">
        <v>806</v>
      </c>
      <c r="B782" t="s">
        <v>40</v>
      </c>
      <c r="C782" t="s">
        <v>8</v>
      </c>
      <c r="D782">
        <v>53.74</v>
      </c>
      <c r="E782" t="s">
        <v>27</v>
      </c>
      <c r="F782">
        <v>3892.51</v>
      </c>
      <c r="G782">
        <f t="shared" si="14"/>
        <v>209183.48740000001</v>
      </c>
      <c r="H782" t="str">
        <f>IF(BOQ_Table[[#This Row],[Amount]]&gt;100000,"Over Budget","OK")</f>
        <v>Over Budget</v>
      </c>
      <c r="I782" t="str">
        <f>IF(OR(BOQ_Table[[#This Row],[Quantity]]="",BOQ_Table[[#This Row],[Rate]]=""),"Missing","OK")</f>
        <v>OK</v>
      </c>
    </row>
    <row r="783" spans="1:9" x14ac:dyDescent="0.35">
      <c r="A783" t="s">
        <v>807</v>
      </c>
      <c r="B783" t="s">
        <v>20</v>
      </c>
      <c r="C783" t="s">
        <v>21</v>
      </c>
      <c r="D783">
        <v>246.58</v>
      </c>
      <c r="E783" t="s">
        <v>9</v>
      </c>
      <c r="F783">
        <v>377.18</v>
      </c>
      <c r="G783">
        <f t="shared" si="14"/>
        <v>93005.044400000013</v>
      </c>
      <c r="H783" t="str">
        <f>IF(BOQ_Table[[#This Row],[Amount]]&gt;100000,"Over Budget","OK")</f>
        <v>OK</v>
      </c>
      <c r="I783" t="str">
        <f>IF(OR(BOQ_Table[[#This Row],[Quantity]]="",BOQ_Table[[#This Row],[Rate]]=""),"Missing","OK")</f>
        <v>OK</v>
      </c>
    </row>
    <row r="784" spans="1:9" x14ac:dyDescent="0.35">
      <c r="A784" t="s">
        <v>808</v>
      </c>
      <c r="B784" t="s">
        <v>42</v>
      </c>
      <c r="C784" t="s">
        <v>21</v>
      </c>
      <c r="D784">
        <v>427.49</v>
      </c>
      <c r="E784" t="s">
        <v>27</v>
      </c>
      <c r="F784">
        <v>1753.67</v>
      </c>
      <c r="G784">
        <f t="shared" si="14"/>
        <v>749676.38829999999</v>
      </c>
      <c r="H784" t="str">
        <f>IF(BOQ_Table[[#This Row],[Amount]]&gt;100000,"Over Budget","OK")</f>
        <v>Over Budget</v>
      </c>
      <c r="I784" t="str">
        <f>IF(OR(BOQ_Table[[#This Row],[Quantity]]="",BOQ_Table[[#This Row],[Rate]]=""),"Missing","OK")</f>
        <v>OK</v>
      </c>
    </row>
    <row r="785" spans="1:9" x14ac:dyDescent="0.35">
      <c r="A785" t="s">
        <v>809</v>
      </c>
      <c r="B785" t="s">
        <v>32</v>
      </c>
      <c r="C785" t="s">
        <v>21</v>
      </c>
      <c r="D785">
        <v>229.69</v>
      </c>
      <c r="E785" t="s">
        <v>22</v>
      </c>
      <c r="F785">
        <v>2278.9899999999998</v>
      </c>
      <c r="G785">
        <f t="shared" si="14"/>
        <v>523461.21309999994</v>
      </c>
      <c r="H785" t="str">
        <f>IF(BOQ_Table[[#This Row],[Amount]]&gt;100000,"Over Budget","OK")</f>
        <v>Over Budget</v>
      </c>
      <c r="I785" t="str">
        <f>IF(OR(BOQ_Table[[#This Row],[Quantity]]="",BOQ_Table[[#This Row],[Rate]]=""),"Missing","OK")</f>
        <v>OK</v>
      </c>
    </row>
    <row r="786" spans="1:9" x14ac:dyDescent="0.35">
      <c r="A786" t="s">
        <v>810</v>
      </c>
      <c r="B786" t="s">
        <v>32</v>
      </c>
      <c r="C786" t="s">
        <v>8</v>
      </c>
      <c r="D786">
        <v>310.26</v>
      </c>
      <c r="E786" t="s">
        <v>18</v>
      </c>
      <c r="F786">
        <v>2479.56</v>
      </c>
      <c r="G786">
        <f t="shared" si="14"/>
        <v>769308.28559999994</v>
      </c>
      <c r="H786" t="str">
        <f>IF(BOQ_Table[[#This Row],[Amount]]&gt;100000,"Over Budget","OK")</f>
        <v>Over Budget</v>
      </c>
      <c r="I786" t="str">
        <f>IF(OR(BOQ_Table[[#This Row],[Quantity]]="",BOQ_Table[[#This Row],[Rate]]=""),"Missing","OK")</f>
        <v>OK</v>
      </c>
    </row>
    <row r="787" spans="1:9" x14ac:dyDescent="0.35">
      <c r="A787" t="s">
        <v>811</v>
      </c>
      <c r="B787" t="s">
        <v>42</v>
      </c>
      <c r="C787" t="s">
        <v>12</v>
      </c>
      <c r="D787">
        <v>91.31</v>
      </c>
      <c r="E787" t="s">
        <v>22</v>
      </c>
      <c r="F787">
        <v>3172.14</v>
      </c>
      <c r="G787">
        <f t="shared" si="14"/>
        <v>289648.10340000002</v>
      </c>
      <c r="H787" t="str">
        <f>IF(BOQ_Table[[#This Row],[Amount]]&gt;100000,"Over Budget","OK")</f>
        <v>Over Budget</v>
      </c>
      <c r="I787" t="str">
        <f>IF(OR(BOQ_Table[[#This Row],[Quantity]]="",BOQ_Table[[#This Row],[Rate]]=""),"Missing","OK")</f>
        <v>OK</v>
      </c>
    </row>
    <row r="788" spans="1:9" x14ac:dyDescent="0.35">
      <c r="A788" t="s">
        <v>812</v>
      </c>
      <c r="B788" t="s">
        <v>7</v>
      </c>
      <c r="C788" t="s">
        <v>38</v>
      </c>
      <c r="D788">
        <v>245.14</v>
      </c>
      <c r="E788" t="s">
        <v>14</v>
      </c>
      <c r="F788">
        <v>1634.81</v>
      </c>
      <c r="G788">
        <f t="shared" si="14"/>
        <v>400757.32339999994</v>
      </c>
      <c r="H788" t="str">
        <f>IF(BOQ_Table[[#This Row],[Amount]]&gt;100000,"Over Budget","OK")</f>
        <v>Over Budget</v>
      </c>
      <c r="I788" t="str">
        <f>IF(OR(BOQ_Table[[#This Row],[Quantity]]="",BOQ_Table[[#This Row],[Rate]]=""),"Missing","OK")</f>
        <v>OK</v>
      </c>
    </row>
    <row r="789" spans="1:9" x14ac:dyDescent="0.35">
      <c r="A789" t="s">
        <v>813</v>
      </c>
      <c r="B789" t="s">
        <v>7</v>
      </c>
      <c r="C789" t="s">
        <v>12</v>
      </c>
      <c r="D789">
        <v>251.15</v>
      </c>
      <c r="E789" t="s">
        <v>22</v>
      </c>
      <c r="F789">
        <v>3182.33</v>
      </c>
      <c r="G789">
        <f t="shared" si="14"/>
        <v>799242.17949999997</v>
      </c>
      <c r="H789" t="str">
        <f>IF(BOQ_Table[[#This Row],[Amount]]&gt;100000,"Over Budget","OK")</f>
        <v>Over Budget</v>
      </c>
      <c r="I789" t="str">
        <f>IF(OR(BOQ_Table[[#This Row],[Quantity]]="",BOQ_Table[[#This Row],[Rate]]=""),"Missing","OK")</f>
        <v>OK</v>
      </c>
    </row>
    <row r="790" spans="1:9" x14ac:dyDescent="0.35">
      <c r="A790" t="s">
        <v>814</v>
      </c>
      <c r="B790" t="s">
        <v>16</v>
      </c>
      <c r="C790" t="s">
        <v>21</v>
      </c>
      <c r="D790">
        <v>337.34</v>
      </c>
      <c r="E790" t="s">
        <v>27</v>
      </c>
      <c r="F790">
        <v>765.14</v>
      </c>
      <c r="G790">
        <f t="shared" si="14"/>
        <v>258112.32759999999</v>
      </c>
      <c r="H790" t="str">
        <f>IF(BOQ_Table[[#This Row],[Amount]]&gt;100000,"Over Budget","OK")</f>
        <v>Over Budget</v>
      </c>
      <c r="I790" t="str">
        <f>IF(OR(BOQ_Table[[#This Row],[Quantity]]="",BOQ_Table[[#This Row],[Rate]]=""),"Missing","OK")</f>
        <v>OK</v>
      </c>
    </row>
    <row r="791" spans="1:9" x14ac:dyDescent="0.35">
      <c r="A791" t="s">
        <v>815</v>
      </c>
      <c r="B791" t="s">
        <v>32</v>
      </c>
      <c r="C791" t="s">
        <v>38</v>
      </c>
      <c r="D791">
        <v>355.66</v>
      </c>
      <c r="E791" t="s">
        <v>27</v>
      </c>
      <c r="F791">
        <v>717.8</v>
      </c>
      <c r="G791">
        <f t="shared" si="14"/>
        <v>255292.74799999999</v>
      </c>
      <c r="H791" t="str">
        <f>IF(BOQ_Table[[#This Row],[Amount]]&gt;100000,"Over Budget","OK")</f>
        <v>Over Budget</v>
      </c>
      <c r="I791" t="str">
        <f>IF(OR(BOQ_Table[[#This Row],[Quantity]]="",BOQ_Table[[#This Row],[Rate]]=""),"Missing","OK")</f>
        <v>OK</v>
      </c>
    </row>
    <row r="792" spans="1:9" x14ac:dyDescent="0.35">
      <c r="A792" t="s">
        <v>816</v>
      </c>
      <c r="B792" t="s">
        <v>56</v>
      </c>
      <c r="C792" t="s">
        <v>12</v>
      </c>
      <c r="D792">
        <v>73.17</v>
      </c>
      <c r="E792" t="s">
        <v>14</v>
      </c>
      <c r="F792">
        <v>3512.05</v>
      </c>
      <c r="G792">
        <f t="shared" si="14"/>
        <v>256976.69850000003</v>
      </c>
      <c r="H792" t="str">
        <f>IF(BOQ_Table[[#This Row],[Amount]]&gt;100000,"Over Budget","OK")</f>
        <v>Over Budget</v>
      </c>
      <c r="I792" t="str">
        <f>IF(OR(BOQ_Table[[#This Row],[Quantity]]="",BOQ_Table[[#This Row],[Rate]]=""),"Missing","OK")</f>
        <v>OK</v>
      </c>
    </row>
    <row r="793" spans="1:9" x14ac:dyDescent="0.35">
      <c r="A793" t="s">
        <v>817</v>
      </c>
      <c r="B793" t="s">
        <v>16</v>
      </c>
      <c r="C793" t="s">
        <v>38</v>
      </c>
      <c r="D793">
        <v>493.14</v>
      </c>
      <c r="E793" t="s">
        <v>18</v>
      </c>
      <c r="F793">
        <v>2532.8200000000002</v>
      </c>
      <c r="G793">
        <f t="shared" si="14"/>
        <v>1249034.8548000001</v>
      </c>
      <c r="H793" t="str">
        <f>IF(BOQ_Table[[#This Row],[Amount]]&gt;100000,"Over Budget","OK")</f>
        <v>Over Budget</v>
      </c>
      <c r="I793" t="str">
        <f>IF(OR(BOQ_Table[[#This Row],[Quantity]]="",BOQ_Table[[#This Row],[Rate]]=""),"Missing","OK")</f>
        <v>OK</v>
      </c>
    </row>
    <row r="794" spans="1:9" x14ac:dyDescent="0.35">
      <c r="A794" t="s">
        <v>818</v>
      </c>
      <c r="B794" t="s">
        <v>32</v>
      </c>
      <c r="C794" t="s">
        <v>8</v>
      </c>
      <c r="D794">
        <v>173.32</v>
      </c>
      <c r="E794" t="s">
        <v>27</v>
      </c>
      <c r="F794">
        <v>597.22</v>
      </c>
      <c r="G794">
        <f t="shared" si="14"/>
        <v>103510.1704</v>
      </c>
      <c r="H794" t="str">
        <f>IF(BOQ_Table[[#This Row],[Amount]]&gt;100000,"Over Budget","OK")</f>
        <v>Over Budget</v>
      </c>
      <c r="I794" t="str">
        <f>IF(OR(BOQ_Table[[#This Row],[Quantity]]="",BOQ_Table[[#This Row],[Rate]]=""),"Missing","OK")</f>
        <v>OK</v>
      </c>
    </row>
    <row r="795" spans="1:9" x14ac:dyDescent="0.35">
      <c r="A795" t="s">
        <v>819</v>
      </c>
      <c r="B795" t="s">
        <v>20</v>
      </c>
      <c r="C795" t="s">
        <v>17</v>
      </c>
      <c r="D795">
        <v>70.459999999999994</v>
      </c>
      <c r="E795" t="s">
        <v>9</v>
      </c>
      <c r="F795">
        <v>4467.24</v>
      </c>
      <c r="G795">
        <f t="shared" si="14"/>
        <v>314761.73039999994</v>
      </c>
      <c r="H795" t="str">
        <f>IF(BOQ_Table[[#This Row],[Amount]]&gt;100000,"Over Budget","OK")</f>
        <v>Over Budget</v>
      </c>
      <c r="I795" t="str">
        <f>IF(OR(BOQ_Table[[#This Row],[Quantity]]="",BOQ_Table[[#This Row],[Rate]]=""),"Missing","OK")</f>
        <v>OK</v>
      </c>
    </row>
    <row r="796" spans="1:9" x14ac:dyDescent="0.35">
      <c r="A796" t="s">
        <v>820</v>
      </c>
      <c r="B796" t="s">
        <v>56</v>
      </c>
      <c r="C796" t="s">
        <v>21</v>
      </c>
      <c r="D796">
        <v>459.75</v>
      </c>
      <c r="E796" t="s">
        <v>9</v>
      </c>
      <c r="F796">
        <v>4107.6499999999996</v>
      </c>
      <c r="G796">
        <f t="shared" si="14"/>
        <v>1888492.0874999999</v>
      </c>
      <c r="H796" t="str">
        <f>IF(BOQ_Table[[#This Row],[Amount]]&gt;100000,"Over Budget","OK")</f>
        <v>Over Budget</v>
      </c>
      <c r="I796" t="str">
        <f>IF(OR(BOQ_Table[[#This Row],[Quantity]]="",BOQ_Table[[#This Row],[Rate]]=""),"Missing","OK")</f>
        <v>OK</v>
      </c>
    </row>
    <row r="797" spans="1:9" x14ac:dyDescent="0.35">
      <c r="A797" t="s">
        <v>821</v>
      </c>
      <c r="B797" t="s">
        <v>32</v>
      </c>
      <c r="C797" t="s">
        <v>12</v>
      </c>
      <c r="D797">
        <v>306.66000000000003</v>
      </c>
      <c r="E797" t="s">
        <v>14</v>
      </c>
      <c r="F797">
        <v>4453.79</v>
      </c>
      <c r="G797">
        <f t="shared" si="14"/>
        <v>1365799.2414000002</v>
      </c>
      <c r="H797" t="str">
        <f>IF(BOQ_Table[[#This Row],[Amount]]&gt;100000,"Over Budget","OK")</f>
        <v>Over Budget</v>
      </c>
      <c r="I797" t="str">
        <f>IF(OR(BOQ_Table[[#This Row],[Quantity]]="",BOQ_Table[[#This Row],[Rate]]=""),"Missing","OK")</f>
        <v>OK</v>
      </c>
    </row>
    <row r="798" spans="1:9" x14ac:dyDescent="0.35">
      <c r="A798" t="s">
        <v>822</v>
      </c>
      <c r="B798" t="s">
        <v>20</v>
      </c>
      <c r="C798" t="s">
        <v>8</v>
      </c>
      <c r="D798">
        <v>476.81</v>
      </c>
      <c r="E798" t="s">
        <v>9</v>
      </c>
      <c r="F798">
        <v>2494.88</v>
      </c>
      <c r="G798">
        <f t="shared" si="14"/>
        <v>1189583.7328000001</v>
      </c>
      <c r="H798" t="str">
        <f>IF(BOQ_Table[[#This Row],[Amount]]&gt;100000,"Over Budget","OK")</f>
        <v>Over Budget</v>
      </c>
      <c r="I798" t="str">
        <f>IF(OR(BOQ_Table[[#This Row],[Quantity]]="",BOQ_Table[[#This Row],[Rate]]=""),"Missing","OK")</f>
        <v>OK</v>
      </c>
    </row>
    <row r="799" spans="1:9" x14ac:dyDescent="0.35">
      <c r="A799" t="s">
        <v>823</v>
      </c>
      <c r="B799" t="s">
        <v>11</v>
      </c>
      <c r="C799" t="s">
        <v>12</v>
      </c>
      <c r="D799">
        <v>84.31</v>
      </c>
      <c r="E799" t="s">
        <v>18</v>
      </c>
      <c r="F799">
        <v>1545.39</v>
      </c>
      <c r="G799">
        <f t="shared" si="14"/>
        <v>130291.83090000002</v>
      </c>
      <c r="H799" t="str">
        <f>IF(BOQ_Table[[#This Row],[Amount]]&gt;100000,"Over Budget","OK")</f>
        <v>Over Budget</v>
      </c>
      <c r="I799" t="str">
        <f>IF(OR(BOQ_Table[[#This Row],[Quantity]]="",BOQ_Table[[#This Row],[Rate]]=""),"Missing","OK")</f>
        <v>OK</v>
      </c>
    </row>
    <row r="800" spans="1:9" x14ac:dyDescent="0.35">
      <c r="A800" t="s">
        <v>824</v>
      </c>
      <c r="B800" t="s">
        <v>32</v>
      </c>
      <c r="C800" t="s">
        <v>8</v>
      </c>
      <c r="D800">
        <v>114.27</v>
      </c>
      <c r="E800" t="s">
        <v>18</v>
      </c>
      <c r="F800">
        <v>53.97</v>
      </c>
      <c r="G800">
        <f t="shared" si="14"/>
        <v>6167.1518999999998</v>
      </c>
      <c r="H800" t="str">
        <f>IF(BOQ_Table[[#This Row],[Amount]]&gt;100000,"Over Budget","OK")</f>
        <v>OK</v>
      </c>
      <c r="I800" t="str">
        <f>IF(OR(BOQ_Table[[#This Row],[Quantity]]="",BOQ_Table[[#This Row],[Rate]]=""),"Missing","OK")</f>
        <v>OK</v>
      </c>
    </row>
    <row r="801" spans="1:9" x14ac:dyDescent="0.35">
      <c r="A801" t="s">
        <v>825</v>
      </c>
      <c r="B801" t="s">
        <v>32</v>
      </c>
      <c r="C801" t="s">
        <v>21</v>
      </c>
      <c r="D801">
        <v>263.12</v>
      </c>
      <c r="E801" t="s">
        <v>14</v>
      </c>
      <c r="F801">
        <v>2187.0100000000002</v>
      </c>
      <c r="G801">
        <f t="shared" si="14"/>
        <v>575446.07120000012</v>
      </c>
      <c r="H801" t="str">
        <f>IF(BOQ_Table[[#This Row],[Amount]]&gt;100000,"Over Budget","OK")</f>
        <v>Over Budget</v>
      </c>
      <c r="I801" t="str">
        <f>IF(OR(BOQ_Table[[#This Row],[Quantity]]="",BOQ_Table[[#This Row],[Rate]]=""),"Missing","OK")</f>
        <v>OK</v>
      </c>
    </row>
    <row r="802" spans="1:9" x14ac:dyDescent="0.35">
      <c r="A802" t="s">
        <v>826</v>
      </c>
      <c r="B802" t="s">
        <v>56</v>
      </c>
      <c r="C802" t="s">
        <v>21</v>
      </c>
      <c r="D802">
        <v>188.24</v>
      </c>
      <c r="E802" t="s">
        <v>9</v>
      </c>
      <c r="F802">
        <v>3463.93</v>
      </c>
      <c r="G802">
        <f t="shared" si="14"/>
        <v>652050.18319999997</v>
      </c>
      <c r="H802" t="str">
        <f>IF(BOQ_Table[[#This Row],[Amount]]&gt;100000,"Over Budget","OK")</f>
        <v>Over Budget</v>
      </c>
      <c r="I802" t="str">
        <f>IF(OR(BOQ_Table[[#This Row],[Quantity]]="",BOQ_Table[[#This Row],[Rate]]=""),"Missing","OK")</f>
        <v>OK</v>
      </c>
    </row>
    <row r="803" spans="1:9" x14ac:dyDescent="0.35">
      <c r="A803" t="s">
        <v>827</v>
      </c>
      <c r="B803" t="s">
        <v>42</v>
      </c>
      <c r="C803" t="s">
        <v>17</v>
      </c>
      <c r="D803">
        <v>25.58</v>
      </c>
      <c r="E803" t="s">
        <v>14</v>
      </c>
      <c r="F803">
        <v>2172.64</v>
      </c>
      <c r="G803">
        <f t="shared" si="14"/>
        <v>55576.131199999996</v>
      </c>
      <c r="H803" t="str">
        <f>IF(BOQ_Table[[#This Row],[Amount]]&gt;100000,"Over Budget","OK")</f>
        <v>OK</v>
      </c>
      <c r="I803" t="str">
        <f>IF(OR(BOQ_Table[[#This Row],[Quantity]]="",BOQ_Table[[#This Row],[Rate]]=""),"Missing","OK")</f>
        <v>OK</v>
      </c>
    </row>
    <row r="804" spans="1:9" x14ac:dyDescent="0.35">
      <c r="A804" t="s">
        <v>828</v>
      </c>
      <c r="B804" t="s">
        <v>56</v>
      </c>
      <c r="C804" t="s">
        <v>12</v>
      </c>
      <c r="D804">
        <v>475.57</v>
      </c>
      <c r="E804" t="s">
        <v>18</v>
      </c>
      <c r="F804">
        <v>3206.26</v>
      </c>
      <c r="G804">
        <f t="shared" si="14"/>
        <v>1524801.0682000001</v>
      </c>
      <c r="H804" t="str">
        <f>IF(BOQ_Table[[#This Row],[Amount]]&gt;100000,"Over Budget","OK")</f>
        <v>Over Budget</v>
      </c>
      <c r="I804" t="str">
        <f>IF(OR(BOQ_Table[[#This Row],[Quantity]]="",BOQ_Table[[#This Row],[Rate]]=""),"Missing","OK")</f>
        <v>OK</v>
      </c>
    </row>
    <row r="805" spans="1:9" x14ac:dyDescent="0.35">
      <c r="A805" t="s">
        <v>829</v>
      </c>
      <c r="B805" t="s">
        <v>42</v>
      </c>
      <c r="C805" t="s">
        <v>21</v>
      </c>
      <c r="D805">
        <v>397.7</v>
      </c>
      <c r="E805" t="s">
        <v>18</v>
      </c>
      <c r="F805">
        <v>4652.21</v>
      </c>
      <c r="G805">
        <f t="shared" si="14"/>
        <v>1850183.9169999999</v>
      </c>
      <c r="H805" t="str">
        <f>IF(BOQ_Table[[#This Row],[Amount]]&gt;100000,"Over Budget","OK")</f>
        <v>Over Budget</v>
      </c>
      <c r="I805" t="str">
        <f>IF(OR(BOQ_Table[[#This Row],[Quantity]]="",BOQ_Table[[#This Row],[Rate]]=""),"Missing","OK")</f>
        <v>OK</v>
      </c>
    </row>
    <row r="806" spans="1:9" x14ac:dyDescent="0.35">
      <c r="A806" t="s">
        <v>830</v>
      </c>
      <c r="B806" t="s">
        <v>16</v>
      </c>
      <c r="C806" t="s">
        <v>8</v>
      </c>
      <c r="D806">
        <v>396.74</v>
      </c>
      <c r="E806" t="s">
        <v>27</v>
      </c>
      <c r="F806">
        <v>666.52</v>
      </c>
      <c r="G806">
        <f t="shared" si="14"/>
        <v>264435.14480000001</v>
      </c>
      <c r="H806" t="str">
        <f>IF(BOQ_Table[[#This Row],[Amount]]&gt;100000,"Over Budget","OK")</f>
        <v>Over Budget</v>
      </c>
      <c r="I806" t="str">
        <f>IF(OR(BOQ_Table[[#This Row],[Quantity]]="",BOQ_Table[[#This Row],[Rate]]=""),"Missing","OK")</f>
        <v>OK</v>
      </c>
    </row>
    <row r="807" spans="1:9" x14ac:dyDescent="0.35">
      <c r="A807" t="s">
        <v>831</v>
      </c>
      <c r="B807" t="s">
        <v>46</v>
      </c>
      <c r="C807" t="s">
        <v>21</v>
      </c>
      <c r="D807">
        <v>387.29</v>
      </c>
      <c r="E807" t="s">
        <v>22</v>
      </c>
      <c r="F807">
        <v>2361.6999999999998</v>
      </c>
      <c r="G807">
        <f t="shared" si="14"/>
        <v>914662.79299999995</v>
      </c>
      <c r="H807" t="str">
        <f>IF(BOQ_Table[[#This Row],[Amount]]&gt;100000,"Over Budget","OK")</f>
        <v>Over Budget</v>
      </c>
      <c r="I807" t="str">
        <f>IF(OR(BOQ_Table[[#This Row],[Quantity]]="",BOQ_Table[[#This Row],[Rate]]=""),"Missing","OK")</f>
        <v>OK</v>
      </c>
    </row>
    <row r="808" spans="1:9" x14ac:dyDescent="0.35">
      <c r="A808" t="s">
        <v>832</v>
      </c>
      <c r="B808" t="s">
        <v>46</v>
      </c>
      <c r="C808" t="s">
        <v>17</v>
      </c>
      <c r="D808">
        <v>179.72</v>
      </c>
      <c r="E808" t="s">
        <v>22</v>
      </c>
      <c r="F808">
        <v>1132.98</v>
      </c>
      <c r="G808">
        <f t="shared" si="14"/>
        <v>203619.16560000001</v>
      </c>
      <c r="H808" t="str">
        <f>IF(BOQ_Table[[#This Row],[Amount]]&gt;100000,"Over Budget","OK")</f>
        <v>Over Budget</v>
      </c>
      <c r="I808" t="str">
        <f>IF(OR(BOQ_Table[[#This Row],[Quantity]]="",BOQ_Table[[#This Row],[Rate]]=""),"Missing","OK")</f>
        <v>OK</v>
      </c>
    </row>
    <row r="809" spans="1:9" x14ac:dyDescent="0.35">
      <c r="A809" t="s">
        <v>833</v>
      </c>
      <c r="B809" t="s">
        <v>42</v>
      </c>
      <c r="C809" t="s">
        <v>38</v>
      </c>
      <c r="D809">
        <v>340.73</v>
      </c>
      <c r="E809" t="s">
        <v>18</v>
      </c>
      <c r="F809">
        <v>4299.1000000000004</v>
      </c>
      <c r="G809">
        <f t="shared" si="14"/>
        <v>1464832.3430000001</v>
      </c>
      <c r="H809" t="str">
        <f>IF(BOQ_Table[[#This Row],[Amount]]&gt;100000,"Over Budget","OK")</f>
        <v>Over Budget</v>
      </c>
      <c r="I809" t="str">
        <f>IF(OR(BOQ_Table[[#This Row],[Quantity]]="",BOQ_Table[[#This Row],[Rate]]=""),"Missing","OK")</f>
        <v>OK</v>
      </c>
    </row>
    <row r="810" spans="1:9" x14ac:dyDescent="0.35">
      <c r="A810" t="s">
        <v>834</v>
      </c>
      <c r="B810" t="s">
        <v>16</v>
      </c>
      <c r="C810" t="s">
        <v>21</v>
      </c>
      <c r="D810">
        <v>329.72</v>
      </c>
      <c r="E810" t="s">
        <v>14</v>
      </c>
      <c r="F810">
        <v>3374.37</v>
      </c>
      <c r="G810">
        <f t="shared" si="14"/>
        <v>1112597.2764000001</v>
      </c>
      <c r="H810" t="str">
        <f>IF(BOQ_Table[[#This Row],[Amount]]&gt;100000,"Over Budget","OK")</f>
        <v>Over Budget</v>
      </c>
      <c r="I810" t="str">
        <f>IF(OR(BOQ_Table[[#This Row],[Quantity]]="",BOQ_Table[[#This Row],[Rate]]=""),"Missing","OK")</f>
        <v>OK</v>
      </c>
    </row>
    <row r="811" spans="1:9" x14ac:dyDescent="0.35">
      <c r="A811" t="s">
        <v>835</v>
      </c>
      <c r="B811" t="s">
        <v>46</v>
      </c>
      <c r="C811" t="s">
        <v>12</v>
      </c>
      <c r="D811">
        <v>143.1</v>
      </c>
      <c r="E811" t="s">
        <v>18</v>
      </c>
      <c r="F811">
        <v>722.36</v>
      </c>
      <c r="G811">
        <f t="shared" si="14"/>
        <v>103369.716</v>
      </c>
      <c r="H811" t="str">
        <f>IF(BOQ_Table[[#This Row],[Amount]]&gt;100000,"Over Budget","OK")</f>
        <v>Over Budget</v>
      </c>
      <c r="I811" t="str">
        <f>IF(OR(BOQ_Table[[#This Row],[Quantity]]="",BOQ_Table[[#This Row],[Rate]]=""),"Missing","OK")</f>
        <v>OK</v>
      </c>
    </row>
    <row r="812" spans="1:9" x14ac:dyDescent="0.35">
      <c r="A812" t="s">
        <v>836</v>
      </c>
      <c r="B812" t="s">
        <v>40</v>
      </c>
      <c r="C812" t="s">
        <v>12</v>
      </c>
      <c r="D812">
        <v>143.26</v>
      </c>
      <c r="E812" t="s">
        <v>14</v>
      </c>
      <c r="F812">
        <v>1909.49</v>
      </c>
      <c r="G812">
        <f t="shared" si="14"/>
        <v>273553.53739999997</v>
      </c>
      <c r="H812" t="str">
        <f>IF(BOQ_Table[[#This Row],[Amount]]&gt;100000,"Over Budget","OK")</f>
        <v>Over Budget</v>
      </c>
      <c r="I812" t="str">
        <f>IF(OR(BOQ_Table[[#This Row],[Quantity]]="",BOQ_Table[[#This Row],[Rate]]=""),"Missing","OK")</f>
        <v>OK</v>
      </c>
    </row>
    <row r="813" spans="1:9" x14ac:dyDescent="0.35">
      <c r="A813" t="s">
        <v>837</v>
      </c>
      <c r="B813" t="s">
        <v>32</v>
      </c>
      <c r="C813" t="s">
        <v>8</v>
      </c>
      <c r="D813">
        <v>371.92</v>
      </c>
      <c r="E813" t="s">
        <v>14</v>
      </c>
      <c r="F813">
        <v>477.61</v>
      </c>
      <c r="G813">
        <f t="shared" si="14"/>
        <v>177632.71120000002</v>
      </c>
      <c r="H813" t="str">
        <f>IF(BOQ_Table[[#This Row],[Amount]]&gt;100000,"Over Budget","OK")</f>
        <v>Over Budget</v>
      </c>
      <c r="I813" t="str">
        <f>IF(OR(BOQ_Table[[#This Row],[Quantity]]="",BOQ_Table[[#This Row],[Rate]]=""),"Missing","OK")</f>
        <v>OK</v>
      </c>
    </row>
    <row r="814" spans="1:9" x14ac:dyDescent="0.35">
      <c r="A814" t="s">
        <v>838</v>
      </c>
      <c r="B814" t="s">
        <v>7</v>
      </c>
      <c r="C814" t="s">
        <v>8</v>
      </c>
      <c r="D814">
        <v>295.44</v>
      </c>
      <c r="E814" t="s">
        <v>22</v>
      </c>
      <c r="F814">
        <v>1026.21</v>
      </c>
      <c r="G814">
        <f t="shared" si="14"/>
        <v>303183.48240000004</v>
      </c>
      <c r="H814" t="str">
        <f>IF(BOQ_Table[[#This Row],[Amount]]&gt;100000,"Over Budget","OK")</f>
        <v>Over Budget</v>
      </c>
      <c r="I814" t="str">
        <f>IF(OR(BOQ_Table[[#This Row],[Quantity]]="",BOQ_Table[[#This Row],[Rate]]=""),"Missing","OK")</f>
        <v>OK</v>
      </c>
    </row>
    <row r="815" spans="1:9" x14ac:dyDescent="0.35">
      <c r="A815" t="s">
        <v>839</v>
      </c>
      <c r="B815" t="s">
        <v>46</v>
      </c>
      <c r="C815" t="s">
        <v>12</v>
      </c>
      <c r="D815">
        <v>317.41000000000003</v>
      </c>
      <c r="E815" t="s">
        <v>27</v>
      </c>
      <c r="F815">
        <v>2312.4699999999998</v>
      </c>
      <c r="G815">
        <f t="shared" si="14"/>
        <v>734001.10270000005</v>
      </c>
      <c r="H815" t="str">
        <f>IF(BOQ_Table[[#This Row],[Amount]]&gt;100000,"Over Budget","OK")</f>
        <v>Over Budget</v>
      </c>
      <c r="I815" t="str">
        <f>IF(OR(BOQ_Table[[#This Row],[Quantity]]="",BOQ_Table[[#This Row],[Rate]]=""),"Missing","OK")</f>
        <v>OK</v>
      </c>
    </row>
    <row r="816" spans="1:9" x14ac:dyDescent="0.35">
      <c r="A816" t="s">
        <v>840</v>
      </c>
      <c r="B816" t="s">
        <v>7</v>
      </c>
      <c r="C816" t="s">
        <v>21</v>
      </c>
      <c r="D816">
        <v>94.88</v>
      </c>
      <c r="E816" t="s">
        <v>9</v>
      </c>
      <c r="F816">
        <v>4441.38</v>
      </c>
      <c r="G816">
        <f t="shared" si="14"/>
        <v>421398.13439999998</v>
      </c>
      <c r="H816" t="str">
        <f>IF(BOQ_Table[[#This Row],[Amount]]&gt;100000,"Over Budget","OK")</f>
        <v>Over Budget</v>
      </c>
      <c r="I816" t="str">
        <f>IF(OR(BOQ_Table[[#This Row],[Quantity]]="",BOQ_Table[[#This Row],[Rate]]=""),"Missing","OK")</f>
        <v>OK</v>
      </c>
    </row>
    <row r="817" spans="1:9" x14ac:dyDescent="0.35">
      <c r="A817" t="s">
        <v>841</v>
      </c>
      <c r="B817" t="s">
        <v>16</v>
      </c>
      <c r="C817" t="s">
        <v>12</v>
      </c>
      <c r="D817">
        <v>455.62</v>
      </c>
      <c r="E817" t="s">
        <v>18</v>
      </c>
      <c r="F817">
        <v>4321.09</v>
      </c>
      <c r="G817">
        <f t="shared" si="14"/>
        <v>1968775.0258000002</v>
      </c>
      <c r="H817" t="str">
        <f>IF(BOQ_Table[[#This Row],[Amount]]&gt;100000,"Over Budget","OK")</f>
        <v>Over Budget</v>
      </c>
      <c r="I817" t="str">
        <f>IF(OR(BOQ_Table[[#This Row],[Quantity]]="",BOQ_Table[[#This Row],[Rate]]=""),"Missing","OK")</f>
        <v>OK</v>
      </c>
    </row>
    <row r="818" spans="1:9" x14ac:dyDescent="0.35">
      <c r="A818" t="s">
        <v>842</v>
      </c>
      <c r="B818" t="s">
        <v>32</v>
      </c>
      <c r="C818" t="s">
        <v>38</v>
      </c>
      <c r="D818">
        <v>401.92</v>
      </c>
      <c r="E818" t="s">
        <v>14</v>
      </c>
      <c r="F818">
        <v>4421.6899999999996</v>
      </c>
      <c r="G818">
        <f t="shared" si="14"/>
        <v>1777165.6447999999</v>
      </c>
      <c r="H818" t="str">
        <f>IF(BOQ_Table[[#This Row],[Amount]]&gt;100000,"Over Budget","OK")</f>
        <v>Over Budget</v>
      </c>
      <c r="I818" t="str">
        <f>IF(OR(BOQ_Table[[#This Row],[Quantity]]="",BOQ_Table[[#This Row],[Rate]]=""),"Missing","OK")</f>
        <v>OK</v>
      </c>
    </row>
    <row r="819" spans="1:9" x14ac:dyDescent="0.35">
      <c r="A819" t="s">
        <v>843</v>
      </c>
      <c r="B819" t="s">
        <v>7</v>
      </c>
      <c r="C819" t="s">
        <v>17</v>
      </c>
      <c r="D819">
        <v>452.32</v>
      </c>
      <c r="E819" t="s">
        <v>27</v>
      </c>
      <c r="F819">
        <v>3190.49</v>
      </c>
      <c r="G819">
        <f t="shared" si="14"/>
        <v>1443122.4367999998</v>
      </c>
      <c r="H819" t="str">
        <f>IF(BOQ_Table[[#This Row],[Amount]]&gt;100000,"Over Budget","OK")</f>
        <v>Over Budget</v>
      </c>
      <c r="I819" t="str">
        <f>IF(OR(BOQ_Table[[#This Row],[Quantity]]="",BOQ_Table[[#This Row],[Rate]]=""),"Missing","OK")</f>
        <v>OK</v>
      </c>
    </row>
    <row r="820" spans="1:9" x14ac:dyDescent="0.35">
      <c r="A820" t="s">
        <v>844</v>
      </c>
      <c r="B820" t="s">
        <v>32</v>
      </c>
      <c r="C820" t="s">
        <v>12</v>
      </c>
      <c r="D820">
        <v>213.09</v>
      </c>
      <c r="E820" t="s">
        <v>9</v>
      </c>
      <c r="F820">
        <v>149.07</v>
      </c>
      <c r="G820">
        <f t="shared" si="14"/>
        <v>31765.326300000001</v>
      </c>
      <c r="H820" t="str">
        <f>IF(BOQ_Table[[#This Row],[Amount]]&gt;100000,"Over Budget","OK")</f>
        <v>OK</v>
      </c>
      <c r="I820" t="str">
        <f>IF(OR(BOQ_Table[[#This Row],[Quantity]]="",BOQ_Table[[#This Row],[Rate]]=""),"Missing","OK")</f>
        <v>OK</v>
      </c>
    </row>
    <row r="821" spans="1:9" x14ac:dyDescent="0.35">
      <c r="A821" t="s">
        <v>845</v>
      </c>
      <c r="B821" t="s">
        <v>11</v>
      </c>
      <c r="C821" t="s">
        <v>8</v>
      </c>
      <c r="D821">
        <v>459.71</v>
      </c>
      <c r="E821" t="s">
        <v>14</v>
      </c>
      <c r="F821">
        <v>4192.38</v>
      </c>
      <c r="G821">
        <f t="shared" si="14"/>
        <v>1927279.0097999999</v>
      </c>
      <c r="H821" t="str">
        <f>IF(BOQ_Table[[#This Row],[Amount]]&gt;100000,"Over Budget","OK")</f>
        <v>Over Budget</v>
      </c>
      <c r="I821" t="str">
        <f>IF(OR(BOQ_Table[[#This Row],[Quantity]]="",BOQ_Table[[#This Row],[Rate]]=""),"Missing","OK")</f>
        <v>OK</v>
      </c>
    </row>
    <row r="822" spans="1:9" x14ac:dyDescent="0.35">
      <c r="A822" t="s">
        <v>846</v>
      </c>
      <c r="B822" t="s">
        <v>11</v>
      </c>
      <c r="C822" t="s">
        <v>17</v>
      </c>
      <c r="D822">
        <v>391.33</v>
      </c>
      <c r="E822" t="s">
        <v>14</v>
      </c>
      <c r="F822">
        <v>592.07000000000005</v>
      </c>
      <c r="G822">
        <f t="shared" si="14"/>
        <v>231694.7531</v>
      </c>
      <c r="H822" t="str">
        <f>IF(BOQ_Table[[#This Row],[Amount]]&gt;100000,"Over Budget","OK")</f>
        <v>Over Budget</v>
      </c>
      <c r="I822" t="str">
        <f>IF(OR(BOQ_Table[[#This Row],[Quantity]]="",BOQ_Table[[#This Row],[Rate]]=""),"Missing","OK")</f>
        <v>OK</v>
      </c>
    </row>
    <row r="823" spans="1:9" x14ac:dyDescent="0.35">
      <c r="A823" t="s">
        <v>847</v>
      </c>
      <c r="B823" t="s">
        <v>42</v>
      </c>
      <c r="C823" t="s">
        <v>8</v>
      </c>
      <c r="D823">
        <v>124.01</v>
      </c>
      <c r="E823" t="s">
        <v>22</v>
      </c>
      <c r="F823">
        <v>3459.67</v>
      </c>
      <c r="G823">
        <f t="shared" si="14"/>
        <v>429033.67670000001</v>
      </c>
      <c r="H823" t="str">
        <f>IF(BOQ_Table[[#This Row],[Amount]]&gt;100000,"Over Budget","OK")</f>
        <v>Over Budget</v>
      </c>
      <c r="I823" t="str">
        <f>IF(OR(BOQ_Table[[#This Row],[Quantity]]="",BOQ_Table[[#This Row],[Rate]]=""),"Missing","OK")</f>
        <v>OK</v>
      </c>
    </row>
    <row r="824" spans="1:9" x14ac:dyDescent="0.35">
      <c r="A824" t="s">
        <v>848</v>
      </c>
      <c r="B824" t="s">
        <v>46</v>
      </c>
      <c r="C824" t="s">
        <v>17</v>
      </c>
      <c r="D824">
        <v>243.53</v>
      </c>
      <c r="E824" t="s">
        <v>22</v>
      </c>
      <c r="F824">
        <v>2451.67</v>
      </c>
      <c r="G824">
        <f t="shared" si="14"/>
        <v>597055.19510000001</v>
      </c>
      <c r="H824" t="str">
        <f>IF(BOQ_Table[[#This Row],[Amount]]&gt;100000,"Over Budget","OK")</f>
        <v>Over Budget</v>
      </c>
      <c r="I824" t="str">
        <f>IF(OR(BOQ_Table[[#This Row],[Quantity]]="",BOQ_Table[[#This Row],[Rate]]=""),"Missing","OK")</f>
        <v>OK</v>
      </c>
    </row>
    <row r="825" spans="1:9" x14ac:dyDescent="0.35">
      <c r="A825" t="s">
        <v>849</v>
      </c>
      <c r="B825" t="s">
        <v>32</v>
      </c>
      <c r="C825" t="s">
        <v>8</v>
      </c>
      <c r="D825">
        <v>334.98</v>
      </c>
      <c r="E825" t="s">
        <v>22</v>
      </c>
      <c r="F825">
        <v>2803.1</v>
      </c>
      <c r="G825">
        <f t="shared" si="14"/>
        <v>938982.43799999997</v>
      </c>
      <c r="H825" t="str">
        <f>IF(BOQ_Table[[#This Row],[Amount]]&gt;100000,"Over Budget","OK")</f>
        <v>Over Budget</v>
      </c>
      <c r="I825" t="str">
        <f>IF(OR(BOQ_Table[[#This Row],[Quantity]]="",BOQ_Table[[#This Row],[Rate]]=""),"Missing","OK")</f>
        <v>OK</v>
      </c>
    </row>
    <row r="826" spans="1:9" x14ac:dyDescent="0.35">
      <c r="A826" t="s">
        <v>850</v>
      </c>
      <c r="B826" t="s">
        <v>40</v>
      </c>
      <c r="C826" t="s">
        <v>12</v>
      </c>
      <c r="D826">
        <v>280.67</v>
      </c>
      <c r="E826" t="s">
        <v>27</v>
      </c>
      <c r="F826">
        <v>1417.46</v>
      </c>
      <c r="G826">
        <f t="shared" si="14"/>
        <v>397838.49820000003</v>
      </c>
      <c r="H826" t="str">
        <f>IF(BOQ_Table[[#This Row],[Amount]]&gt;100000,"Over Budget","OK")</f>
        <v>Over Budget</v>
      </c>
      <c r="I826" t="str">
        <f>IF(OR(BOQ_Table[[#This Row],[Quantity]]="",BOQ_Table[[#This Row],[Rate]]=""),"Missing","OK")</f>
        <v>OK</v>
      </c>
    </row>
    <row r="827" spans="1:9" x14ac:dyDescent="0.35">
      <c r="A827" t="s">
        <v>851</v>
      </c>
      <c r="B827" t="s">
        <v>30</v>
      </c>
      <c r="C827" t="s">
        <v>12</v>
      </c>
      <c r="D827">
        <v>272.76</v>
      </c>
      <c r="E827" t="s">
        <v>27</v>
      </c>
      <c r="F827">
        <v>1536.92</v>
      </c>
      <c r="G827">
        <f t="shared" si="14"/>
        <v>419210.29920000001</v>
      </c>
      <c r="H827" t="str">
        <f>IF(BOQ_Table[[#This Row],[Amount]]&gt;100000,"Over Budget","OK")</f>
        <v>Over Budget</v>
      </c>
      <c r="I827" t="str">
        <f>IF(OR(BOQ_Table[[#This Row],[Quantity]]="",BOQ_Table[[#This Row],[Rate]]=""),"Missing","OK")</f>
        <v>OK</v>
      </c>
    </row>
    <row r="828" spans="1:9" x14ac:dyDescent="0.35">
      <c r="A828" t="s">
        <v>852</v>
      </c>
      <c r="B828" t="s">
        <v>11</v>
      </c>
      <c r="C828" t="s">
        <v>38</v>
      </c>
      <c r="D828">
        <v>457.41</v>
      </c>
      <c r="E828" t="s">
        <v>27</v>
      </c>
      <c r="F828">
        <v>2208.77</v>
      </c>
      <c r="G828">
        <f t="shared" si="14"/>
        <v>1010313.4857000001</v>
      </c>
      <c r="H828" t="str">
        <f>IF(BOQ_Table[[#This Row],[Amount]]&gt;100000,"Over Budget","OK")</f>
        <v>Over Budget</v>
      </c>
      <c r="I828" t="str">
        <f>IF(OR(BOQ_Table[[#This Row],[Quantity]]="",BOQ_Table[[#This Row],[Rate]]=""),"Missing","OK")</f>
        <v>OK</v>
      </c>
    </row>
    <row r="829" spans="1:9" x14ac:dyDescent="0.35">
      <c r="A829" t="s">
        <v>853</v>
      </c>
      <c r="B829" t="s">
        <v>20</v>
      </c>
      <c r="C829" t="s">
        <v>21</v>
      </c>
      <c r="D829">
        <v>247.01</v>
      </c>
      <c r="E829" t="s">
        <v>22</v>
      </c>
      <c r="F829">
        <v>2051.73</v>
      </c>
      <c r="G829">
        <f t="shared" si="14"/>
        <v>506797.8273</v>
      </c>
      <c r="H829" t="str">
        <f>IF(BOQ_Table[[#This Row],[Amount]]&gt;100000,"Over Budget","OK")</f>
        <v>Over Budget</v>
      </c>
      <c r="I829" t="str">
        <f>IF(OR(BOQ_Table[[#This Row],[Quantity]]="",BOQ_Table[[#This Row],[Rate]]=""),"Missing","OK")</f>
        <v>OK</v>
      </c>
    </row>
    <row r="830" spans="1:9" x14ac:dyDescent="0.35">
      <c r="A830" t="s">
        <v>854</v>
      </c>
      <c r="B830" t="s">
        <v>20</v>
      </c>
      <c r="C830" t="s">
        <v>8</v>
      </c>
      <c r="D830">
        <v>490.32</v>
      </c>
      <c r="E830" t="s">
        <v>14</v>
      </c>
      <c r="F830">
        <v>4428.1400000000003</v>
      </c>
      <c r="G830">
        <f t="shared" si="14"/>
        <v>2171205.6048000003</v>
      </c>
      <c r="H830" t="str">
        <f>IF(BOQ_Table[[#This Row],[Amount]]&gt;100000,"Over Budget","OK")</f>
        <v>Over Budget</v>
      </c>
      <c r="I830" t="str">
        <f>IF(OR(BOQ_Table[[#This Row],[Quantity]]="",BOQ_Table[[#This Row],[Rate]]=""),"Missing","OK")</f>
        <v>OK</v>
      </c>
    </row>
    <row r="831" spans="1:9" x14ac:dyDescent="0.35">
      <c r="A831" t="s">
        <v>855</v>
      </c>
      <c r="B831" t="s">
        <v>32</v>
      </c>
      <c r="C831" t="s">
        <v>17</v>
      </c>
      <c r="D831">
        <v>67.900000000000006</v>
      </c>
      <c r="E831" t="s">
        <v>27</v>
      </c>
      <c r="F831">
        <v>3539.45</v>
      </c>
      <c r="G831">
        <f t="shared" si="14"/>
        <v>240328.655</v>
      </c>
      <c r="H831" t="str">
        <f>IF(BOQ_Table[[#This Row],[Amount]]&gt;100000,"Over Budget","OK")</f>
        <v>Over Budget</v>
      </c>
      <c r="I831" t="str">
        <f>IF(OR(BOQ_Table[[#This Row],[Quantity]]="",BOQ_Table[[#This Row],[Rate]]=""),"Missing","OK")</f>
        <v>OK</v>
      </c>
    </row>
    <row r="832" spans="1:9" x14ac:dyDescent="0.35">
      <c r="A832" t="s">
        <v>856</v>
      </c>
      <c r="B832" t="s">
        <v>20</v>
      </c>
      <c r="C832" t="s">
        <v>38</v>
      </c>
      <c r="D832">
        <v>137.63999999999999</v>
      </c>
      <c r="E832" t="s">
        <v>22</v>
      </c>
      <c r="F832">
        <v>3750.71</v>
      </c>
      <c r="G832">
        <f t="shared" si="14"/>
        <v>516247.72439999995</v>
      </c>
      <c r="H832" t="str">
        <f>IF(BOQ_Table[[#This Row],[Amount]]&gt;100000,"Over Budget","OK")</f>
        <v>Over Budget</v>
      </c>
      <c r="I832" t="str">
        <f>IF(OR(BOQ_Table[[#This Row],[Quantity]]="",BOQ_Table[[#This Row],[Rate]]=""),"Missing","OK")</f>
        <v>OK</v>
      </c>
    </row>
    <row r="833" spans="1:9" x14ac:dyDescent="0.35">
      <c r="A833" t="s">
        <v>857</v>
      </c>
      <c r="B833" t="s">
        <v>56</v>
      </c>
      <c r="C833" t="s">
        <v>12</v>
      </c>
      <c r="D833">
        <v>425.95</v>
      </c>
      <c r="E833" t="s">
        <v>9</v>
      </c>
      <c r="F833">
        <v>281.13</v>
      </c>
      <c r="G833">
        <f t="shared" si="14"/>
        <v>119747.3235</v>
      </c>
      <c r="H833" t="str">
        <f>IF(BOQ_Table[[#This Row],[Amount]]&gt;100000,"Over Budget","OK")</f>
        <v>Over Budget</v>
      </c>
      <c r="I833" t="str">
        <f>IF(OR(BOQ_Table[[#This Row],[Quantity]]="",BOQ_Table[[#This Row],[Rate]]=""),"Missing","OK")</f>
        <v>OK</v>
      </c>
    </row>
    <row r="834" spans="1:9" x14ac:dyDescent="0.35">
      <c r="A834" t="s">
        <v>858</v>
      </c>
      <c r="B834" t="s">
        <v>20</v>
      </c>
      <c r="C834" t="s">
        <v>8</v>
      </c>
      <c r="D834">
        <v>211.77</v>
      </c>
      <c r="E834" t="s">
        <v>9</v>
      </c>
      <c r="F834">
        <v>2797.64</v>
      </c>
      <c r="G834">
        <f t="shared" ref="G834:G897" si="15">D834*F834</f>
        <v>592456.22279999999</v>
      </c>
      <c r="H834" t="str">
        <f>IF(BOQ_Table[[#This Row],[Amount]]&gt;100000,"Over Budget","OK")</f>
        <v>Over Budget</v>
      </c>
      <c r="I834" t="str">
        <f>IF(OR(BOQ_Table[[#This Row],[Quantity]]="",BOQ_Table[[#This Row],[Rate]]=""),"Missing","OK")</f>
        <v>OK</v>
      </c>
    </row>
    <row r="835" spans="1:9" x14ac:dyDescent="0.35">
      <c r="A835" t="s">
        <v>859</v>
      </c>
      <c r="B835" t="s">
        <v>56</v>
      </c>
      <c r="C835" t="s">
        <v>12</v>
      </c>
      <c r="D835">
        <v>322.17</v>
      </c>
      <c r="E835" t="s">
        <v>22</v>
      </c>
      <c r="F835">
        <v>2812.07</v>
      </c>
      <c r="G835">
        <f t="shared" si="15"/>
        <v>905964.59190000012</v>
      </c>
      <c r="H835" t="str">
        <f>IF(BOQ_Table[[#This Row],[Amount]]&gt;100000,"Over Budget","OK")</f>
        <v>Over Budget</v>
      </c>
      <c r="I835" t="str">
        <f>IF(OR(BOQ_Table[[#This Row],[Quantity]]="",BOQ_Table[[#This Row],[Rate]]=""),"Missing","OK")</f>
        <v>OK</v>
      </c>
    </row>
    <row r="836" spans="1:9" x14ac:dyDescent="0.35">
      <c r="A836" t="s">
        <v>860</v>
      </c>
      <c r="B836" t="s">
        <v>56</v>
      </c>
      <c r="C836" t="s">
        <v>17</v>
      </c>
      <c r="D836">
        <v>158.04</v>
      </c>
      <c r="E836" t="s">
        <v>22</v>
      </c>
      <c r="F836">
        <v>4382.2299999999996</v>
      </c>
      <c r="G836">
        <f t="shared" si="15"/>
        <v>692567.62919999985</v>
      </c>
      <c r="H836" t="str">
        <f>IF(BOQ_Table[[#This Row],[Amount]]&gt;100000,"Over Budget","OK")</f>
        <v>Over Budget</v>
      </c>
      <c r="I836" t="str">
        <f>IF(OR(BOQ_Table[[#This Row],[Quantity]]="",BOQ_Table[[#This Row],[Rate]]=""),"Missing","OK")</f>
        <v>OK</v>
      </c>
    </row>
    <row r="837" spans="1:9" x14ac:dyDescent="0.35">
      <c r="A837" t="s">
        <v>861</v>
      </c>
      <c r="B837" t="s">
        <v>56</v>
      </c>
      <c r="C837" t="s">
        <v>38</v>
      </c>
      <c r="D837">
        <v>402.85</v>
      </c>
      <c r="E837" t="s">
        <v>9</v>
      </c>
      <c r="F837">
        <v>1835</v>
      </c>
      <c r="G837">
        <f t="shared" si="15"/>
        <v>739229.75</v>
      </c>
      <c r="H837" t="str">
        <f>IF(BOQ_Table[[#This Row],[Amount]]&gt;100000,"Over Budget","OK")</f>
        <v>Over Budget</v>
      </c>
      <c r="I837" t="str">
        <f>IF(OR(BOQ_Table[[#This Row],[Quantity]]="",BOQ_Table[[#This Row],[Rate]]=""),"Missing","OK")</f>
        <v>OK</v>
      </c>
    </row>
    <row r="838" spans="1:9" x14ac:dyDescent="0.35">
      <c r="A838" t="s">
        <v>862</v>
      </c>
      <c r="B838" t="s">
        <v>46</v>
      </c>
      <c r="C838" t="s">
        <v>21</v>
      </c>
      <c r="D838">
        <v>72.61</v>
      </c>
      <c r="E838" t="s">
        <v>9</v>
      </c>
      <c r="F838">
        <v>2764.69</v>
      </c>
      <c r="G838">
        <f t="shared" si="15"/>
        <v>200744.1409</v>
      </c>
      <c r="H838" t="str">
        <f>IF(BOQ_Table[[#This Row],[Amount]]&gt;100000,"Over Budget","OK")</f>
        <v>Over Budget</v>
      </c>
      <c r="I838" t="str">
        <f>IF(OR(BOQ_Table[[#This Row],[Quantity]]="",BOQ_Table[[#This Row],[Rate]]=""),"Missing","OK")</f>
        <v>OK</v>
      </c>
    </row>
    <row r="839" spans="1:9" x14ac:dyDescent="0.35">
      <c r="A839" t="s">
        <v>863</v>
      </c>
      <c r="B839" t="s">
        <v>46</v>
      </c>
      <c r="C839" t="s">
        <v>17</v>
      </c>
      <c r="D839">
        <v>337.65</v>
      </c>
      <c r="E839" t="s">
        <v>18</v>
      </c>
      <c r="F839">
        <v>4071.74</v>
      </c>
      <c r="G839">
        <f t="shared" si="15"/>
        <v>1374823.0109999999</v>
      </c>
      <c r="H839" t="str">
        <f>IF(BOQ_Table[[#This Row],[Amount]]&gt;100000,"Over Budget","OK")</f>
        <v>Over Budget</v>
      </c>
      <c r="I839" t="str">
        <f>IF(OR(BOQ_Table[[#This Row],[Quantity]]="",BOQ_Table[[#This Row],[Rate]]=""),"Missing","OK")</f>
        <v>OK</v>
      </c>
    </row>
    <row r="840" spans="1:9" x14ac:dyDescent="0.35">
      <c r="A840" t="s">
        <v>864</v>
      </c>
      <c r="B840" t="s">
        <v>46</v>
      </c>
      <c r="C840" t="s">
        <v>17</v>
      </c>
      <c r="D840">
        <v>334.09</v>
      </c>
      <c r="E840" t="s">
        <v>18</v>
      </c>
      <c r="F840">
        <v>4210.3</v>
      </c>
      <c r="G840">
        <f t="shared" si="15"/>
        <v>1406619.1269999999</v>
      </c>
      <c r="H840" t="str">
        <f>IF(BOQ_Table[[#This Row],[Amount]]&gt;100000,"Over Budget","OK")</f>
        <v>Over Budget</v>
      </c>
      <c r="I840" t="str">
        <f>IF(OR(BOQ_Table[[#This Row],[Quantity]]="",BOQ_Table[[#This Row],[Rate]]=""),"Missing","OK")</f>
        <v>OK</v>
      </c>
    </row>
    <row r="841" spans="1:9" x14ac:dyDescent="0.35">
      <c r="A841" t="s">
        <v>865</v>
      </c>
      <c r="B841" t="s">
        <v>7</v>
      </c>
      <c r="C841" t="s">
        <v>8</v>
      </c>
      <c r="D841">
        <v>292.85000000000002</v>
      </c>
      <c r="E841" t="s">
        <v>27</v>
      </c>
      <c r="F841">
        <v>4582.3500000000004</v>
      </c>
      <c r="G841">
        <f t="shared" si="15"/>
        <v>1341941.1975000002</v>
      </c>
      <c r="H841" t="str">
        <f>IF(BOQ_Table[[#This Row],[Amount]]&gt;100000,"Over Budget","OK")</f>
        <v>Over Budget</v>
      </c>
      <c r="I841" t="str">
        <f>IF(OR(BOQ_Table[[#This Row],[Quantity]]="",BOQ_Table[[#This Row],[Rate]]=""),"Missing","OK")</f>
        <v>OK</v>
      </c>
    </row>
    <row r="842" spans="1:9" x14ac:dyDescent="0.35">
      <c r="A842" t="s">
        <v>866</v>
      </c>
      <c r="B842" t="s">
        <v>56</v>
      </c>
      <c r="C842" t="s">
        <v>12</v>
      </c>
      <c r="D842">
        <v>364.79</v>
      </c>
      <c r="E842" t="s">
        <v>9</v>
      </c>
      <c r="F842">
        <v>1753.61</v>
      </c>
      <c r="G842">
        <f t="shared" si="15"/>
        <v>639699.39190000005</v>
      </c>
      <c r="H842" t="str">
        <f>IF(BOQ_Table[[#This Row],[Amount]]&gt;100000,"Over Budget","OK")</f>
        <v>Over Budget</v>
      </c>
      <c r="I842" t="str">
        <f>IF(OR(BOQ_Table[[#This Row],[Quantity]]="",BOQ_Table[[#This Row],[Rate]]=""),"Missing","OK")</f>
        <v>OK</v>
      </c>
    </row>
    <row r="843" spans="1:9" x14ac:dyDescent="0.35">
      <c r="A843" t="s">
        <v>867</v>
      </c>
      <c r="B843" t="s">
        <v>16</v>
      </c>
      <c r="C843" t="s">
        <v>8</v>
      </c>
      <c r="D843">
        <v>196.95</v>
      </c>
      <c r="E843" t="s">
        <v>27</v>
      </c>
      <c r="F843">
        <v>2838.05</v>
      </c>
      <c r="G843">
        <f t="shared" si="15"/>
        <v>558953.94750000001</v>
      </c>
      <c r="H843" t="str">
        <f>IF(BOQ_Table[[#This Row],[Amount]]&gt;100000,"Over Budget","OK")</f>
        <v>Over Budget</v>
      </c>
      <c r="I843" t="str">
        <f>IF(OR(BOQ_Table[[#This Row],[Quantity]]="",BOQ_Table[[#This Row],[Rate]]=""),"Missing","OK")</f>
        <v>OK</v>
      </c>
    </row>
    <row r="844" spans="1:9" x14ac:dyDescent="0.35">
      <c r="A844" t="s">
        <v>868</v>
      </c>
      <c r="B844" t="s">
        <v>30</v>
      </c>
      <c r="C844" t="s">
        <v>21</v>
      </c>
      <c r="D844">
        <v>298.89</v>
      </c>
      <c r="E844" t="s">
        <v>14</v>
      </c>
      <c r="F844">
        <v>4294.7</v>
      </c>
      <c r="G844">
        <f t="shared" si="15"/>
        <v>1283642.8829999999</v>
      </c>
      <c r="H844" t="str">
        <f>IF(BOQ_Table[[#This Row],[Amount]]&gt;100000,"Over Budget","OK")</f>
        <v>Over Budget</v>
      </c>
      <c r="I844" t="str">
        <f>IF(OR(BOQ_Table[[#This Row],[Quantity]]="",BOQ_Table[[#This Row],[Rate]]=""),"Missing","OK")</f>
        <v>OK</v>
      </c>
    </row>
    <row r="845" spans="1:9" x14ac:dyDescent="0.35">
      <c r="A845" t="s">
        <v>869</v>
      </c>
      <c r="B845" t="s">
        <v>7</v>
      </c>
      <c r="C845" t="s">
        <v>12</v>
      </c>
      <c r="D845">
        <v>200.82</v>
      </c>
      <c r="E845" t="s">
        <v>9</v>
      </c>
      <c r="F845">
        <v>3623.29</v>
      </c>
      <c r="G845">
        <f t="shared" si="15"/>
        <v>727629.09779999999</v>
      </c>
      <c r="H845" t="str">
        <f>IF(BOQ_Table[[#This Row],[Amount]]&gt;100000,"Over Budget","OK")</f>
        <v>Over Budget</v>
      </c>
      <c r="I845" t="str">
        <f>IF(OR(BOQ_Table[[#This Row],[Quantity]]="",BOQ_Table[[#This Row],[Rate]]=""),"Missing","OK")</f>
        <v>OK</v>
      </c>
    </row>
    <row r="846" spans="1:9" x14ac:dyDescent="0.35">
      <c r="A846" t="s">
        <v>870</v>
      </c>
      <c r="B846" t="s">
        <v>40</v>
      </c>
      <c r="C846" t="s">
        <v>38</v>
      </c>
      <c r="D846">
        <v>105.27</v>
      </c>
      <c r="E846" t="s">
        <v>14</v>
      </c>
      <c r="F846">
        <v>1967.59</v>
      </c>
      <c r="G846">
        <f t="shared" si="15"/>
        <v>207128.19929999998</v>
      </c>
      <c r="H846" t="str">
        <f>IF(BOQ_Table[[#This Row],[Amount]]&gt;100000,"Over Budget","OK")</f>
        <v>Over Budget</v>
      </c>
      <c r="I846" t="str">
        <f>IF(OR(BOQ_Table[[#This Row],[Quantity]]="",BOQ_Table[[#This Row],[Rate]]=""),"Missing","OK")</f>
        <v>OK</v>
      </c>
    </row>
    <row r="847" spans="1:9" x14ac:dyDescent="0.35">
      <c r="A847" t="s">
        <v>871</v>
      </c>
      <c r="B847" t="s">
        <v>11</v>
      </c>
      <c r="C847" t="s">
        <v>21</v>
      </c>
      <c r="D847">
        <v>496.43</v>
      </c>
      <c r="E847" t="s">
        <v>9</v>
      </c>
      <c r="F847">
        <v>422.85</v>
      </c>
      <c r="G847">
        <f t="shared" si="15"/>
        <v>209915.42550000001</v>
      </c>
      <c r="H847" t="str">
        <f>IF(BOQ_Table[[#This Row],[Amount]]&gt;100000,"Over Budget","OK")</f>
        <v>Over Budget</v>
      </c>
      <c r="I847" t="str">
        <f>IF(OR(BOQ_Table[[#This Row],[Quantity]]="",BOQ_Table[[#This Row],[Rate]]=""),"Missing","OK")</f>
        <v>OK</v>
      </c>
    </row>
    <row r="848" spans="1:9" x14ac:dyDescent="0.35">
      <c r="A848" t="s">
        <v>872</v>
      </c>
      <c r="B848" t="s">
        <v>46</v>
      </c>
      <c r="C848" t="s">
        <v>17</v>
      </c>
      <c r="D848">
        <v>90.19</v>
      </c>
      <c r="E848" t="s">
        <v>22</v>
      </c>
      <c r="F848">
        <v>3466.93</v>
      </c>
      <c r="G848">
        <f t="shared" si="15"/>
        <v>312682.4167</v>
      </c>
      <c r="H848" t="str">
        <f>IF(BOQ_Table[[#This Row],[Amount]]&gt;100000,"Over Budget","OK")</f>
        <v>Over Budget</v>
      </c>
      <c r="I848" t="str">
        <f>IF(OR(BOQ_Table[[#This Row],[Quantity]]="",BOQ_Table[[#This Row],[Rate]]=""),"Missing","OK")</f>
        <v>OK</v>
      </c>
    </row>
    <row r="849" spans="1:9" x14ac:dyDescent="0.35">
      <c r="A849" t="s">
        <v>873</v>
      </c>
      <c r="B849" t="s">
        <v>46</v>
      </c>
      <c r="C849" t="s">
        <v>38</v>
      </c>
      <c r="D849">
        <v>244.54</v>
      </c>
      <c r="E849" t="s">
        <v>9</v>
      </c>
      <c r="F849">
        <v>2297.65</v>
      </c>
      <c r="G849">
        <f t="shared" si="15"/>
        <v>561867.33100000001</v>
      </c>
      <c r="H849" t="str">
        <f>IF(BOQ_Table[[#This Row],[Amount]]&gt;100000,"Over Budget","OK")</f>
        <v>Over Budget</v>
      </c>
      <c r="I849" t="str">
        <f>IF(OR(BOQ_Table[[#This Row],[Quantity]]="",BOQ_Table[[#This Row],[Rate]]=""),"Missing","OK")</f>
        <v>OK</v>
      </c>
    </row>
    <row r="850" spans="1:9" x14ac:dyDescent="0.35">
      <c r="A850" t="s">
        <v>874</v>
      </c>
      <c r="B850" t="s">
        <v>40</v>
      </c>
      <c r="C850" t="s">
        <v>21</v>
      </c>
      <c r="D850">
        <v>232.46</v>
      </c>
      <c r="E850" t="s">
        <v>14</v>
      </c>
      <c r="F850">
        <v>2985.54</v>
      </c>
      <c r="G850">
        <f t="shared" si="15"/>
        <v>694018.62840000005</v>
      </c>
      <c r="H850" t="str">
        <f>IF(BOQ_Table[[#This Row],[Amount]]&gt;100000,"Over Budget","OK")</f>
        <v>Over Budget</v>
      </c>
      <c r="I850" t="str">
        <f>IF(OR(BOQ_Table[[#This Row],[Quantity]]="",BOQ_Table[[#This Row],[Rate]]=""),"Missing","OK")</f>
        <v>OK</v>
      </c>
    </row>
    <row r="851" spans="1:9" x14ac:dyDescent="0.35">
      <c r="A851" t="s">
        <v>875</v>
      </c>
      <c r="B851" t="s">
        <v>11</v>
      </c>
      <c r="C851" t="s">
        <v>21</v>
      </c>
      <c r="D851">
        <v>288.18</v>
      </c>
      <c r="E851" t="s">
        <v>14</v>
      </c>
      <c r="F851">
        <v>2348.56</v>
      </c>
      <c r="G851">
        <f t="shared" si="15"/>
        <v>676808.02080000006</v>
      </c>
      <c r="H851" t="str">
        <f>IF(BOQ_Table[[#This Row],[Amount]]&gt;100000,"Over Budget","OK")</f>
        <v>Over Budget</v>
      </c>
      <c r="I851" t="str">
        <f>IF(OR(BOQ_Table[[#This Row],[Quantity]]="",BOQ_Table[[#This Row],[Rate]]=""),"Missing","OK")</f>
        <v>OK</v>
      </c>
    </row>
    <row r="852" spans="1:9" x14ac:dyDescent="0.35">
      <c r="A852" t="s">
        <v>876</v>
      </c>
      <c r="B852" t="s">
        <v>16</v>
      </c>
      <c r="C852" t="s">
        <v>21</v>
      </c>
      <c r="D852">
        <v>431.64</v>
      </c>
      <c r="E852" t="s">
        <v>18</v>
      </c>
      <c r="F852">
        <v>901.45</v>
      </c>
      <c r="G852">
        <f t="shared" si="15"/>
        <v>389101.87800000003</v>
      </c>
      <c r="H852" t="str">
        <f>IF(BOQ_Table[[#This Row],[Amount]]&gt;100000,"Over Budget","OK")</f>
        <v>Over Budget</v>
      </c>
      <c r="I852" t="str">
        <f>IF(OR(BOQ_Table[[#This Row],[Quantity]]="",BOQ_Table[[#This Row],[Rate]]=""),"Missing","OK")</f>
        <v>OK</v>
      </c>
    </row>
    <row r="853" spans="1:9" x14ac:dyDescent="0.35">
      <c r="A853" t="s">
        <v>877</v>
      </c>
      <c r="B853" t="s">
        <v>46</v>
      </c>
      <c r="C853" t="s">
        <v>12</v>
      </c>
      <c r="D853">
        <v>308.85000000000002</v>
      </c>
      <c r="E853" t="s">
        <v>22</v>
      </c>
      <c r="F853">
        <v>1872.06</v>
      </c>
      <c r="G853">
        <f t="shared" si="15"/>
        <v>578185.73100000003</v>
      </c>
      <c r="H853" t="str">
        <f>IF(BOQ_Table[[#This Row],[Amount]]&gt;100000,"Over Budget","OK")</f>
        <v>Over Budget</v>
      </c>
      <c r="I853" t="str">
        <f>IF(OR(BOQ_Table[[#This Row],[Quantity]]="",BOQ_Table[[#This Row],[Rate]]=""),"Missing","OK")</f>
        <v>OK</v>
      </c>
    </row>
    <row r="854" spans="1:9" x14ac:dyDescent="0.35">
      <c r="A854" t="s">
        <v>878</v>
      </c>
      <c r="B854" t="s">
        <v>30</v>
      </c>
      <c r="C854" t="s">
        <v>8</v>
      </c>
      <c r="D854">
        <v>227.35</v>
      </c>
      <c r="E854" t="s">
        <v>14</v>
      </c>
      <c r="F854">
        <v>887.38</v>
      </c>
      <c r="G854">
        <f t="shared" si="15"/>
        <v>201745.84299999999</v>
      </c>
      <c r="H854" t="str">
        <f>IF(BOQ_Table[[#This Row],[Amount]]&gt;100000,"Over Budget","OK")</f>
        <v>Over Budget</v>
      </c>
      <c r="I854" t="str">
        <f>IF(OR(BOQ_Table[[#This Row],[Quantity]]="",BOQ_Table[[#This Row],[Rate]]=""),"Missing","OK")</f>
        <v>OK</v>
      </c>
    </row>
    <row r="855" spans="1:9" x14ac:dyDescent="0.35">
      <c r="A855" t="s">
        <v>879</v>
      </c>
      <c r="B855" t="s">
        <v>16</v>
      </c>
      <c r="C855" t="s">
        <v>12</v>
      </c>
      <c r="D855">
        <v>445.35</v>
      </c>
      <c r="E855" t="s">
        <v>9</v>
      </c>
      <c r="F855">
        <v>4051.85</v>
      </c>
      <c r="G855">
        <f t="shared" si="15"/>
        <v>1804491.3975</v>
      </c>
      <c r="H855" t="str">
        <f>IF(BOQ_Table[[#This Row],[Amount]]&gt;100000,"Over Budget","OK")</f>
        <v>Over Budget</v>
      </c>
      <c r="I855" t="str">
        <f>IF(OR(BOQ_Table[[#This Row],[Quantity]]="",BOQ_Table[[#This Row],[Rate]]=""),"Missing","OK")</f>
        <v>OK</v>
      </c>
    </row>
    <row r="856" spans="1:9" x14ac:dyDescent="0.35">
      <c r="A856" t="s">
        <v>880</v>
      </c>
      <c r="B856" t="s">
        <v>7</v>
      </c>
      <c r="C856" t="s">
        <v>17</v>
      </c>
      <c r="D856">
        <v>382.22</v>
      </c>
      <c r="E856" t="s">
        <v>18</v>
      </c>
      <c r="F856">
        <v>360.96</v>
      </c>
      <c r="G856">
        <f t="shared" si="15"/>
        <v>137966.1312</v>
      </c>
      <c r="H856" t="str">
        <f>IF(BOQ_Table[[#This Row],[Amount]]&gt;100000,"Over Budget","OK")</f>
        <v>Over Budget</v>
      </c>
      <c r="I856" t="str">
        <f>IF(OR(BOQ_Table[[#This Row],[Quantity]]="",BOQ_Table[[#This Row],[Rate]]=""),"Missing","OK")</f>
        <v>OK</v>
      </c>
    </row>
    <row r="857" spans="1:9" x14ac:dyDescent="0.35">
      <c r="A857" t="s">
        <v>881</v>
      </c>
      <c r="B857" t="s">
        <v>32</v>
      </c>
      <c r="C857" t="s">
        <v>8</v>
      </c>
      <c r="D857">
        <v>308.83</v>
      </c>
      <c r="E857" t="s">
        <v>14</v>
      </c>
      <c r="F857">
        <v>1278.96</v>
      </c>
      <c r="G857">
        <f t="shared" si="15"/>
        <v>394981.21679999999</v>
      </c>
      <c r="H857" t="str">
        <f>IF(BOQ_Table[[#This Row],[Amount]]&gt;100000,"Over Budget","OK")</f>
        <v>Over Budget</v>
      </c>
      <c r="I857" t="str">
        <f>IF(OR(BOQ_Table[[#This Row],[Quantity]]="",BOQ_Table[[#This Row],[Rate]]=""),"Missing","OK")</f>
        <v>OK</v>
      </c>
    </row>
    <row r="858" spans="1:9" x14ac:dyDescent="0.35">
      <c r="A858" t="s">
        <v>882</v>
      </c>
      <c r="B858" t="s">
        <v>20</v>
      </c>
      <c r="C858" t="s">
        <v>38</v>
      </c>
      <c r="D858">
        <v>63.62</v>
      </c>
      <c r="E858" t="s">
        <v>9</v>
      </c>
      <c r="F858">
        <v>1733.96</v>
      </c>
      <c r="G858">
        <f t="shared" si="15"/>
        <v>110314.5352</v>
      </c>
      <c r="H858" t="str">
        <f>IF(BOQ_Table[[#This Row],[Amount]]&gt;100000,"Over Budget","OK")</f>
        <v>Over Budget</v>
      </c>
      <c r="I858" t="str">
        <f>IF(OR(BOQ_Table[[#This Row],[Quantity]]="",BOQ_Table[[#This Row],[Rate]]=""),"Missing","OK")</f>
        <v>OK</v>
      </c>
    </row>
    <row r="859" spans="1:9" x14ac:dyDescent="0.35">
      <c r="A859" t="s">
        <v>883</v>
      </c>
      <c r="B859" t="s">
        <v>42</v>
      </c>
      <c r="C859" t="s">
        <v>17</v>
      </c>
      <c r="D859">
        <v>420.97</v>
      </c>
      <c r="E859" t="s">
        <v>9</v>
      </c>
      <c r="F859">
        <v>3986.16</v>
      </c>
      <c r="G859">
        <f t="shared" si="15"/>
        <v>1678053.7752</v>
      </c>
      <c r="H859" t="str">
        <f>IF(BOQ_Table[[#This Row],[Amount]]&gt;100000,"Over Budget","OK")</f>
        <v>Over Budget</v>
      </c>
      <c r="I859" t="str">
        <f>IF(OR(BOQ_Table[[#This Row],[Quantity]]="",BOQ_Table[[#This Row],[Rate]]=""),"Missing","OK")</f>
        <v>OK</v>
      </c>
    </row>
    <row r="860" spans="1:9" x14ac:dyDescent="0.35">
      <c r="A860" t="s">
        <v>884</v>
      </c>
      <c r="B860" t="s">
        <v>7</v>
      </c>
      <c r="C860" t="s">
        <v>21</v>
      </c>
      <c r="D860">
        <v>104.57</v>
      </c>
      <c r="E860" t="s">
        <v>18</v>
      </c>
      <c r="F860">
        <v>591.67999999999995</v>
      </c>
      <c r="G860">
        <f t="shared" si="15"/>
        <v>61871.977599999991</v>
      </c>
      <c r="H860" t="str">
        <f>IF(BOQ_Table[[#This Row],[Amount]]&gt;100000,"Over Budget","OK")</f>
        <v>OK</v>
      </c>
      <c r="I860" t="str">
        <f>IF(OR(BOQ_Table[[#This Row],[Quantity]]="",BOQ_Table[[#This Row],[Rate]]=""),"Missing","OK")</f>
        <v>OK</v>
      </c>
    </row>
    <row r="861" spans="1:9" x14ac:dyDescent="0.35">
      <c r="A861" t="s">
        <v>885</v>
      </c>
      <c r="B861" t="s">
        <v>42</v>
      </c>
      <c r="C861" t="s">
        <v>17</v>
      </c>
      <c r="D861">
        <v>295.77999999999997</v>
      </c>
      <c r="E861" t="s">
        <v>22</v>
      </c>
      <c r="F861">
        <v>2690.63</v>
      </c>
      <c r="G861">
        <f t="shared" si="15"/>
        <v>795834.54139999999</v>
      </c>
      <c r="H861" t="str">
        <f>IF(BOQ_Table[[#This Row],[Amount]]&gt;100000,"Over Budget","OK")</f>
        <v>Over Budget</v>
      </c>
      <c r="I861" t="str">
        <f>IF(OR(BOQ_Table[[#This Row],[Quantity]]="",BOQ_Table[[#This Row],[Rate]]=""),"Missing","OK")</f>
        <v>OK</v>
      </c>
    </row>
    <row r="862" spans="1:9" x14ac:dyDescent="0.35">
      <c r="A862" t="s">
        <v>886</v>
      </c>
      <c r="B862" t="s">
        <v>42</v>
      </c>
      <c r="C862" t="s">
        <v>17</v>
      </c>
      <c r="D862">
        <v>203.11</v>
      </c>
      <c r="E862" t="s">
        <v>27</v>
      </c>
      <c r="F862">
        <v>1097.8699999999999</v>
      </c>
      <c r="G862">
        <f t="shared" si="15"/>
        <v>222988.3757</v>
      </c>
      <c r="H862" t="str">
        <f>IF(BOQ_Table[[#This Row],[Amount]]&gt;100000,"Over Budget","OK")</f>
        <v>Over Budget</v>
      </c>
      <c r="I862" t="str">
        <f>IF(OR(BOQ_Table[[#This Row],[Quantity]]="",BOQ_Table[[#This Row],[Rate]]=""),"Missing","OK")</f>
        <v>OK</v>
      </c>
    </row>
    <row r="863" spans="1:9" x14ac:dyDescent="0.35">
      <c r="A863" t="s">
        <v>887</v>
      </c>
      <c r="B863" t="s">
        <v>16</v>
      </c>
      <c r="C863" t="s">
        <v>12</v>
      </c>
      <c r="D863">
        <v>71.67</v>
      </c>
      <c r="E863" t="s">
        <v>27</v>
      </c>
      <c r="F863">
        <v>3217.66</v>
      </c>
      <c r="G863">
        <f t="shared" si="15"/>
        <v>230609.69219999999</v>
      </c>
      <c r="H863" t="str">
        <f>IF(BOQ_Table[[#This Row],[Amount]]&gt;100000,"Over Budget","OK")</f>
        <v>Over Budget</v>
      </c>
      <c r="I863" t="str">
        <f>IF(OR(BOQ_Table[[#This Row],[Quantity]]="",BOQ_Table[[#This Row],[Rate]]=""),"Missing","OK")</f>
        <v>OK</v>
      </c>
    </row>
    <row r="864" spans="1:9" x14ac:dyDescent="0.35">
      <c r="A864" t="s">
        <v>888</v>
      </c>
      <c r="B864" t="s">
        <v>42</v>
      </c>
      <c r="C864" t="s">
        <v>21</v>
      </c>
      <c r="D864">
        <v>73.08</v>
      </c>
      <c r="E864" t="s">
        <v>22</v>
      </c>
      <c r="F864">
        <v>1858.45</v>
      </c>
      <c r="G864">
        <f t="shared" si="15"/>
        <v>135815.52600000001</v>
      </c>
      <c r="H864" t="str">
        <f>IF(BOQ_Table[[#This Row],[Amount]]&gt;100000,"Over Budget","OK")</f>
        <v>Over Budget</v>
      </c>
      <c r="I864" t="str">
        <f>IF(OR(BOQ_Table[[#This Row],[Quantity]]="",BOQ_Table[[#This Row],[Rate]]=""),"Missing","OK")</f>
        <v>OK</v>
      </c>
    </row>
    <row r="865" spans="1:9" x14ac:dyDescent="0.35">
      <c r="A865" t="s">
        <v>889</v>
      </c>
      <c r="B865" t="s">
        <v>30</v>
      </c>
      <c r="C865" t="s">
        <v>38</v>
      </c>
      <c r="D865">
        <v>315.57</v>
      </c>
      <c r="E865" t="s">
        <v>18</v>
      </c>
      <c r="F865">
        <v>1705.06</v>
      </c>
      <c r="G865">
        <f t="shared" si="15"/>
        <v>538065.78419999999</v>
      </c>
      <c r="H865" t="str">
        <f>IF(BOQ_Table[[#This Row],[Amount]]&gt;100000,"Over Budget","OK")</f>
        <v>Over Budget</v>
      </c>
      <c r="I865" t="str">
        <f>IF(OR(BOQ_Table[[#This Row],[Quantity]]="",BOQ_Table[[#This Row],[Rate]]=""),"Missing","OK")</f>
        <v>OK</v>
      </c>
    </row>
    <row r="866" spans="1:9" x14ac:dyDescent="0.35">
      <c r="A866" t="s">
        <v>890</v>
      </c>
      <c r="B866" t="s">
        <v>11</v>
      </c>
      <c r="C866" t="s">
        <v>38</v>
      </c>
      <c r="D866">
        <v>36.18</v>
      </c>
      <c r="E866" t="s">
        <v>22</v>
      </c>
      <c r="F866">
        <v>3754.19</v>
      </c>
      <c r="G866">
        <f t="shared" si="15"/>
        <v>135826.59419999999</v>
      </c>
      <c r="H866" t="str">
        <f>IF(BOQ_Table[[#This Row],[Amount]]&gt;100000,"Over Budget","OK")</f>
        <v>Over Budget</v>
      </c>
      <c r="I866" t="str">
        <f>IF(OR(BOQ_Table[[#This Row],[Quantity]]="",BOQ_Table[[#This Row],[Rate]]=""),"Missing","OK")</f>
        <v>OK</v>
      </c>
    </row>
    <row r="867" spans="1:9" x14ac:dyDescent="0.35">
      <c r="A867" t="s">
        <v>891</v>
      </c>
      <c r="B867" t="s">
        <v>46</v>
      </c>
      <c r="C867" t="s">
        <v>21</v>
      </c>
      <c r="D867">
        <v>27.23</v>
      </c>
      <c r="E867" t="s">
        <v>27</v>
      </c>
      <c r="F867">
        <v>4451.09</v>
      </c>
      <c r="G867">
        <f t="shared" si="15"/>
        <v>121203.18070000001</v>
      </c>
      <c r="H867" t="str">
        <f>IF(BOQ_Table[[#This Row],[Amount]]&gt;100000,"Over Budget","OK")</f>
        <v>Over Budget</v>
      </c>
      <c r="I867" t="str">
        <f>IF(OR(BOQ_Table[[#This Row],[Quantity]]="",BOQ_Table[[#This Row],[Rate]]=""),"Missing","OK")</f>
        <v>OK</v>
      </c>
    </row>
    <row r="868" spans="1:9" x14ac:dyDescent="0.35">
      <c r="A868" t="s">
        <v>892</v>
      </c>
      <c r="B868" t="s">
        <v>7</v>
      </c>
      <c r="C868" t="s">
        <v>12</v>
      </c>
      <c r="D868">
        <v>215.6</v>
      </c>
      <c r="E868" t="s">
        <v>22</v>
      </c>
      <c r="F868">
        <v>1356.59</v>
      </c>
      <c r="G868">
        <f t="shared" si="15"/>
        <v>292480.804</v>
      </c>
      <c r="H868" t="str">
        <f>IF(BOQ_Table[[#This Row],[Amount]]&gt;100000,"Over Budget","OK")</f>
        <v>Over Budget</v>
      </c>
      <c r="I868" t="str">
        <f>IF(OR(BOQ_Table[[#This Row],[Quantity]]="",BOQ_Table[[#This Row],[Rate]]=""),"Missing","OK")</f>
        <v>OK</v>
      </c>
    </row>
    <row r="869" spans="1:9" x14ac:dyDescent="0.35">
      <c r="A869" t="s">
        <v>893</v>
      </c>
      <c r="B869" t="s">
        <v>7</v>
      </c>
      <c r="C869" t="s">
        <v>12</v>
      </c>
      <c r="D869">
        <v>271.39</v>
      </c>
      <c r="E869" t="s">
        <v>22</v>
      </c>
      <c r="F869">
        <v>4678.38</v>
      </c>
      <c r="G869">
        <f t="shared" si="15"/>
        <v>1269665.5482000001</v>
      </c>
      <c r="H869" t="str">
        <f>IF(BOQ_Table[[#This Row],[Amount]]&gt;100000,"Over Budget","OK")</f>
        <v>Over Budget</v>
      </c>
      <c r="I869" t="str">
        <f>IF(OR(BOQ_Table[[#This Row],[Quantity]]="",BOQ_Table[[#This Row],[Rate]]=""),"Missing","OK")</f>
        <v>OK</v>
      </c>
    </row>
    <row r="870" spans="1:9" x14ac:dyDescent="0.35">
      <c r="A870" t="s">
        <v>894</v>
      </c>
      <c r="B870" t="s">
        <v>42</v>
      </c>
      <c r="C870" t="s">
        <v>17</v>
      </c>
      <c r="D870">
        <v>404.71</v>
      </c>
      <c r="E870" t="s">
        <v>18</v>
      </c>
      <c r="F870">
        <v>3674.56</v>
      </c>
      <c r="G870">
        <f t="shared" si="15"/>
        <v>1487131.1775999998</v>
      </c>
      <c r="H870" t="str">
        <f>IF(BOQ_Table[[#This Row],[Amount]]&gt;100000,"Over Budget","OK")</f>
        <v>Over Budget</v>
      </c>
      <c r="I870" t="str">
        <f>IF(OR(BOQ_Table[[#This Row],[Quantity]]="",BOQ_Table[[#This Row],[Rate]]=""),"Missing","OK")</f>
        <v>OK</v>
      </c>
    </row>
    <row r="871" spans="1:9" x14ac:dyDescent="0.35">
      <c r="A871" t="s">
        <v>895</v>
      </c>
      <c r="B871" t="s">
        <v>20</v>
      </c>
      <c r="C871" t="s">
        <v>8</v>
      </c>
      <c r="D871">
        <v>450.37</v>
      </c>
      <c r="E871" t="s">
        <v>22</v>
      </c>
      <c r="F871">
        <v>3754.59</v>
      </c>
      <c r="G871">
        <f t="shared" si="15"/>
        <v>1690954.6983</v>
      </c>
      <c r="H871" t="str">
        <f>IF(BOQ_Table[[#This Row],[Amount]]&gt;100000,"Over Budget","OK")</f>
        <v>Over Budget</v>
      </c>
      <c r="I871" t="str">
        <f>IF(OR(BOQ_Table[[#This Row],[Quantity]]="",BOQ_Table[[#This Row],[Rate]]=""),"Missing","OK")</f>
        <v>OK</v>
      </c>
    </row>
    <row r="872" spans="1:9" x14ac:dyDescent="0.35">
      <c r="A872" t="s">
        <v>896</v>
      </c>
      <c r="B872" t="s">
        <v>40</v>
      </c>
      <c r="C872" t="s">
        <v>8</v>
      </c>
      <c r="D872">
        <v>438.61</v>
      </c>
      <c r="E872" t="s">
        <v>27</v>
      </c>
      <c r="F872">
        <v>2263.1799999999998</v>
      </c>
      <c r="G872">
        <f t="shared" si="15"/>
        <v>992653.3798</v>
      </c>
      <c r="H872" t="str">
        <f>IF(BOQ_Table[[#This Row],[Amount]]&gt;100000,"Over Budget","OK")</f>
        <v>Over Budget</v>
      </c>
      <c r="I872" t="str">
        <f>IF(OR(BOQ_Table[[#This Row],[Quantity]]="",BOQ_Table[[#This Row],[Rate]]=""),"Missing","OK")</f>
        <v>OK</v>
      </c>
    </row>
    <row r="873" spans="1:9" x14ac:dyDescent="0.35">
      <c r="A873" t="s">
        <v>897</v>
      </c>
      <c r="B873" t="s">
        <v>30</v>
      </c>
      <c r="C873" t="s">
        <v>17</v>
      </c>
      <c r="D873">
        <v>279.44</v>
      </c>
      <c r="E873" t="s">
        <v>18</v>
      </c>
      <c r="F873">
        <v>4362.41</v>
      </c>
      <c r="G873">
        <f t="shared" si="15"/>
        <v>1219031.8503999999</v>
      </c>
      <c r="H873" t="str">
        <f>IF(BOQ_Table[[#This Row],[Amount]]&gt;100000,"Over Budget","OK")</f>
        <v>Over Budget</v>
      </c>
      <c r="I873" t="str">
        <f>IF(OR(BOQ_Table[[#This Row],[Quantity]]="",BOQ_Table[[#This Row],[Rate]]=""),"Missing","OK")</f>
        <v>OK</v>
      </c>
    </row>
    <row r="874" spans="1:9" x14ac:dyDescent="0.35">
      <c r="A874" t="s">
        <v>898</v>
      </c>
      <c r="B874" t="s">
        <v>46</v>
      </c>
      <c r="C874" t="s">
        <v>21</v>
      </c>
      <c r="D874">
        <v>4.04</v>
      </c>
      <c r="E874" t="s">
        <v>18</v>
      </c>
      <c r="F874">
        <v>377.23</v>
      </c>
      <c r="G874">
        <f t="shared" si="15"/>
        <v>1524.0092000000002</v>
      </c>
      <c r="H874" t="str">
        <f>IF(BOQ_Table[[#This Row],[Amount]]&gt;100000,"Over Budget","OK")</f>
        <v>OK</v>
      </c>
      <c r="I874" t="str">
        <f>IF(OR(BOQ_Table[[#This Row],[Quantity]]="",BOQ_Table[[#This Row],[Rate]]=""),"Missing","OK")</f>
        <v>OK</v>
      </c>
    </row>
    <row r="875" spans="1:9" x14ac:dyDescent="0.35">
      <c r="A875" t="s">
        <v>899</v>
      </c>
      <c r="B875" t="s">
        <v>16</v>
      </c>
      <c r="C875" t="s">
        <v>38</v>
      </c>
      <c r="D875">
        <v>381.06</v>
      </c>
      <c r="E875" t="s">
        <v>18</v>
      </c>
      <c r="F875">
        <v>4610.54</v>
      </c>
      <c r="G875">
        <f t="shared" si="15"/>
        <v>1756892.3724</v>
      </c>
      <c r="H875" t="str">
        <f>IF(BOQ_Table[[#This Row],[Amount]]&gt;100000,"Over Budget","OK")</f>
        <v>Over Budget</v>
      </c>
      <c r="I875" t="str">
        <f>IF(OR(BOQ_Table[[#This Row],[Quantity]]="",BOQ_Table[[#This Row],[Rate]]=""),"Missing","OK")</f>
        <v>OK</v>
      </c>
    </row>
    <row r="876" spans="1:9" x14ac:dyDescent="0.35">
      <c r="A876" t="s">
        <v>900</v>
      </c>
      <c r="B876" t="s">
        <v>46</v>
      </c>
      <c r="C876" t="s">
        <v>21</v>
      </c>
      <c r="D876">
        <v>376.36</v>
      </c>
      <c r="E876" t="s">
        <v>22</v>
      </c>
      <c r="F876">
        <v>1092.27</v>
      </c>
      <c r="G876">
        <f t="shared" si="15"/>
        <v>411086.73720000003</v>
      </c>
      <c r="H876" t="str">
        <f>IF(BOQ_Table[[#This Row],[Amount]]&gt;100000,"Over Budget","OK")</f>
        <v>Over Budget</v>
      </c>
      <c r="I876" t="str">
        <f>IF(OR(BOQ_Table[[#This Row],[Quantity]]="",BOQ_Table[[#This Row],[Rate]]=""),"Missing","OK")</f>
        <v>OK</v>
      </c>
    </row>
    <row r="877" spans="1:9" x14ac:dyDescent="0.35">
      <c r="A877" t="s">
        <v>901</v>
      </c>
      <c r="B877" t="s">
        <v>46</v>
      </c>
      <c r="C877" t="s">
        <v>12</v>
      </c>
      <c r="D877">
        <v>329.41</v>
      </c>
      <c r="E877" t="s">
        <v>18</v>
      </c>
      <c r="F877">
        <v>1517.04</v>
      </c>
      <c r="G877">
        <f t="shared" si="15"/>
        <v>499728.14640000003</v>
      </c>
      <c r="H877" t="str">
        <f>IF(BOQ_Table[[#This Row],[Amount]]&gt;100000,"Over Budget","OK")</f>
        <v>Over Budget</v>
      </c>
      <c r="I877" t="str">
        <f>IF(OR(BOQ_Table[[#This Row],[Quantity]]="",BOQ_Table[[#This Row],[Rate]]=""),"Missing","OK")</f>
        <v>OK</v>
      </c>
    </row>
    <row r="878" spans="1:9" x14ac:dyDescent="0.35">
      <c r="A878" t="s">
        <v>902</v>
      </c>
      <c r="B878" t="s">
        <v>11</v>
      </c>
      <c r="C878" t="s">
        <v>17</v>
      </c>
      <c r="D878">
        <v>91.57</v>
      </c>
      <c r="E878" t="s">
        <v>18</v>
      </c>
      <c r="F878">
        <v>337.09</v>
      </c>
      <c r="G878">
        <f t="shared" si="15"/>
        <v>30867.331299999994</v>
      </c>
      <c r="H878" t="str">
        <f>IF(BOQ_Table[[#This Row],[Amount]]&gt;100000,"Over Budget","OK")</f>
        <v>OK</v>
      </c>
      <c r="I878" t="str">
        <f>IF(OR(BOQ_Table[[#This Row],[Quantity]]="",BOQ_Table[[#This Row],[Rate]]=""),"Missing","OK")</f>
        <v>OK</v>
      </c>
    </row>
    <row r="879" spans="1:9" x14ac:dyDescent="0.35">
      <c r="A879" t="s">
        <v>903</v>
      </c>
      <c r="B879" t="s">
        <v>42</v>
      </c>
      <c r="C879" t="s">
        <v>12</v>
      </c>
      <c r="D879">
        <v>31.84</v>
      </c>
      <c r="E879" t="s">
        <v>27</v>
      </c>
      <c r="F879">
        <v>2077.91</v>
      </c>
      <c r="G879">
        <f t="shared" si="15"/>
        <v>66160.654399999999</v>
      </c>
      <c r="H879" t="str">
        <f>IF(BOQ_Table[[#This Row],[Amount]]&gt;100000,"Over Budget","OK")</f>
        <v>OK</v>
      </c>
      <c r="I879" t="str">
        <f>IF(OR(BOQ_Table[[#This Row],[Quantity]]="",BOQ_Table[[#This Row],[Rate]]=""),"Missing","OK")</f>
        <v>OK</v>
      </c>
    </row>
    <row r="880" spans="1:9" x14ac:dyDescent="0.35">
      <c r="A880" t="s">
        <v>904</v>
      </c>
      <c r="B880" t="s">
        <v>20</v>
      </c>
      <c r="C880" t="s">
        <v>8</v>
      </c>
      <c r="D880">
        <v>277.36</v>
      </c>
      <c r="E880" t="s">
        <v>14</v>
      </c>
      <c r="F880">
        <v>1438.14</v>
      </c>
      <c r="G880">
        <f t="shared" si="15"/>
        <v>398882.51040000003</v>
      </c>
      <c r="H880" t="str">
        <f>IF(BOQ_Table[[#This Row],[Amount]]&gt;100000,"Over Budget","OK")</f>
        <v>Over Budget</v>
      </c>
      <c r="I880" t="str">
        <f>IF(OR(BOQ_Table[[#This Row],[Quantity]]="",BOQ_Table[[#This Row],[Rate]]=""),"Missing","OK")</f>
        <v>OK</v>
      </c>
    </row>
    <row r="881" spans="1:9" x14ac:dyDescent="0.35">
      <c r="A881" t="s">
        <v>905</v>
      </c>
      <c r="B881" t="s">
        <v>42</v>
      </c>
      <c r="C881" t="s">
        <v>21</v>
      </c>
      <c r="D881">
        <v>484.05</v>
      </c>
      <c r="E881" t="s">
        <v>9</v>
      </c>
      <c r="F881">
        <v>3157.78</v>
      </c>
      <c r="G881">
        <f t="shared" si="15"/>
        <v>1528523.4090000002</v>
      </c>
      <c r="H881" t="str">
        <f>IF(BOQ_Table[[#This Row],[Amount]]&gt;100000,"Over Budget","OK")</f>
        <v>Over Budget</v>
      </c>
      <c r="I881" t="str">
        <f>IF(OR(BOQ_Table[[#This Row],[Quantity]]="",BOQ_Table[[#This Row],[Rate]]=""),"Missing","OK")</f>
        <v>OK</v>
      </c>
    </row>
    <row r="882" spans="1:9" x14ac:dyDescent="0.35">
      <c r="A882" t="s">
        <v>906</v>
      </c>
      <c r="B882" t="s">
        <v>20</v>
      </c>
      <c r="C882" t="s">
        <v>21</v>
      </c>
      <c r="D882">
        <v>203.95</v>
      </c>
      <c r="E882" t="s">
        <v>18</v>
      </c>
      <c r="F882">
        <v>3990.46</v>
      </c>
      <c r="G882">
        <f t="shared" si="15"/>
        <v>813854.31699999992</v>
      </c>
      <c r="H882" t="str">
        <f>IF(BOQ_Table[[#This Row],[Amount]]&gt;100000,"Over Budget","OK")</f>
        <v>Over Budget</v>
      </c>
      <c r="I882" t="str">
        <f>IF(OR(BOQ_Table[[#This Row],[Quantity]]="",BOQ_Table[[#This Row],[Rate]]=""),"Missing","OK")</f>
        <v>OK</v>
      </c>
    </row>
    <row r="883" spans="1:9" x14ac:dyDescent="0.35">
      <c r="A883" t="s">
        <v>907</v>
      </c>
      <c r="B883" t="s">
        <v>11</v>
      </c>
      <c r="C883" t="s">
        <v>8</v>
      </c>
      <c r="D883">
        <v>17.97</v>
      </c>
      <c r="E883" t="s">
        <v>27</v>
      </c>
      <c r="F883">
        <v>122.55</v>
      </c>
      <c r="G883">
        <f t="shared" si="15"/>
        <v>2202.2234999999996</v>
      </c>
      <c r="H883" t="str">
        <f>IF(BOQ_Table[[#This Row],[Amount]]&gt;100000,"Over Budget","OK")</f>
        <v>OK</v>
      </c>
      <c r="I883" t="str">
        <f>IF(OR(BOQ_Table[[#This Row],[Quantity]]="",BOQ_Table[[#This Row],[Rate]]=""),"Missing","OK")</f>
        <v>OK</v>
      </c>
    </row>
    <row r="884" spans="1:9" x14ac:dyDescent="0.35">
      <c r="A884" t="s">
        <v>908</v>
      </c>
      <c r="B884" t="s">
        <v>7</v>
      </c>
      <c r="C884" t="s">
        <v>12</v>
      </c>
      <c r="D884">
        <v>143.91</v>
      </c>
      <c r="E884" t="s">
        <v>22</v>
      </c>
      <c r="F884">
        <v>3511.49</v>
      </c>
      <c r="G884">
        <f t="shared" si="15"/>
        <v>505338.52589999995</v>
      </c>
      <c r="H884" t="str">
        <f>IF(BOQ_Table[[#This Row],[Amount]]&gt;100000,"Over Budget","OK")</f>
        <v>Over Budget</v>
      </c>
      <c r="I884" t="str">
        <f>IF(OR(BOQ_Table[[#This Row],[Quantity]]="",BOQ_Table[[#This Row],[Rate]]=""),"Missing","OK")</f>
        <v>OK</v>
      </c>
    </row>
    <row r="885" spans="1:9" x14ac:dyDescent="0.35">
      <c r="A885" t="s">
        <v>909</v>
      </c>
      <c r="B885" t="s">
        <v>30</v>
      </c>
      <c r="C885" t="s">
        <v>8</v>
      </c>
      <c r="D885">
        <v>25.26</v>
      </c>
      <c r="E885" t="s">
        <v>9</v>
      </c>
      <c r="F885">
        <v>1777.43</v>
      </c>
      <c r="G885">
        <f t="shared" si="15"/>
        <v>44897.881800000003</v>
      </c>
      <c r="H885" t="str">
        <f>IF(BOQ_Table[[#This Row],[Amount]]&gt;100000,"Over Budget","OK")</f>
        <v>OK</v>
      </c>
      <c r="I885" t="str">
        <f>IF(OR(BOQ_Table[[#This Row],[Quantity]]="",BOQ_Table[[#This Row],[Rate]]=""),"Missing","OK")</f>
        <v>OK</v>
      </c>
    </row>
    <row r="886" spans="1:9" x14ac:dyDescent="0.35">
      <c r="A886" t="s">
        <v>910</v>
      </c>
      <c r="B886" t="s">
        <v>42</v>
      </c>
      <c r="C886" t="s">
        <v>21</v>
      </c>
      <c r="D886">
        <v>322.8</v>
      </c>
      <c r="E886" t="s">
        <v>27</v>
      </c>
      <c r="F886">
        <v>890.97</v>
      </c>
      <c r="G886">
        <f t="shared" si="15"/>
        <v>287605.11600000004</v>
      </c>
      <c r="H886" t="str">
        <f>IF(BOQ_Table[[#This Row],[Amount]]&gt;100000,"Over Budget","OK")</f>
        <v>Over Budget</v>
      </c>
      <c r="I886" t="str">
        <f>IF(OR(BOQ_Table[[#This Row],[Quantity]]="",BOQ_Table[[#This Row],[Rate]]=""),"Missing","OK")</f>
        <v>OK</v>
      </c>
    </row>
    <row r="887" spans="1:9" x14ac:dyDescent="0.35">
      <c r="A887" t="s">
        <v>911</v>
      </c>
      <c r="B887" t="s">
        <v>20</v>
      </c>
      <c r="C887" t="s">
        <v>38</v>
      </c>
      <c r="D887">
        <v>448.6</v>
      </c>
      <c r="E887" t="s">
        <v>14</v>
      </c>
      <c r="F887">
        <v>2153.13</v>
      </c>
      <c r="G887">
        <f t="shared" si="15"/>
        <v>965894.11800000013</v>
      </c>
      <c r="H887" t="str">
        <f>IF(BOQ_Table[[#This Row],[Amount]]&gt;100000,"Over Budget","OK")</f>
        <v>Over Budget</v>
      </c>
      <c r="I887" t="str">
        <f>IF(OR(BOQ_Table[[#This Row],[Quantity]]="",BOQ_Table[[#This Row],[Rate]]=""),"Missing","OK")</f>
        <v>OK</v>
      </c>
    </row>
    <row r="888" spans="1:9" x14ac:dyDescent="0.35">
      <c r="A888" t="s">
        <v>912</v>
      </c>
      <c r="B888" t="s">
        <v>56</v>
      </c>
      <c r="C888" t="s">
        <v>21</v>
      </c>
      <c r="D888">
        <v>439.79</v>
      </c>
      <c r="E888" t="s">
        <v>14</v>
      </c>
      <c r="F888">
        <v>2304.38</v>
      </c>
      <c r="G888">
        <f t="shared" si="15"/>
        <v>1013443.2802</v>
      </c>
      <c r="H888" t="str">
        <f>IF(BOQ_Table[[#This Row],[Amount]]&gt;100000,"Over Budget","OK")</f>
        <v>Over Budget</v>
      </c>
      <c r="I888" t="str">
        <f>IF(OR(BOQ_Table[[#This Row],[Quantity]]="",BOQ_Table[[#This Row],[Rate]]=""),"Missing","OK")</f>
        <v>OK</v>
      </c>
    </row>
    <row r="889" spans="1:9" x14ac:dyDescent="0.35">
      <c r="A889" t="s">
        <v>913</v>
      </c>
      <c r="B889" t="s">
        <v>56</v>
      </c>
      <c r="C889" t="s">
        <v>21</v>
      </c>
      <c r="D889">
        <v>299.44</v>
      </c>
      <c r="E889" t="s">
        <v>14</v>
      </c>
      <c r="F889">
        <v>2573.63</v>
      </c>
      <c r="G889">
        <f t="shared" si="15"/>
        <v>770647.7672</v>
      </c>
      <c r="H889" t="str">
        <f>IF(BOQ_Table[[#This Row],[Amount]]&gt;100000,"Over Budget","OK")</f>
        <v>Over Budget</v>
      </c>
      <c r="I889" t="str">
        <f>IF(OR(BOQ_Table[[#This Row],[Quantity]]="",BOQ_Table[[#This Row],[Rate]]=""),"Missing","OK")</f>
        <v>OK</v>
      </c>
    </row>
    <row r="890" spans="1:9" x14ac:dyDescent="0.35">
      <c r="A890" t="s">
        <v>914</v>
      </c>
      <c r="B890" t="s">
        <v>20</v>
      </c>
      <c r="C890" t="s">
        <v>8</v>
      </c>
      <c r="D890">
        <v>463.46</v>
      </c>
      <c r="E890" t="s">
        <v>22</v>
      </c>
      <c r="F890">
        <v>1223.51</v>
      </c>
      <c r="G890">
        <f t="shared" si="15"/>
        <v>567047.94459999993</v>
      </c>
      <c r="H890" t="str">
        <f>IF(BOQ_Table[[#This Row],[Amount]]&gt;100000,"Over Budget","OK")</f>
        <v>Over Budget</v>
      </c>
      <c r="I890" t="str">
        <f>IF(OR(BOQ_Table[[#This Row],[Quantity]]="",BOQ_Table[[#This Row],[Rate]]=""),"Missing","OK")</f>
        <v>OK</v>
      </c>
    </row>
    <row r="891" spans="1:9" x14ac:dyDescent="0.35">
      <c r="A891" t="s">
        <v>915</v>
      </c>
      <c r="B891" t="s">
        <v>20</v>
      </c>
      <c r="C891" t="s">
        <v>21</v>
      </c>
      <c r="D891">
        <v>110.5</v>
      </c>
      <c r="E891" t="s">
        <v>18</v>
      </c>
      <c r="F891">
        <v>3095.57</v>
      </c>
      <c r="G891">
        <f t="shared" si="15"/>
        <v>342060.48500000004</v>
      </c>
      <c r="H891" t="str">
        <f>IF(BOQ_Table[[#This Row],[Amount]]&gt;100000,"Over Budget","OK")</f>
        <v>Over Budget</v>
      </c>
      <c r="I891" t="str">
        <f>IF(OR(BOQ_Table[[#This Row],[Quantity]]="",BOQ_Table[[#This Row],[Rate]]=""),"Missing","OK")</f>
        <v>OK</v>
      </c>
    </row>
    <row r="892" spans="1:9" x14ac:dyDescent="0.35">
      <c r="A892" t="s">
        <v>916</v>
      </c>
      <c r="B892" t="s">
        <v>7</v>
      </c>
      <c r="C892" t="s">
        <v>8</v>
      </c>
      <c r="D892">
        <v>204.75</v>
      </c>
      <c r="E892" t="s">
        <v>27</v>
      </c>
      <c r="F892">
        <v>825.75</v>
      </c>
      <c r="G892">
        <f t="shared" si="15"/>
        <v>169072.3125</v>
      </c>
      <c r="H892" t="str">
        <f>IF(BOQ_Table[[#This Row],[Amount]]&gt;100000,"Over Budget","OK")</f>
        <v>Over Budget</v>
      </c>
      <c r="I892" t="str">
        <f>IF(OR(BOQ_Table[[#This Row],[Quantity]]="",BOQ_Table[[#This Row],[Rate]]=""),"Missing","OK")</f>
        <v>OK</v>
      </c>
    </row>
    <row r="893" spans="1:9" x14ac:dyDescent="0.35">
      <c r="A893" t="s">
        <v>917</v>
      </c>
      <c r="B893" t="s">
        <v>46</v>
      </c>
      <c r="C893" t="s">
        <v>17</v>
      </c>
      <c r="D893">
        <v>342.22</v>
      </c>
      <c r="E893" t="s">
        <v>18</v>
      </c>
      <c r="F893">
        <v>3676.09</v>
      </c>
      <c r="G893">
        <f t="shared" si="15"/>
        <v>1258031.5198000001</v>
      </c>
      <c r="H893" t="str">
        <f>IF(BOQ_Table[[#This Row],[Amount]]&gt;100000,"Over Budget","OK")</f>
        <v>Over Budget</v>
      </c>
      <c r="I893" t="str">
        <f>IF(OR(BOQ_Table[[#This Row],[Quantity]]="",BOQ_Table[[#This Row],[Rate]]=""),"Missing","OK")</f>
        <v>OK</v>
      </c>
    </row>
    <row r="894" spans="1:9" x14ac:dyDescent="0.35">
      <c r="A894" t="s">
        <v>918</v>
      </c>
      <c r="B894" t="s">
        <v>56</v>
      </c>
      <c r="C894" t="s">
        <v>21</v>
      </c>
      <c r="D894">
        <v>363.8</v>
      </c>
      <c r="E894" t="s">
        <v>27</v>
      </c>
      <c r="F894">
        <v>4957.1099999999997</v>
      </c>
      <c r="G894">
        <f t="shared" si="15"/>
        <v>1803396.618</v>
      </c>
      <c r="H894" t="str">
        <f>IF(BOQ_Table[[#This Row],[Amount]]&gt;100000,"Over Budget","OK")</f>
        <v>Over Budget</v>
      </c>
      <c r="I894" t="str">
        <f>IF(OR(BOQ_Table[[#This Row],[Quantity]]="",BOQ_Table[[#This Row],[Rate]]=""),"Missing","OK")</f>
        <v>OK</v>
      </c>
    </row>
    <row r="895" spans="1:9" x14ac:dyDescent="0.35">
      <c r="A895" t="s">
        <v>919</v>
      </c>
      <c r="B895" t="s">
        <v>56</v>
      </c>
      <c r="C895" t="s">
        <v>8</v>
      </c>
      <c r="D895">
        <v>214.66</v>
      </c>
      <c r="E895" t="s">
        <v>18</v>
      </c>
      <c r="F895">
        <v>2123.27</v>
      </c>
      <c r="G895">
        <f t="shared" si="15"/>
        <v>455781.13819999999</v>
      </c>
      <c r="H895" t="str">
        <f>IF(BOQ_Table[[#This Row],[Amount]]&gt;100000,"Over Budget","OK")</f>
        <v>Over Budget</v>
      </c>
      <c r="I895" t="str">
        <f>IF(OR(BOQ_Table[[#This Row],[Quantity]]="",BOQ_Table[[#This Row],[Rate]]=""),"Missing","OK")</f>
        <v>OK</v>
      </c>
    </row>
    <row r="896" spans="1:9" x14ac:dyDescent="0.35">
      <c r="A896" t="s">
        <v>920</v>
      </c>
      <c r="B896" t="s">
        <v>30</v>
      </c>
      <c r="C896" t="s">
        <v>17</v>
      </c>
      <c r="D896">
        <v>173.26</v>
      </c>
      <c r="E896" t="s">
        <v>18</v>
      </c>
      <c r="F896">
        <v>110.08</v>
      </c>
      <c r="G896">
        <f t="shared" si="15"/>
        <v>19072.460799999997</v>
      </c>
      <c r="H896" t="str">
        <f>IF(BOQ_Table[[#This Row],[Amount]]&gt;100000,"Over Budget","OK")</f>
        <v>OK</v>
      </c>
      <c r="I896" t="str">
        <f>IF(OR(BOQ_Table[[#This Row],[Quantity]]="",BOQ_Table[[#This Row],[Rate]]=""),"Missing","OK")</f>
        <v>OK</v>
      </c>
    </row>
    <row r="897" spans="1:9" x14ac:dyDescent="0.35">
      <c r="A897" t="s">
        <v>921</v>
      </c>
      <c r="B897" t="s">
        <v>16</v>
      </c>
      <c r="C897" t="s">
        <v>17</v>
      </c>
      <c r="D897">
        <v>203.17</v>
      </c>
      <c r="E897" t="s">
        <v>14</v>
      </c>
      <c r="F897">
        <v>1666.14</v>
      </c>
      <c r="G897">
        <f t="shared" si="15"/>
        <v>338509.66379999998</v>
      </c>
      <c r="H897" t="str">
        <f>IF(BOQ_Table[[#This Row],[Amount]]&gt;100000,"Over Budget","OK")</f>
        <v>Over Budget</v>
      </c>
      <c r="I897" t="str">
        <f>IF(OR(BOQ_Table[[#This Row],[Quantity]]="",BOQ_Table[[#This Row],[Rate]]=""),"Missing","OK")</f>
        <v>OK</v>
      </c>
    </row>
    <row r="898" spans="1:9" x14ac:dyDescent="0.35">
      <c r="A898" t="s">
        <v>922</v>
      </c>
      <c r="B898" t="s">
        <v>32</v>
      </c>
      <c r="C898" t="s">
        <v>8</v>
      </c>
      <c r="D898">
        <v>291.14</v>
      </c>
      <c r="E898" t="s">
        <v>22</v>
      </c>
      <c r="F898">
        <v>1057.8599999999999</v>
      </c>
      <c r="G898">
        <f t="shared" ref="G898:G961" si="16">D898*F898</f>
        <v>307985.36039999995</v>
      </c>
      <c r="H898" t="str">
        <f>IF(BOQ_Table[[#This Row],[Amount]]&gt;100000,"Over Budget","OK")</f>
        <v>Over Budget</v>
      </c>
      <c r="I898" t="str">
        <f>IF(OR(BOQ_Table[[#This Row],[Quantity]]="",BOQ_Table[[#This Row],[Rate]]=""),"Missing","OK")</f>
        <v>OK</v>
      </c>
    </row>
    <row r="899" spans="1:9" x14ac:dyDescent="0.35">
      <c r="A899" t="s">
        <v>923</v>
      </c>
      <c r="B899" t="s">
        <v>7</v>
      </c>
      <c r="C899" t="s">
        <v>12</v>
      </c>
      <c r="D899">
        <v>293.57</v>
      </c>
      <c r="E899" t="s">
        <v>14</v>
      </c>
      <c r="F899">
        <v>4335.99</v>
      </c>
      <c r="G899">
        <f t="shared" si="16"/>
        <v>1272916.5843</v>
      </c>
      <c r="H899" t="str">
        <f>IF(BOQ_Table[[#This Row],[Amount]]&gt;100000,"Over Budget","OK")</f>
        <v>Over Budget</v>
      </c>
      <c r="I899" t="str">
        <f>IF(OR(BOQ_Table[[#This Row],[Quantity]]="",BOQ_Table[[#This Row],[Rate]]=""),"Missing","OK")</f>
        <v>OK</v>
      </c>
    </row>
    <row r="900" spans="1:9" x14ac:dyDescent="0.35">
      <c r="A900" t="s">
        <v>924</v>
      </c>
      <c r="B900" t="s">
        <v>42</v>
      </c>
      <c r="C900" t="s">
        <v>12</v>
      </c>
      <c r="D900">
        <v>486.36</v>
      </c>
      <c r="E900" t="s">
        <v>18</v>
      </c>
      <c r="F900">
        <v>2437.63</v>
      </c>
      <c r="G900">
        <f t="shared" si="16"/>
        <v>1185565.7268000001</v>
      </c>
      <c r="H900" t="str">
        <f>IF(BOQ_Table[[#This Row],[Amount]]&gt;100000,"Over Budget","OK")</f>
        <v>Over Budget</v>
      </c>
      <c r="I900" t="str">
        <f>IF(OR(BOQ_Table[[#This Row],[Quantity]]="",BOQ_Table[[#This Row],[Rate]]=""),"Missing","OK")</f>
        <v>OK</v>
      </c>
    </row>
    <row r="901" spans="1:9" x14ac:dyDescent="0.35">
      <c r="A901" t="s">
        <v>925</v>
      </c>
      <c r="B901" t="s">
        <v>16</v>
      </c>
      <c r="C901" t="s">
        <v>17</v>
      </c>
      <c r="D901">
        <v>88.87</v>
      </c>
      <c r="E901" t="s">
        <v>18</v>
      </c>
      <c r="F901">
        <v>4348.84</v>
      </c>
      <c r="G901">
        <f t="shared" si="16"/>
        <v>386481.41080000001</v>
      </c>
      <c r="H901" t="str">
        <f>IF(BOQ_Table[[#This Row],[Amount]]&gt;100000,"Over Budget","OK")</f>
        <v>Over Budget</v>
      </c>
      <c r="I901" t="str">
        <f>IF(OR(BOQ_Table[[#This Row],[Quantity]]="",BOQ_Table[[#This Row],[Rate]]=""),"Missing","OK")</f>
        <v>OK</v>
      </c>
    </row>
    <row r="902" spans="1:9" x14ac:dyDescent="0.35">
      <c r="A902" t="s">
        <v>926</v>
      </c>
      <c r="B902" t="s">
        <v>42</v>
      </c>
      <c r="C902" t="s">
        <v>12</v>
      </c>
      <c r="D902">
        <v>116.5</v>
      </c>
      <c r="E902" t="s">
        <v>27</v>
      </c>
      <c r="F902">
        <v>3378.91</v>
      </c>
      <c r="G902">
        <f t="shared" si="16"/>
        <v>393643.01499999996</v>
      </c>
      <c r="H902" t="str">
        <f>IF(BOQ_Table[[#This Row],[Amount]]&gt;100000,"Over Budget","OK")</f>
        <v>Over Budget</v>
      </c>
      <c r="I902" t="str">
        <f>IF(OR(BOQ_Table[[#This Row],[Quantity]]="",BOQ_Table[[#This Row],[Rate]]=""),"Missing","OK")</f>
        <v>OK</v>
      </c>
    </row>
    <row r="903" spans="1:9" x14ac:dyDescent="0.35">
      <c r="A903" t="s">
        <v>927</v>
      </c>
      <c r="B903" t="s">
        <v>46</v>
      </c>
      <c r="C903" t="s">
        <v>17</v>
      </c>
      <c r="D903">
        <v>136.47999999999999</v>
      </c>
      <c r="E903" t="s">
        <v>22</v>
      </c>
      <c r="F903">
        <v>235.83</v>
      </c>
      <c r="G903">
        <f t="shared" si="16"/>
        <v>32186.078399999999</v>
      </c>
      <c r="H903" t="str">
        <f>IF(BOQ_Table[[#This Row],[Amount]]&gt;100000,"Over Budget","OK")</f>
        <v>OK</v>
      </c>
      <c r="I903" t="str">
        <f>IF(OR(BOQ_Table[[#This Row],[Quantity]]="",BOQ_Table[[#This Row],[Rate]]=""),"Missing","OK")</f>
        <v>OK</v>
      </c>
    </row>
    <row r="904" spans="1:9" x14ac:dyDescent="0.35">
      <c r="A904" t="s">
        <v>928</v>
      </c>
      <c r="B904" t="s">
        <v>46</v>
      </c>
      <c r="C904" t="s">
        <v>21</v>
      </c>
      <c r="D904">
        <v>105.72</v>
      </c>
      <c r="E904" t="s">
        <v>14</v>
      </c>
      <c r="F904">
        <v>3468.94</v>
      </c>
      <c r="G904">
        <f t="shared" si="16"/>
        <v>366736.33679999999</v>
      </c>
      <c r="H904" t="str">
        <f>IF(BOQ_Table[[#This Row],[Amount]]&gt;100000,"Over Budget","OK")</f>
        <v>Over Budget</v>
      </c>
      <c r="I904" t="str">
        <f>IF(OR(BOQ_Table[[#This Row],[Quantity]]="",BOQ_Table[[#This Row],[Rate]]=""),"Missing","OK")</f>
        <v>OK</v>
      </c>
    </row>
    <row r="905" spans="1:9" x14ac:dyDescent="0.35">
      <c r="A905" t="s">
        <v>929</v>
      </c>
      <c r="B905" t="s">
        <v>32</v>
      </c>
      <c r="C905" t="s">
        <v>12</v>
      </c>
      <c r="D905">
        <v>460.17</v>
      </c>
      <c r="E905" t="s">
        <v>18</v>
      </c>
      <c r="F905">
        <v>3155.45</v>
      </c>
      <c r="G905">
        <f t="shared" si="16"/>
        <v>1452043.4265000001</v>
      </c>
      <c r="H905" t="str">
        <f>IF(BOQ_Table[[#This Row],[Amount]]&gt;100000,"Over Budget","OK")</f>
        <v>Over Budget</v>
      </c>
      <c r="I905" t="str">
        <f>IF(OR(BOQ_Table[[#This Row],[Quantity]]="",BOQ_Table[[#This Row],[Rate]]=""),"Missing","OK")</f>
        <v>OK</v>
      </c>
    </row>
    <row r="906" spans="1:9" x14ac:dyDescent="0.35">
      <c r="A906" t="s">
        <v>930</v>
      </c>
      <c r="B906" t="s">
        <v>32</v>
      </c>
      <c r="C906" t="s">
        <v>12</v>
      </c>
      <c r="D906">
        <v>48.74</v>
      </c>
      <c r="E906" t="s">
        <v>27</v>
      </c>
      <c r="F906">
        <v>4855.5600000000004</v>
      </c>
      <c r="G906">
        <f t="shared" si="16"/>
        <v>236659.99440000003</v>
      </c>
      <c r="H906" t="str">
        <f>IF(BOQ_Table[[#This Row],[Amount]]&gt;100000,"Over Budget","OK")</f>
        <v>Over Budget</v>
      </c>
      <c r="I906" t="str">
        <f>IF(OR(BOQ_Table[[#This Row],[Quantity]]="",BOQ_Table[[#This Row],[Rate]]=""),"Missing","OK")</f>
        <v>OK</v>
      </c>
    </row>
    <row r="907" spans="1:9" x14ac:dyDescent="0.35">
      <c r="A907" t="s">
        <v>931</v>
      </c>
      <c r="B907" t="s">
        <v>56</v>
      </c>
      <c r="C907" t="s">
        <v>17</v>
      </c>
      <c r="D907">
        <v>469.37</v>
      </c>
      <c r="E907" t="s">
        <v>14</v>
      </c>
      <c r="F907">
        <v>4074.58</v>
      </c>
      <c r="G907">
        <f t="shared" si="16"/>
        <v>1912485.6146</v>
      </c>
      <c r="H907" t="str">
        <f>IF(BOQ_Table[[#This Row],[Amount]]&gt;100000,"Over Budget","OK")</f>
        <v>Over Budget</v>
      </c>
      <c r="I907" t="str">
        <f>IF(OR(BOQ_Table[[#This Row],[Quantity]]="",BOQ_Table[[#This Row],[Rate]]=""),"Missing","OK")</f>
        <v>OK</v>
      </c>
    </row>
    <row r="908" spans="1:9" x14ac:dyDescent="0.35">
      <c r="A908" t="s">
        <v>932</v>
      </c>
      <c r="B908" t="s">
        <v>30</v>
      </c>
      <c r="C908" t="s">
        <v>38</v>
      </c>
      <c r="D908">
        <v>354.31</v>
      </c>
      <c r="E908" t="s">
        <v>27</v>
      </c>
      <c r="F908">
        <v>2881.72</v>
      </c>
      <c r="G908">
        <f t="shared" si="16"/>
        <v>1021022.2131999999</v>
      </c>
      <c r="H908" t="str">
        <f>IF(BOQ_Table[[#This Row],[Amount]]&gt;100000,"Over Budget","OK")</f>
        <v>Over Budget</v>
      </c>
      <c r="I908" t="str">
        <f>IF(OR(BOQ_Table[[#This Row],[Quantity]]="",BOQ_Table[[#This Row],[Rate]]=""),"Missing","OK")</f>
        <v>OK</v>
      </c>
    </row>
    <row r="909" spans="1:9" x14ac:dyDescent="0.35">
      <c r="A909" t="s">
        <v>933</v>
      </c>
      <c r="B909" t="s">
        <v>40</v>
      </c>
      <c r="C909" t="s">
        <v>38</v>
      </c>
      <c r="D909">
        <v>18.440000000000001</v>
      </c>
      <c r="E909" t="s">
        <v>22</v>
      </c>
      <c r="F909">
        <v>2083.96</v>
      </c>
      <c r="G909">
        <f t="shared" si="16"/>
        <v>38428.222400000006</v>
      </c>
      <c r="H909" t="str">
        <f>IF(BOQ_Table[[#This Row],[Amount]]&gt;100000,"Over Budget","OK")</f>
        <v>OK</v>
      </c>
      <c r="I909" t="str">
        <f>IF(OR(BOQ_Table[[#This Row],[Quantity]]="",BOQ_Table[[#This Row],[Rate]]=""),"Missing","OK")</f>
        <v>OK</v>
      </c>
    </row>
    <row r="910" spans="1:9" x14ac:dyDescent="0.35">
      <c r="A910" t="s">
        <v>934</v>
      </c>
      <c r="B910" t="s">
        <v>46</v>
      </c>
      <c r="C910" t="s">
        <v>12</v>
      </c>
      <c r="D910">
        <v>330.22</v>
      </c>
      <c r="E910" t="s">
        <v>27</v>
      </c>
      <c r="F910">
        <v>4252.05</v>
      </c>
      <c r="G910">
        <f t="shared" si="16"/>
        <v>1404111.9510000001</v>
      </c>
      <c r="H910" t="str">
        <f>IF(BOQ_Table[[#This Row],[Amount]]&gt;100000,"Over Budget","OK")</f>
        <v>Over Budget</v>
      </c>
      <c r="I910" t="str">
        <f>IF(OR(BOQ_Table[[#This Row],[Quantity]]="",BOQ_Table[[#This Row],[Rate]]=""),"Missing","OK")</f>
        <v>OK</v>
      </c>
    </row>
    <row r="911" spans="1:9" x14ac:dyDescent="0.35">
      <c r="A911" t="s">
        <v>935</v>
      </c>
      <c r="B911" t="s">
        <v>7</v>
      </c>
      <c r="C911" t="s">
        <v>12</v>
      </c>
      <c r="D911">
        <v>121.23</v>
      </c>
      <c r="E911" t="s">
        <v>18</v>
      </c>
      <c r="F911">
        <v>922.36</v>
      </c>
      <c r="G911">
        <f t="shared" si="16"/>
        <v>111817.7028</v>
      </c>
      <c r="H911" t="str">
        <f>IF(BOQ_Table[[#This Row],[Amount]]&gt;100000,"Over Budget","OK")</f>
        <v>Over Budget</v>
      </c>
      <c r="I911" t="str">
        <f>IF(OR(BOQ_Table[[#This Row],[Quantity]]="",BOQ_Table[[#This Row],[Rate]]=""),"Missing","OK")</f>
        <v>OK</v>
      </c>
    </row>
    <row r="912" spans="1:9" x14ac:dyDescent="0.35">
      <c r="A912" t="s">
        <v>936</v>
      </c>
      <c r="B912" t="s">
        <v>20</v>
      </c>
      <c r="C912" t="s">
        <v>38</v>
      </c>
      <c r="D912">
        <v>208.19</v>
      </c>
      <c r="E912" t="s">
        <v>9</v>
      </c>
      <c r="F912">
        <v>1660.13</v>
      </c>
      <c r="G912">
        <f t="shared" si="16"/>
        <v>345622.46470000001</v>
      </c>
      <c r="H912" t="str">
        <f>IF(BOQ_Table[[#This Row],[Amount]]&gt;100000,"Over Budget","OK")</f>
        <v>Over Budget</v>
      </c>
      <c r="I912" t="str">
        <f>IF(OR(BOQ_Table[[#This Row],[Quantity]]="",BOQ_Table[[#This Row],[Rate]]=""),"Missing","OK")</f>
        <v>OK</v>
      </c>
    </row>
    <row r="913" spans="1:9" x14ac:dyDescent="0.35">
      <c r="A913" t="s">
        <v>937</v>
      </c>
      <c r="B913" t="s">
        <v>56</v>
      </c>
      <c r="C913" t="s">
        <v>38</v>
      </c>
      <c r="D913">
        <v>88.01</v>
      </c>
      <c r="E913" t="s">
        <v>14</v>
      </c>
      <c r="F913">
        <v>3052.6</v>
      </c>
      <c r="G913">
        <f t="shared" si="16"/>
        <v>268659.326</v>
      </c>
      <c r="H913" t="str">
        <f>IF(BOQ_Table[[#This Row],[Amount]]&gt;100000,"Over Budget","OK")</f>
        <v>Over Budget</v>
      </c>
      <c r="I913" t="str">
        <f>IF(OR(BOQ_Table[[#This Row],[Quantity]]="",BOQ_Table[[#This Row],[Rate]]=""),"Missing","OK")</f>
        <v>OK</v>
      </c>
    </row>
    <row r="914" spans="1:9" x14ac:dyDescent="0.35">
      <c r="A914" t="s">
        <v>938</v>
      </c>
      <c r="B914" t="s">
        <v>32</v>
      </c>
      <c r="C914" t="s">
        <v>17</v>
      </c>
      <c r="D914">
        <v>479.57</v>
      </c>
      <c r="E914" t="s">
        <v>22</v>
      </c>
      <c r="F914">
        <v>4187.29</v>
      </c>
      <c r="G914">
        <f t="shared" si="16"/>
        <v>2008098.6653</v>
      </c>
      <c r="H914" t="str">
        <f>IF(BOQ_Table[[#This Row],[Amount]]&gt;100000,"Over Budget","OK")</f>
        <v>Over Budget</v>
      </c>
      <c r="I914" t="str">
        <f>IF(OR(BOQ_Table[[#This Row],[Quantity]]="",BOQ_Table[[#This Row],[Rate]]=""),"Missing","OK")</f>
        <v>OK</v>
      </c>
    </row>
    <row r="915" spans="1:9" x14ac:dyDescent="0.35">
      <c r="A915" t="s">
        <v>939</v>
      </c>
      <c r="B915" t="s">
        <v>46</v>
      </c>
      <c r="C915" t="s">
        <v>12</v>
      </c>
      <c r="D915">
        <v>328.91</v>
      </c>
      <c r="E915" t="s">
        <v>18</v>
      </c>
      <c r="F915">
        <v>4836.04</v>
      </c>
      <c r="G915">
        <f t="shared" si="16"/>
        <v>1590621.9164000002</v>
      </c>
      <c r="H915" t="str">
        <f>IF(BOQ_Table[[#This Row],[Amount]]&gt;100000,"Over Budget","OK")</f>
        <v>Over Budget</v>
      </c>
      <c r="I915" t="str">
        <f>IF(OR(BOQ_Table[[#This Row],[Quantity]]="",BOQ_Table[[#This Row],[Rate]]=""),"Missing","OK")</f>
        <v>OK</v>
      </c>
    </row>
    <row r="916" spans="1:9" x14ac:dyDescent="0.35">
      <c r="A916" t="s">
        <v>940</v>
      </c>
      <c r="B916" t="s">
        <v>32</v>
      </c>
      <c r="C916" t="s">
        <v>38</v>
      </c>
      <c r="D916">
        <v>441.84</v>
      </c>
      <c r="E916" t="s">
        <v>14</v>
      </c>
      <c r="F916">
        <v>3891.21</v>
      </c>
      <c r="G916">
        <f t="shared" si="16"/>
        <v>1719292.2263999998</v>
      </c>
      <c r="H916" t="str">
        <f>IF(BOQ_Table[[#This Row],[Amount]]&gt;100000,"Over Budget","OK")</f>
        <v>Over Budget</v>
      </c>
      <c r="I916" t="str">
        <f>IF(OR(BOQ_Table[[#This Row],[Quantity]]="",BOQ_Table[[#This Row],[Rate]]=""),"Missing","OK")</f>
        <v>OK</v>
      </c>
    </row>
    <row r="917" spans="1:9" x14ac:dyDescent="0.35">
      <c r="A917" t="s">
        <v>941</v>
      </c>
      <c r="B917" t="s">
        <v>56</v>
      </c>
      <c r="C917" t="s">
        <v>38</v>
      </c>
      <c r="D917">
        <v>302.14999999999998</v>
      </c>
      <c r="E917" t="s">
        <v>14</v>
      </c>
      <c r="F917">
        <v>4602.03</v>
      </c>
      <c r="G917">
        <f t="shared" si="16"/>
        <v>1390503.3644999999</v>
      </c>
      <c r="H917" t="str">
        <f>IF(BOQ_Table[[#This Row],[Amount]]&gt;100000,"Over Budget","OK")</f>
        <v>Over Budget</v>
      </c>
      <c r="I917" t="str">
        <f>IF(OR(BOQ_Table[[#This Row],[Quantity]]="",BOQ_Table[[#This Row],[Rate]]=""),"Missing","OK")</f>
        <v>OK</v>
      </c>
    </row>
    <row r="918" spans="1:9" x14ac:dyDescent="0.35">
      <c r="A918" t="s">
        <v>942</v>
      </c>
      <c r="B918" t="s">
        <v>20</v>
      </c>
      <c r="C918" t="s">
        <v>12</v>
      </c>
      <c r="D918">
        <v>195.95</v>
      </c>
      <c r="E918" t="s">
        <v>22</v>
      </c>
      <c r="F918">
        <v>2366.5</v>
      </c>
      <c r="G918">
        <f t="shared" si="16"/>
        <v>463715.67499999999</v>
      </c>
      <c r="H918" t="str">
        <f>IF(BOQ_Table[[#This Row],[Amount]]&gt;100000,"Over Budget","OK")</f>
        <v>Over Budget</v>
      </c>
      <c r="I918" t="str">
        <f>IF(OR(BOQ_Table[[#This Row],[Quantity]]="",BOQ_Table[[#This Row],[Rate]]=""),"Missing","OK")</f>
        <v>OK</v>
      </c>
    </row>
    <row r="919" spans="1:9" x14ac:dyDescent="0.35">
      <c r="A919" t="s">
        <v>943</v>
      </c>
      <c r="B919" t="s">
        <v>16</v>
      </c>
      <c r="C919" t="s">
        <v>8</v>
      </c>
      <c r="D919">
        <v>421.96</v>
      </c>
      <c r="E919" t="s">
        <v>14</v>
      </c>
      <c r="F919">
        <v>1499.98</v>
      </c>
      <c r="G919">
        <f t="shared" si="16"/>
        <v>632931.56079999998</v>
      </c>
      <c r="H919" t="str">
        <f>IF(BOQ_Table[[#This Row],[Amount]]&gt;100000,"Over Budget","OK")</f>
        <v>Over Budget</v>
      </c>
      <c r="I919" t="str">
        <f>IF(OR(BOQ_Table[[#This Row],[Quantity]]="",BOQ_Table[[#This Row],[Rate]]=""),"Missing","OK")</f>
        <v>OK</v>
      </c>
    </row>
    <row r="920" spans="1:9" x14ac:dyDescent="0.35">
      <c r="A920" t="s">
        <v>944</v>
      </c>
      <c r="B920" t="s">
        <v>30</v>
      </c>
      <c r="C920" t="s">
        <v>17</v>
      </c>
      <c r="D920">
        <v>377.86</v>
      </c>
      <c r="E920" t="s">
        <v>9</v>
      </c>
      <c r="F920">
        <v>970.44</v>
      </c>
      <c r="G920">
        <f t="shared" si="16"/>
        <v>366690.45840000006</v>
      </c>
      <c r="H920" t="str">
        <f>IF(BOQ_Table[[#This Row],[Amount]]&gt;100000,"Over Budget","OK")</f>
        <v>Over Budget</v>
      </c>
      <c r="I920" t="str">
        <f>IF(OR(BOQ_Table[[#This Row],[Quantity]]="",BOQ_Table[[#This Row],[Rate]]=""),"Missing","OK")</f>
        <v>OK</v>
      </c>
    </row>
    <row r="921" spans="1:9" x14ac:dyDescent="0.35">
      <c r="A921" t="s">
        <v>945</v>
      </c>
      <c r="B921" t="s">
        <v>20</v>
      </c>
      <c r="C921" t="s">
        <v>38</v>
      </c>
      <c r="D921">
        <v>428.51</v>
      </c>
      <c r="E921" t="s">
        <v>14</v>
      </c>
      <c r="F921">
        <v>4597.43</v>
      </c>
      <c r="G921">
        <f t="shared" si="16"/>
        <v>1970044.7293</v>
      </c>
      <c r="H921" t="str">
        <f>IF(BOQ_Table[[#This Row],[Amount]]&gt;100000,"Over Budget","OK")</f>
        <v>Over Budget</v>
      </c>
      <c r="I921" t="str">
        <f>IF(OR(BOQ_Table[[#This Row],[Quantity]]="",BOQ_Table[[#This Row],[Rate]]=""),"Missing","OK")</f>
        <v>OK</v>
      </c>
    </row>
    <row r="922" spans="1:9" x14ac:dyDescent="0.35">
      <c r="A922" t="s">
        <v>946</v>
      </c>
      <c r="B922" t="s">
        <v>32</v>
      </c>
      <c r="C922" t="s">
        <v>8</v>
      </c>
      <c r="D922">
        <v>71.14</v>
      </c>
      <c r="E922" t="s">
        <v>22</v>
      </c>
      <c r="F922">
        <v>3453.29</v>
      </c>
      <c r="G922">
        <f t="shared" si="16"/>
        <v>245667.05059999999</v>
      </c>
      <c r="H922" t="str">
        <f>IF(BOQ_Table[[#This Row],[Amount]]&gt;100000,"Over Budget","OK")</f>
        <v>Over Budget</v>
      </c>
      <c r="I922" t="str">
        <f>IF(OR(BOQ_Table[[#This Row],[Quantity]]="",BOQ_Table[[#This Row],[Rate]]=""),"Missing","OK")</f>
        <v>OK</v>
      </c>
    </row>
    <row r="923" spans="1:9" x14ac:dyDescent="0.35">
      <c r="A923" t="s">
        <v>947</v>
      </c>
      <c r="B923" t="s">
        <v>40</v>
      </c>
      <c r="C923" t="s">
        <v>21</v>
      </c>
      <c r="D923">
        <v>371.71</v>
      </c>
      <c r="E923" t="s">
        <v>14</v>
      </c>
      <c r="F923">
        <v>574.79</v>
      </c>
      <c r="G923">
        <f t="shared" si="16"/>
        <v>213655.19089999999</v>
      </c>
      <c r="H923" t="str">
        <f>IF(BOQ_Table[[#This Row],[Amount]]&gt;100000,"Over Budget","OK")</f>
        <v>Over Budget</v>
      </c>
      <c r="I923" t="str">
        <f>IF(OR(BOQ_Table[[#This Row],[Quantity]]="",BOQ_Table[[#This Row],[Rate]]=""),"Missing","OK")</f>
        <v>OK</v>
      </c>
    </row>
    <row r="924" spans="1:9" x14ac:dyDescent="0.35">
      <c r="A924" t="s">
        <v>948</v>
      </c>
      <c r="B924" t="s">
        <v>30</v>
      </c>
      <c r="C924" t="s">
        <v>8</v>
      </c>
      <c r="D924">
        <v>437.6</v>
      </c>
      <c r="E924" t="s">
        <v>14</v>
      </c>
      <c r="F924">
        <v>2499.65</v>
      </c>
      <c r="G924">
        <f t="shared" si="16"/>
        <v>1093846.8400000001</v>
      </c>
      <c r="H924" t="str">
        <f>IF(BOQ_Table[[#This Row],[Amount]]&gt;100000,"Over Budget","OK")</f>
        <v>Over Budget</v>
      </c>
      <c r="I924" t="str">
        <f>IF(OR(BOQ_Table[[#This Row],[Quantity]]="",BOQ_Table[[#This Row],[Rate]]=""),"Missing","OK")</f>
        <v>OK</v>
      </c>
    </row>
    <row r="925" spans="1:9" x14ac:dyDescent="0.35">
      <c r="A925" t="s">
        <v>949</v>
      </c>
      <c r="B925" t="s">
        <v>20</v>
      </c>
      <c r="C925" t="s">
        <v>38</v>
      </c>
      <c r="D925">
        <v>339.19</v>
      </c>
      <c r="E925" t="s">
        <v>27</v>
      </c>
      <c r="F925">
        <v>1552</v>
      </c>
      <c r="G925">
        <f t="shared" si="16"/>
        <v>526422.88</v>
      </c>
      <c r="H925" t="str">
        <f>IF(BOQ_Table[[#This Row],[Amount]]&gt;100000,"Over Budget","OK")</f>
        <v>Over Budget</v>
      </c>
      <c r="I925" t="str">
        <f>IF(OR(BOQ_Table[[#This Row],[Quantity]]="",BOQ_Table[[#This Row],[Rate]]=""),"Missing","OK")</f>
        <v>OK</v>
      </c>
    </row>
    <row r="926" spans="1:9" x14ac:dyDescent="0.35">
      <c r="A926" t="s">
        <v>950</v>
      </c>
      <c r="B926" t="s">
        <v>56</v>
      </c>
      <c r="C926" t="s">
        <v>38</v>
      </c>
      <c r="D926">
        <v>98.48</v>
      </c>
      <c r="E926" t="s">
        <v>18</v>
      </c>
      <c r="F926">
        <v>982.86</v>
      </c>
      <c r="G926">
        <f t="shared" si="16"/>
        <v>96792.052800000005</v>
      </c>
      <c r="H926" t="str">
        <f>IF(BOQ_Table[[#This Row],[Amount]]&gt;100000,"Over Budget","OK")</f>
        <v>OK</v>
      </c>
      <c r="I926" t="str">
        <f>IF(OR(BOQ_Table[[#This Row],[Quantity]]="",BOQ_Table[[#This Row],[Rate]]=""),"Missing","OK")</f>
        <v>OK</v>
      </c>
    </row>
    <row r="927" spans="1:9" x14ac:dyDescent="0.35">
      <c r="A927" t="s">
        <v>951</v>
      </c>
      <c r="B927" t="s">
        <v>46</v>
      </c>
      <c r="C927" t="s">
        <v>17</v>
      </c>
      <c r="D927">
        <v>127.48</v>
      </c>
      <c r="E927" t="s">
        <v>18</v>
      </c>
      <c r="F927">
        <v>960.38</v>
      </c>
      <c r="G927">
        <f t="shared" si="16"/>
        <v>122429.2424</v>
      </c>
      <c r="H927" t="str">
        <f>IF(BOQ_Table[[#This Row],[Amount]]&gt;100000,"Over Budget","OK")</f>
        <v>Over Budget</v>
      </c>
      <c r="I927" t="str">
        <f>IF(OR(BOQ_Table[[#This Row],[Quantity]]="",BOQ_Table[[#This Row],[Rate]]=""),"Missing","OK")</f>
        <v>OK</v>
      </c>
    </row>
    <row r="928" spans="1:9" x14ac:dyDescent="0.35">
      <c r="A928" t="s">
        <v>952</v>
      </c>
      <c r="B928" t="s">
        <v>7</v>
      </c>
      <c r="C928" t="s">
        <v>8</v>
      </c>
      <c r="D928">
        <v>223.93</v>
      </c>
      <c r="E928" t="s">
        <v>18</v>
      </c>
      <c r="F928">
        <v>3602.9</v>
      </c>
      <c r="G928">
        <f t="shared" si="16"/>
        <v>806797.397</v>
      </c>
      <c r="H928" t="str">
        <f>IF(BOQ_Table[[#This Row],[Amount]]&gt;100000,"Over Budget","OK")</f>
        <v>Over Budget</v>
      </c>
      <c r="I928" t="str">
        <f>IF(OR(BOQ_Table[[#This Row],[Quantity]]="",BOQ_Table[[#This Row],[Rate]]=""),"Missing","OK")</f>
        <v>OK</v>
      </c>
    </row>
    <row r="929" spans="1:9" x14ac:dyDescent="0.35">
      <c r="A929" t="s">
        <v>953</v>
      </c>
      <c r="B929" t="s">
        <v>56</v>
      </c>
      <c r="C929" t="s">
        <v>21</v>
      </c>
      <c r="D929">
        <v>446.52</v>
      </c>
      <c r="E929" t="s">
        <v>14</v>
      </c>
      <c r="F929">
        <v>3767.65</v>
      </c>
      <c r="G929">
        <f t="shared" si="16"/>
        <v>1682331.078</v>
      </c>
      <c r="H929" t="str">
        <f>IF(BOQ_Table[[#This Row],[Amount]]&gt;100000,"Over Budget","OK")</f>
        <v>Over Budget</v>
      </c>
      <c r="I929" t="str">
        <f>IF(OR(BOQ_Table[[#This Row],[Quantity]]="",BOQ_Table[[#This Row],[Rate]]=""),"Missing","OK")</f>
        <v>OK</v>
      </c>
    </row>
    <row r="930" spans="1:9" x14ac:dyDescent="0.35">
      <c r="A930" t="s">
        <v>954</v>
      </c>
      <c r="B930" t="s">
        <v>30</v>
      </c>
      <c r="C930" t="s">
        <v>38</v>
      </c>
      <c r="D930">
        <v>471.34</v>
      </c>
      <c r="E930" t="s">
        <v>18</v>
      </c>
      <c r="F930">
        <v>2678.92</v>
      </c>
      <c r="G930">
        <f t="shared" si="16"/>
        <v>1262682.1528</v>
      </c>
      <c r="H930" t="str">
        <f>IF(BOQ_Table[[#This Row],[Amount]]&gt;100000,"Over Budget","OK")</f>
        <v>Over Budget</v>
      </c>
      <c r="I930" t="str">
        <f>IF(OR(BOQ_Table[[#This Row],[Quantity]]="",BOQ_Table[[#This Row],[Rate]]=""),"Missing","OK")</f>
        <v>OK</v>
      </c>
    </row>
    <row r="931" spans="1:9" x14ac:dyDescent="0.35">
      <c r="A931" t="s">
        <v>955</v>
      </c>
      <c r="B931" t="s">
        <v>40</v>
      </c>
      <c r="C931" t="s">
        <v>8</v>
      </c>
      <c r="D931">
        <v>354.2</v>
      </c>
      <c r="E931" t="s">
        <v>14</v>
      </c>
      <c r="F931">
        <v>2321.79</v>
      </c>
      <c r="G931">
        <f t="shared" si="16"/>
        <v>822378.01799999992</v>
      </c>
      <c r="H931" t="str">
        <f>IF(BOQ_Table[[#This Row],[Amount]]&gt;100000,"Over Budget","OK")</f>
        <v>Over Budget</v>
      </c>
      <c r="I931" t="str">
        <f>IF(OR(BOQ_Table[[#This Row],[Quantity]]="",BOQ_Table[[#This Row],[Rate]]=""),"Missing","OK")</f>
        <v>OK</v>
      </c>
    </row>
    <row r="932" spans="1:9" x14ac:dyDescent="0.35">
      <c r="A932" t="s">
        <v>956</v>
      </c>
      <c r="B932" t="s">
        <v>20</v>
      </c>
      <c r="C932" t="s">
        <v>21</v>
      </c>
      <c r="D932">
        <v>218.34</v>
      </c>
      <c r="E932" t="s">
        <v>22</v>
      </c>
      <c r="F932">
        <v>3292.11</v>
      </c>
      <c r="G932">
        <f t="shared" si="16"/>
        <v>718799.29740000004</v>
      </c>
      <c r="H932" t="str">
        <f>IF(BOQ_Table[[#This Row],[Amount]]&gt;100000,"Over Budget","OK")</f>
        <v>Over Budget</v>
      </c>
      <c r="I932" t="str">
        <f>IF(OR(BOQ_Table[[#This Row],[Quantity]]="",BOQ_Table[[#This Row],[Rate]]=""),"Missing","OK")</f>
        <v>OK</v>
      </c>
    </row>
    <row r="933" spans="1:9" x14ac:dyDescent="0.35">
      <c r="A933" t="s">
        <v>957</v>
      </c>
      <c r="B933" t="s">
        <v>30</v>
      </c>
      <c r="C933" t="s">
        <v>17</v>
      </c>
      <c r="D933">
        <v>367.77</v>
      </c>
      <c r="E933" t="s">
        <v>22</v>
      </c>
      <c r="F933">
        <v>692.59</v>
      </c>
      <c r="G933">
        <f t="shared" si="16"/>
        <v>254713.82430000001</v>
      </c>
      <c r="H933" t="str">
        <f>IF(BOQ_Table[[#This Row],[Amount]]&gt;100000,"Over Budget","OK")</f>
        <v>Over Budget</v>
      </c>
      <c r="I933" t="str">
        <f>IF(OR(BOQ_Table[[#This Row],[Quantity]]="",BOQ_Table[[#This Row],[Rate]]=""),"Missing","OK")</f>
        <v>OK</v>
      </c>
    </row>
    <row r="934" spans="1:9" x14ac:dyDescent="0.35">
      <c r="A934" t="s">
        <v>958</v>
      </c>
      <c r="B934" t="s">
        <v>40</v>
      </c>
      <c r="C934" t="s">
        <v>12</v>
      </c>
      <c r="D934">
        <v>177.37</v>
      </c>
      <c r="E934" t="s">
        <v>22</v>
      </c>
      <c r="F934">
        <v>2926.18</v>
      </c>
      <c r="G934">
        <f t="shared" si="16"/>
        <v>519016.5466</v>
      </c>
      <c r="H934" t="str">
        <f>IF(BOQ_Table[[#This Row],[Amount]]&gt;100000,"Over Budget","OK")</f>
        <v>Over Budget</v>
      </c>
      <c r="I934" t="str">
        <f>IF(OR(BOQ_Table[[#This Row],[Quantity]]="",BOQ_Table[[#This Row],[Rate]]=""),"Missing","OK")</f>
        <v>OK</v>
      </c>
    </row>
    <row r="935" spans="1:9" x14ac:dyDescent="0.35">
      <c r="A935" t="s">
        <v>959</v>
      </c>
      <c r="B935" t="s">
        <v>40</v>
      </c>
      <c r="C935" t="s">
        <v>8</v>
      </c>
      <c r="D935">
        <v>47.4</v>
      </c>
      <c r="E935" t="s">
        <v>18</v>
      </c>
      <c r="F935">
        <v>4065.23</v>
      </c>
      <c r="G935">
        <f t="shared" si="16"/>
        <v>192691.902</v>
      </c>
      <c r="H935" t="str">
        <f>IF(BOQ_Table[[#This Row],[Amount]]&gt;100000,"Over Budget","OK")</f>
        <v>Over Budget</v>
      </c>
      <c r="I935" t="str">
        <f>IF(OR(BOQ_Table[[#This Row],[Quantity]]="",BOQ_Table[[#This Row],[Rate]]=""),"Missing","OK")</f>
        <v>OK</v>
      </c>
    </row>
    <row r="936" spans="1:9" x14ac:dyDescent="0.35">
      <c r="A936" t="s">
        <v>960</v>
      </c>
      <c r="B936" t="s">
        <v>32</v>
      </c>
      <c r="C936" t="s">
        <v>17</v>
      </c>
      <c r="D936">
        <v>272.66000000000003</v>
      </c>
      <c r="E936" t="s">
        <v>18</v>
      </c>
      <c r="F936">
        <v>4636.79</v>
      </c>
      <c r="G936">
        <f t="shared" si="16"/>
        <v>1264267.1614000001</v>
      </c>
      <c r="H936" t="str">
        <f>IF(BOQ_Table[[#This Row],[Amount]]&gt;100000,"Over Budget","OK")</f>
        <v>Over Budget</v>
      </c>
      <c r="I936" t="str">
        <f>IF(OR(BOQ_Table[[#This Row],[Quantity]]="",BOQ_Table[[#This Row],[Rate]]=""),"Missing","OK")</f>
        <v>OK</v>
      </c>
    </row>
    <row r="937" spans="1:9" x14ac:dyDescent="0.35">
      <c r="A937" t="s">
        <v>961</v>
      </c>
      <c r="B937" t="s">
        <v>40</v>
      </c>
      <c r="C937" t="s">
        <v>12</v>
      </c>
      <c r="D937">
        <v>52.66</v>
      </c>
      <c r="E937" t="s">
        <v>9</v>
      </c>
      <c r="F937">
        <v>1501.53</v>
      </c>
      <c r="G937">
        <f t="shared" si="16"/>
        <v>79070.569799999997</v>
      </c>
      <c r="H937" t="str">
        <f>IF(BOQ_Table[[#This Row],[Amount]]&gt;100000,"Over Budget","OK")</f>
        <v>OK</v>
      </c>
      <c r="I937" t="str">
        <f>IF(OR(BOQ_Table[[#This Row],[Quantity]]="",BOQ_Table[[#This Row],[Rate]]=""),"Missing","OK")</f>
        <v>OK</v>
      </c>
    </row>
    <row r="938" spans="1:9" x14ac:dyDescent="0.35">
      <c r="A938" t="s">
        <v>962</v>
      </c>
      <c r="B938" t="s">
        <v>20</v>
      </c>
      <c r="C938" t="s">
        <v>38</v>
      </c>
      <c r="D938">
        <v>160.07</v>
      </c>
      <c r="E938" t="s">
        <v>14</v>
      </c>
      <c r="F938">
        <v>2831.7</v>
      </c>
      <c r="G938">
        <f t="shared" si="16"/>
        <v>453270.21899999992</v>
      </c>
      <c r="H938" t="str">
        <f>IF(BOQ_Table[[#This Row],[Amount]]&gt;100000,"Over Budget","OK")</f>
        <v>Over Budget</v>
      </c>
      <c r="I938" t="str">
        <f>IF(OR(BOQ_Table[[#This Row],[Quantity]]="",BOQ_Table[[#This Row],[Rate]]=""),"Missing","OK")</f>
        <v>OK</v>
      </c>
    </row>
    <row r="939" spans="1:9" x14ac:dyDescent="0.35">
      <c r="A939" t="s">
        <v>963</v>
      </c>
      <c r="B939" t="s">
        <v>7</v>
      </c>
      <c r="C939" t="s">
        <v>12</v>
      </c>
      <c r="D939">
        <v>273.77</v>
      </c>
      <c r="E939" t="s">
        <v>27</v>
      </c>
      <c r="F939">
        <v>1021.92</v>
      </c>
      <c r="G939">
        <f t="shared" si="16"/>
        <v>279771.03839999996</v>
      </c>
      <c r="H939" t="str">
        <f>IF(BOQ_Table[[#This Row],[Amount]]&gt;100000,"Over Budget","OK")</f>
        <v>Over Budget</v>
      </c>
      <c r="I939" t="str">
        <f>IF(OR(BOQ_Table[[#This Row],[Quantity]]="",BOQ_Table[[#This Row],[Rate]]=""),"Missing","OK")</f>
        <v>OK</v>
      </c>
    </row>
    <row r="940" spans="1:9" x14ac:dyDescent="0.35">
      <c r="A940" t="s">
        <v>964</v>
      </c>
      <c r="B940" t="s">
        <v>40</v>
      </c>
      <c r="C940" t="s">
        <v>38</v>
      </c>
      <c r="D940">
        <v>101.06</v>
      </c>
      <c r="E940" t="s">
        <v>14</v>
      </c>
      <c r="F940">
        <v>1342.52</v>
      </c>
      <c r="G940">
        <f t="shared" si="16"/>
        <v>135675.07120000001</v>
      </c>
      <c r="H940" t="str">
        <f>IF(BOQ_Table[[#This Row],[Amount]]&gt;100000,"Over Budget","OK")</f>
        <v>Over Budget</v>
      </c>
      <c r="I940" t="str">
        <f>IF(OR(BOQ_Table[[#This Row],[Quantity]]="",BOQ_Table[[#This Row],[Rate]]=""),"Missing","OK")</f>
        <v>OK</v>
      </c>
    </row>
    <row r="941" spans="1:9" x14ac:dyDescent="0.35">
      <c r="A941" t="s">
        <v>965</v>
      </c>
      <c r="B941" t="s">
        <v>46</v>
      </c>
      <c r="C941" t="s">
        <v>38</v>
      </c>
      <c r="D941">
        <v>409.78</v>
      </c>
      <c r="E941" t="s">
        <v>9</v>
      </c>
      <c r="F941">
        <v>2022.82</v>
      </c>
      <c r="G941">
        <f t="shared" si="16"/>
        <v>828911.17959999992</v>
      </c>
      <c r="H941" t="str">
        <f>IF(BOQ_Table[[#This Row],[Amount]]&gt;100000,"Over Budget","OK")</f>
        <v>Over Budget</v>
      </c>
      <c r="I941" t="str">
        <f>IF(OR(BOQ_Table[[#This Row],[Quantity]]="",BOQ_Table[[#This Row],[Rate]]=""),"Missing","OK")</f>
        <v>OK</v>
      </c>
    </row>
    <row r="942" spans="1:9" x14ac:dyDescent="0.35">
      <c r="A942" t="s">
        <v>966</v>
      </c>
      <c r="B942" t="s">
        <v>11</v>
      </c>
      <c r="C942" t="s">
        <v>21</v>
      </c>
      <c r="D942">
        <v>149.69999999999999</v>
      </c>
      <c r="E942" t="s">
        <v>18</v>
      </c>
      <c r="F942">
        <v>3685.88</v>
      </c>
      <c r="G942">
        <f t="shared" si="16"/>
        <v>551776.23599999992</v>
      </c>
      <c r="H942" t="str">
        <f>IF(BOQ_Table[[#This Row],[Amount]]&gt;100000,"Over Budget","OK")</f>
        <v>Over Budget</v>
      </c>
      <c r="I942" t="str">
        <f>IF(OR(BOQ_Table[[#This Row],[Quantity]]="",BOQ_Table[[#This Row],[Rate]]=""),"Missing","OK")</f>
        <v>OK</v>
      </c>
    </row>
    <row r="943" spans="1:9" x14ac:dyDescent="0.35">
      <c r="A943" t="s">
        <v>967</v>
      </c>
      <c r="B943" t="s">
        <v>7</v>
      </c>
      <c r="C943" t="s">
        <v>8</v>
      </c>
      <c r="D943">
        <v>168.98</v>
      </c>
      <c r="E943" t="s">
        <v>27</v>
      </c>
      <c r="F943">
        <v>3459.9</v>
      </c>
      <c r="G943">
        <f t="shared" si="16"/>
        <v>584653.902</v>
      </c>
      <c r="H943" t="str">
        <f>IF(BOQ_Table[[#This Row],[Amount]]&gt;100000,"Over Budget","OK")</f>
        <v>Over Budget</v>
      </c>
      <c r="I943" t="str">
        <f>IF(OR(BOQ_Table[[#This Row],[Quantity]]="",BOQ_Table[[#This Row],[Rate]]=""),"Missing","OK")</f>
        <v>OK</v>
      </c>
    </row>
    <row r="944" spans="1:9" x14ac:dyDescent="0.35">
      <c r="A944" t="s">
        <v>968</v>
      </c>
      <c r="B944" t="s">
        <v>40</v>
      </c>
      <c r="C944" t="s">
        <v>12</v>
      </c>
      <c r="D944">
        <v>341.83</v>
      </c>
      <c r="E944" t="s">
        <v>14</v>
      </c>
      <c r="F944">
        <v>4996.88</v>
      </c>
      <c r="G944">
        <f t="shared" si="16"/>
        <v>1708083.4904</v>
      </c>
      <c r="H944" t="str">
        <f>IF(BOQ_Table[[#This Row],[Amount]]&gt;100000,"Over Budget","OK")</f>
        <v>Over Budget</v>
      </c>
      <c r="I944" t="str">
        <f>IF(OR(BOQ_Table[[#This Row],[Quantity]]="",BOQ_Table[[#This Row],[Rate]]=""),"Missing","OK")</f>
        <v>OK</v>
      </c>
    </row>
    <row r="945" spans="1:9" x14ac:dyDescent="0.35">
      <c r="A945" t="s">
        <v>969</v>
      </c>
      <c r="B945" t="s">
        <v>40</v>
      </c>
      <c r="C945" t="s">
        <v>8</v>
      </c>
      <c r="D945">
        <v>73.89</v>
      </c>
      <c r="E945" t="s">
        <v>27</v>
      </c>
      <c r="F945">
        <v>2215.4</v>
      </c>
      <c r="G945">
        <f t="shared" si="16"/>
        <v>163695.90600000002</v>
      </c>
      <c r="H945" t="str">
        <f>IF(BOQ_Table[[#This Row],[Amount]]&gt;100000,"Over Budget","OK")</f>
        <v>Over Budget</v>
      </c>
      <c r="I945" t="str">
        <f>IF(OR(BOQ_Table[[#This Row],[Quantity]]="",BOQ_Table[[#This Row],[Rate]]=""),"Missing","OK")</f>
        <v>OK</v>
      </c>
    </row>
    <row r="946" spans="1:9" x14ac:dyDescent="0.35">
      <c r="A946" t="s">
        <v>970</v>
      </c>
      <c r="B946" t="s">
        <v>40</v>
      </c>
      <c r="C946" t="s">
        <v>12</v>
      </c>
      <c r="D946">
        <v>224.38</v>
      </c>
      <c r="E946" t="s">
        <v>27</v>
      </c>
      <c r="F946">
        <v>4667.9799999999996</v>
      </c>
      <c r="G946">
        <f t="shared" si="16"/>
        <v>1047401.3523999999</v>
      </c>
      <c r="H946" t="str">
        <f>IF(BOQ_Table[[#This Row],[Amount]]&gt;100000,"Over Budget","OK")</f>
        <v>Over Budget</v>
      </c>
      <c r="I946" t="str">
        <f>IF(OR(BOQ_Table[[#This Row],[Quantity]]="",BOQ_Table[[#This Row],[Rate]]=""),"Missing","OK")</f>
        <v>OK</v>
      </c>
    </row>
    <row r="947" spans="1:9" x14ac:dyDescent="0.35">
      <c r="A947" t="s">
        <v>971</v>
      </c>
      <c r="B947" t="s">
        <v>11</v>
      </c>
      <c r="C947" t="s">
        <v>38</v>
      </c>
      <c r="D947">
        <v>236.31</v>
      </c>
      <c r="E947" t="s">
        <v>14</v>
      </c>
      <c r="F947">
        <v>849.2</v>
      </c>
      <c r="G947">
        <f t="shared" si="16"/>
        <v>200674.45200000002</v>
      </c>
      <c r="H947" t="str">
        <f>IF(BOQ_Table[[#This Row],[Amount]]&gt;100000,"Over Budget","OK")</f>
        <v>Over Budget</v>
      </c>
      <c r="I947" t="str">
        <f>IF(OR(BOQ_Table[[#This Row],[Quantity]]="",BOQ_Table[[#This Row],[Rate]]=""),"Missing","OK")</f>
        <v>OK</v>
      </c>
    </row>
    <row r="948" spans="1:9" x14ac:dyDescent="0.35">
      <c r="A948" t="s">
        <v>972</v>
      </c>
      <c r="B948" t="s">
        <v>32</v>
      </c>
      <c r="C948" t="s">
        <v>8</v>
      </c>
      <c r="D948">
        <v>66.41</v>
      </c>
      <c r="E948" t="s">
        <v>9</v>
      </c>
      <c r="F948">
        <v>3790.93</v>
      </c>
      <c r="G948">
        <f t="shared" si="16"/>
        <v>251755.66129999998</v>
      </c>
      <c r="H948" t="str">
        <f>IF(BOQ_Table[[#This Row],[Amount]]&gt;100000,"Over Budget","OK")</f>
        <v>Over Budget</v>
      </c>
      <c r="I948" t="str">
        <f>IF(OR(BOQ_Table[[#This Row],[Quantity]]="",BOQ_Table[[#This Row],[Rate]]=""),"Missing","OK")</f>
        <v>OK</v>
      </c>
    </row>
    <row r="949" spans="1:9" x14ac:dyDescent="0.35">
      <c r="A949" t="s">
        <v>973</v>
      </c>
      <c r="B949" t="s">
        <v>46</v>
      </c>
      <c r="C949" t="s">
        <v>8</v>
      </c>
      <c r="D949">
        <v>61.89</v>
      </c>
      <c r="E949" t="s">
        <v>18</v>
      </c>
      <c r="F949">
        <v>2692.11</v>
      </c>
      <c r="G949">
        <f t="shared" si="16"/>
        <v>166614.68790000002</v>
      </c>
      <c r="H949" t="str">
        <f>IF(BOQ_Table[[#This Row],[Amount]]&gt;100000,"Over Budget","OK")</f>
        <v>Over Budget</v>
      </c>
      <c r="I949" t="str">
        <f>IF(OR(BOQ_Table[[#This Row],[Quantity]]="",BOQ_Table[[#This Row],[Rate]]=""),"Missing","OK")</f>
        <v>OK</v>
      </c>
    </row>
    <row r="950" spans="1:9" x14ac:dyDescent="0.35">
      <c r="A950" t="s">
        <v>974</v>
      </c>
      <c r="B950" t="s">
        <v>42</v>
      </c>
      <c r="C950" t="s">
        <v>12</v>
      </c>
      <c r="D950">
        <v>154.86000000000001</v>
      </c>
      <c r="E950" t="s">
        <v>27</v>
      </c>
      <c r="F950">
        <v>3870.34</v>
      </c>
      <c r="G950">
        <f t="shared" si="16"/>
        <v>599360.85240000009</v>
      </c>
      <c r="H950" t="str">
        <f>IF(BOQ_Table[[#This Row],[Amount]]&gt;100000,"Over Budget","OK")</f>
        <v>Over Budget</v>
      </c>
      <c r="I950" t="str">
        <f>IF(OR(BOQ_Table[[#This Row],[Quantity]]="",BOQ_Table[[#This Row],[Rate]]=""),"Missing","OK")</f>
        <v>OK</v>
      </c>
    </row>
    <row r="951" spans="1:9" x14ac:dyDescent="0.35">
      <c r="A951" t="s">
        <v>975</v>
      </c>
      <c r="B951" t="s">
        <v>42</v>
      </c>
      <c r="C951" t="s">
        <v>21</v>
      </c>
      <c r="D951">
        <v>406.23</v>
      </c>
      <c r="E951" t="s">
        <v>9</v>
      </c>
      <c r="F951">
        <v>1886.43</v>
      </c>
      <c r="G951">
        <f t="shared" si="16"/>
        <v>766324.45890000009</v>
      </c>
      <c r="H951" t="str">
        <f>IF(BOQ_Table[[#This Row],[Amount]]&gt;100000,"Over Budget","OK")</f>
        <v>Over Budget</v>
      </c>
      <c r="I951" t="str">
        <f>IF(OR(BOQ_Table[[#This Row],[Quantity]]="",BOQ_Table[[#This Row],[Rate]]=""),"Missing","OK")</f>
        <v>OK</v>
      </c>
    </row>
    <row r="952" spans="1:9" x14ac:dyDescent="0.35">
      <c r="A952" t="s">
        <v>976</v>
      </c>
      <c r="B952" t="s">
        <v>42</v>
      </c>
      <c r="C952" t="s">
        <v>8</v>
      </c>
      <c r="D952">
        <v>321</v>
      </c>
      <c r="E952" t="s">
        <v>18</v>
      </c>
      <c r="F952">
        <v>3153.61</v>
      </c>
      <c r="G952">
        <f t="shared" si="16"/>
        <v>1012308.81</v>
      </c>
      <c r="H952" t="str">
        <f>IF(BOQ_Table[[#This Row],[Amount]]&gt;100000,"Over Budget","OK")</f>
        <v>Over Budget</v>
      </c>
      <c r="I952" t="str">
        <f>IF(OR(BOQ_Table[[#This Row],[Quantity]]="",BOQ_Table[[#This Row],[Rate]]=""),"Missing","OK")</f>
        <v>OK</v>
      </c>
    </row>
    <row r="953" spans="1:9" x14ac:dyDescent="0.35">
      <c r="A953" t="s">
        <v>977</v>
      </c>
      <c r="B953" t="s">
        <v>7</v>
      </c>
      <c r="C953" t="s">
        <v>8</v>
      </c>
      <c r="D953">
        <v>417.95</v>
      </c>
      <c r="E953" t="s">
        <v>27</v>
      </c>
      <c r="F953">
        <v>2998.04</v>
      </c>
      <c r="G953">
        <f t="shared" si="16"/>
        <v>1253030.818</v>
      </c>
      <c r="H953" t="str">
        <f>IF(BOQ_Table[[#This Row],[Amount]]&gt;100000,"Over Budget","OK")</f>
        <v>Over Budget</v>
      </c>
      <c r="I953" t="str">
        <f>IF(OR(BOQ_Table[[#This Row],[Quantity]]="",BOQ_Table[[#This Row],[Rate]]=""),"Missing","OK")</f>
        <v>OK</v>
      </c>
    </row>
    <row r="954" spans="1:9" x14ac:dyDescent="0.35">
      <c r="A954" t="s">
        <v>978</v>
      </c>
      <c r="B954" t="s">
        <v>16</v>
      </c>
      <c r="C954" t="s">
        <v>17</v>
      </c>
      <c r="D954">
        <v>202.72</v>
      </c>
      <c r="E954" t="s">
        <v>27</v>
      </c>
      <c r="F954">
        <v>4374.3100000000004</v>
      </c>
      <c r="G954">
        <f t="shared" si="16"/>
        <v>886760.12320000003</v>
      </c>
      <c r="H954" t="str">
        <f>IF(BOQ_Table[[#This Row],[Amount]]&gt;100000,"Over Budget","OK")</f>
        <v>Over Budget</v>
      </c>
      <c r="I954" t="str">
        <f>IF(OR(BOQ_Table[[#This Row],[Quantity]]="",BOQ_Table[[#This Row],[Rate]]=""),"Missing","OK")</f>
        <v>OK</v>
      </c>
    </row>
    <row r="955" spans="1:9" x14ac:dyDescent="0.35">
      <c r="A955" t="s">
        <v>979</v>
      </c>
      <c r="B955" t="s">
        <v>42</v>
      </c>
      <c r="C955" t="s">
        <v>17</v>
      </c>
      <c r="D955">
        <v>350.76</v>
      </c>
      <c r="E955" t="s">
        <v>14</v>
      </c>
      <c r="F955">
        <v>3684.66</v>
      </c>
      <c r="G955">
        <f t="shared" si="16"/>
        <v>1292431.3415999999</v>
      </c>
      <c r="H955" t="str">
        <f>IF(BOQ_Table[[#This Row],[Amount]]&gt;100000,"Over Budget","OK")</f>
        <v>Over Budget</v>
      </c>
      <c r="I955" t="str">
        <f>IF(OR(BOQ_Table[[#This Row],[Quantity]]="",BOQ_Table[[#This Row],[Rate]]=""),"Missing","OK")</f>
        <v>OK</v>
      </c>
    </row>
    <row r="956" spans="1:9" x14ac:dyDescent="0.35">
      <c r="A956" t="s">
        <v>980</v>
      </c>
      <c r="B956" t="s">
        <v>32</v>
      </c>
      <c r="C956" t="s">
        <v>38</v>
      </c>
      <c r="D956">
        <v>343.44</v>
      </c>
      <c r="E956" t="s">
        <v>9</v>
      </c>
      <c r="F956">
        <v>4866.3500000000004</v>
      </c>
      <c r="G956">
        <f t="shared" si="16"/>
        <v>1671299.2440000002</v>
      </c>
      <c r="H956" t="str">
        <f>IF(BOQ_Table[[#This Row],[Amount]]&gt;100000,"Over Budget","OK")</f>
        <v>Over Budget</v>
      </c>
      <c r="I956" t="str">
        <f>IF(OR(BOQ_Table[[#This Row],[Quantity]]="",BOQ_Table[[#This Row],[Rate]]=""),"Missing","OK")</f>
        <v>OK</v>
      </c>
    </row>
    <row r="957" spans="1:9" x14ac:dyDescent="0.35">
      <c r="A957" t="s">
        <v>981</v>
      </c>
      <c r="B957" t="s">
        <v>7</v>
      </c>
      <c r="C957" t="s">
        <v>17</v>
      </c>
      <c r="D957">
        <v>42.32</v>
      </c>
      <c r="E957" t="s">
        <v>9</v>
      </c>
      <c r="F957">
        <v>2797.97</v>
      </c>
      <c r="G957">
        <f t="shared" si="16"/>
        <v>118410.09039999999</v>
      </c>
      <c r="H957" t="str">
        <f>IF(BOQ_Table[[#This Row],[Amount]]&gt;100000,"Over Budget","OK")</f>
        <v>Over Budget</v>
      </c>
      <c r="I957" t="str">
        <f>IF(OR(BOQ_Table[[#This Row],[Quantity]]="",BOQ_Table[[#This Row],[Rate]]=""),"Missing","OK")</f>
        <v>OK</v>
      </c>
    </row>
    <row r="958" spans="1:9" x14ac:dyDescent="0.35">
      <c r="A958" t="s">
        <v>982</v>
      </c>
      <c r="B958" t="s">
        <v>40</v>
      </c>
      <c r="C958" t="s">
        <v>12</v>
      </c>
      <c r="D958">
        <v>145.87</v>
      </c>
      <c r="E958" t="s">
        <v>22</v>
      </c>
      <c r="F958">
        <v>2442.9</v>
      </c>
      <c r="G958">
        <f t="shared" si="16"/>
        <v>356345.82300000003</v>
      </c>
      <c r="H958" t="str">
        <f>IF(BOQ_Table[[#This Row],[Amount]]&gt;100000,"Over Budget","OK")</f>
        <v>Over Budget</v>
      </c>
      <c r="I958" t="str">
        <f>IF(OR(BOQ_Table[[#This Row],[Quantity]]="",BOQ_Table[[#This Row],[Rate]]=""),"Missing","OK")</f>
        <v>OK</v>
      </c>
    </row>
    <row r="959" spans="1:9" x14ac:dyDescent="0.35">
      <c r="A959" t="s">
        <v>983</v>
      </c>
      <c r="B959" t="s">
        <v>30</v>
      </c>
      <c r="C959" t="s">
        <v>21</v>
      </c>
      <c r="D959">
        <v>75.790000000000006</v>
      </c>
      <c r="E959" t="s">
        <v>18</v>
      </c>
      <c r="F959">
        <v>408.73</v>
      </c>
      <c r="G959">
        <f t="shared" si="16"/>
        <v>30977.646700000005</v>
      </c>
      <c r="H959" t="str">
        <f>IF(BOQ_Table[[#This Row],[Amount]]&gt;100000,"Over Budget","OK")</f>
        <v>OK</v>
      </c>
      <c r="I959" t="str">
        <f>IF(OR(BOQ_Table[[#This Row],[Quantity]]="",BOQ_Table[[#This Row],[Rate]]=""),"Missing","OK")</f>
        <v>OK</v>
      </c>
    </row>
    <row r="960" spans="1:9" x14ac:dyDescent="0.35">
      <c r="A960" t="s">
        <v>984</v>
      </c>
      <c r="B960" t="s">
        <v>46</v>
      </c>
      <c r="C960" t="s">
        <v>21</v>
      </c>
      <c r="D960">
        <v>285.83</v>
      </c>
      <c r="E960" t="s">
        <v>14</v>
      </c>
      <c r="F960">
        <v>2173.09</v>
      </c>
      <c r="G960">
        <f t="shared" si="16"/>
        <v>621134.31469999999</v>
      </c>
      <c r="H960" t="str">
        <f>IF(BOQ_Table[[#This Row],[Amount]]&gt;100000,"Over Budget","OK")</f>
        <v>Over Budget</v>
      </c>
      <c r="I960" t="str">
        <f>IF(OR(BOQ_Table[[#This Row],[Quantity]]="",BOQ_Table[[#This Row],[Rate]]=""),"Missing","OK")</f>
        <v>OK</v>
      </c>
    </row>
    <row r="961" spans="1:9" x14ac:dyDescent="0.35">
      <c r="A961" t="s">
        <v>985</v>
      </c>
      <c r="B961" t="s">
        <v>30</v>
      </c>
      <c r="C961" t="s">
        <v>8</v>
      </c>
      <c r="D961">
        <v>451.8</v>
      </c>
      <c r="E961" t="s">
        <v>22</v>
      </c>
      <c r="F961">
        <v>3362.24</v>
      </c>
      <c r="G961">
        <f t="shared" si="16"/>
        <v>1519060.0319999999</v>
      </c>
      <c r="H961" t="str">
        <f>IF(BOQ_Table[[#This Row],[Amount]]&gt;100000,"Over Budget","OK")</f>
        <v>Over Budget</v>
      </c>
      <c r="I961" t="str">
        <f>IF(OR(BOQ_Table[[#This Row],[Quantity]]="",BOQ_Table[[#This Row],[Rate]]=""),"Missing","OK")</f>
        <v>OK</v>
      </c>
    </row>
    <row r="962" spans="1:9" x14ac:dyDescent="0.35">
      <c r="A962" t="s">
        <v>986</v>
      </c>
      <c r="B962" t="s">
        <v>46</v>
      </c>
      <c r="C962" t="s">
        <v>21</v>
      </c>
      <c r="D962">
        <v>134.93</v>
      </c>
      <c r="E962" t="s">
        <v>14</v>
      </c>
      <c r="F962">
        <v>1729.12</v>
      </c>
      <c r="G962">
        <f t="shared" ref="G962:G1025" si="17">D962*F962</f>
        <v>233310.16159999999</v>
      </c>
      <c r="H962" t="str">
        <f>IF(BOQ_Table[[#This Row],[Amount]]&gt;100000,"Over Budget","OK")</f>
        <v>Over Budget</v>
      </c>
      <c r="I962" t="str">
        <f>IF(OR(BOQ_Table[[#This Row],[Quantity]]="",BOQ_Table[[#This Row],[Rate]]=""),"Missing","OK")</f>
        <v>OK</v>
      </c>
    </row>
    <row r="963" spans="1:9" x14ac:dyDescent="0.35">
      <c r="A963" t="s">
        <v>987</v>
      </c>
      <c r="B963" t="s">
        <v>42</v>
      </c>
      <c r="C963" t="s">
        <v>8</v>
      </c>
      <c r="D963">
        <v>130.86000000000001</v>
      </c>
      <c r="E963" t="s">
        <v>14</v>
      </c>
      <c r="F963">
        <v>1172.5</v>
      </c>
      <c r="G963">
        <f t="shared" si="17"/>
        <v>153433.35</v>
      </c>
      <c r="H963" t="str">
        <f>IF(BOQ_Table[[#This Row],[Amount]]&gt;100000,"Over Budget","OK")</f>
        <v>Over Budget</v>
      </c>
      <c r="I963" t="str">
        <f>IF(OR(BOQ_Table[[#This Row],[Quantity]]="",BOQ_Table[[#This Row],[Rate]]=""),"Missing","OK")</f>
        <v>OK</v>
      </c>
    </row>
    <row r="964" spans="1:9" x14ac:dyDescent="0.35">
      <c r="A964" t="s">
        <v>988</v>
      </c>
      <c r="B964" t="s">
        <v>7</v>
      </c>
      <c r="C964" t="s">
        <v>17</v>
      </c>
      <c r="D964">
        <v>102.15</v>
      </c>
      <c r="E964" t="s">
        <v>27</v>
      </c>
      <c r="F964">
        <v>4130.29</v>
      </c>
      <c r="G964">
        <f t="shared" si="17"/>
        <v>421909.12350000005</v>
      </c>
      <c r="H964" t="str">
        <f>IF(BOQ_Table[[#This Row],[Amount]]&gt;100000,"Over Budget","OK")</f>
        <v>Over Budget</v>
      </c>
      <c r="I964" t="str">
        <f>IF(OR(BOQ_Table[[#This Row],[Quantity]]="",BOQ_Table[[#This Row],[Rate]]=""),"Missing","OK")</f>
        <v>OK</v>
      </c>
    </row>
    <row r="965" spans="1:9" x14ac:dyDescent="0.35">
      <c r="A965" t="s">
        <v>989</v>
      </c>
      <c r="B965" t="s">
        <v>40</v>
      </c>
      <c r="C965" t="s">
        <v>8</v>
      </c>
      <c r="D965">
        <v>150.63999999999999</v>
      </c>
      <c r="E965" t="s">
        <v>27</v>
      </c>
      <c r="F965">
        <v>737.64</v>
      </c>
      <c r="G965">
        <f t="shared" si="17"/>
        <v>111118.08959999999</v>
      </c>
      <c r="H965" t="str">
        <f>IF(BOQ_Table[[#This Row],[Amount]]&gt;100000,"Over Budget","OK")</f>
        <v>Over Budget</v>
      </c>
      <c r="I965" t="str">
        <f>IF(OR(BOQ_Table[[#This Row],[Quantity]]="",BOQ_Table[[#This Row],[Rate]]=""),"Missing","OK")</f>
        <v>OK</v>
      </c>
    </row>
    <row r="966" spans="1:9" x14ac:dyDescent="0.35">
      <c r="A966" t="s">
        <v>990</v>
      </c>
      <c r="B966" t="s">
        <v>16</v>
      </c>
      <c r="C966" t="s">
        <v>12</v>
      </c>
      <c r="D966">
        <v>211.52</v>
      </c>
      <c r="E966" t="s">
        <v>18</v>
      </c>
      <c r="F966">
        <v>1976.11</v>
      </c>
      <c r="G966">
        <f t="shared" si="17"/>
        <v>417986.78720000002</v>
      </c>
      <c r="H966" t="str">
        <f>IF(BOQ_Table[[#This Row],[Amount]]&gt;100000,"Over Budget","OK")</f>
        <v>Over Budget</v>
      </c>
      <c r="I966" t="str">
        <f>IF(OR(BOQ_Table[[#This Row],[Quantity]]="",BOQ_Table[[#This Row],[Rate]]=""),"Missing","OK")</f>
        <v>OK</v>
      </c>
    </row>
    <row r="967" spans="1:9" x14ac:dyDescent="0.35">
      <c r="A967" t="s">
        <v>991</v>
      </c>
      <c r="B967" t="s">
        <v>20</v>
      </c>
      <c r="C967" t="s">
        <v>8</v>
      </c>
      <c r="D967">
        <v>229.39</v>
      </c>
      <c r="E967" t="s">
        <v>22</v>
      </c>
      <c r="F967">
        <v>4594.21</v>
      </c>
      <c r="G967">
        <f t="shared" si="17"/>
        <v>1053865.8318999999</v>
      </c>
      <c r="H967" t="str">
        <f>IF(BOQ_Table[[#This Row],[Amount]]&gt;100000,"Over Budget","OK")</f>
        <v>Over Budget</v>
      </c>
      <c r="I967" t="str">
        <f>IF(OR(BOQ_Table[[#This Row],[Quantity]]="",BOQ_Table[[#This Row],[Rate]]=""),"Missing","OK")</f>
        <v>OK</v>
      </c>
    </row>
    <row r="968" spans="1:9" x14ac:dyDescent="0.35">
      <c r="A968" t="s">
        <v>992</v>
      </c>
      <c r="B968" t="s">
        <v>16</v>
      </c>
      <c r="C968" t="s">
        <v>12</v>
      </c>
      <c r="D968">
        <v>476.98</v>
      </c>
      <c r="E968" t="s">
        <v>18</v>
      </c>
      <c r="F968">
        <v>2336.77</v>
      </c>
      <c r="G968">
        <f t="shared" si="17"/>
        <v>1114592.5546000001</v>
      </c>
      <c r="H968" t="str">
        <f>IF(BOQ_Table[[#This Row],[Amount]]&gt;100000,"Over Budget","OK")</f>
        <v>Over Budget</v>
      </c>
      <c r="I968" t="str">
        <f>IF(OR(BOQ_Table[[#This Row],[Quantity]]="",BOQ_Table[[#This Row],[Rate]]=""),"Missing","OK")</f>
        <v>OK</v>
      </c>
    </row>
    <row r="969" spans="1:9" x14ac:dyDescent="0.35">
      <c r="A969" t="s">
        <v>993</v>
      </c>
      <c r="B969" t="s">
        <v>56</v>
      </c>
      <c r="C969" t="s">
        <v>38</v>
      </c>
      <c r="D969">
        <v>59.14</v>
      </c>
      <c r="E969" t="s">
        <v>18</v>
      </c>
      <c r="F969">
        <v>3768.45</v>
      </c>
      <c r="G969">
        <f t="shared" si="17"/>
        <v>222866.133</v>
      </c>
      <c r="H969" t="str">
        <f>IF(BOQ_Table[[#This Row],[Amount]]&gt;100000,"Over Budget","OK")</f>
        <v>Over Budget</v>
      </c>
      <c r="I969" t="str">
        <f>IF(OR(BOQ_Table[[#This Row],[Quantity]]="",BOQ_Table[[#This Row],[Rate]]=""),"Missing","OK")</f>
        <v>OK</v>
      </c>
    </row>
    <row r="970" spans="1:9" x14ac:dyDescent="0.35">
      <c r="A970" t="s">
        <v>994</v>
      </c>
      <c r="B970" t="s">
        <v>7</v>
      </c>
      <c r="C970" t="s">
        <v>12</v>
      </c>
      <c r="D970">
        <v>315.8</v>
      </c>
      <c r="E970" t="s">
        <v>14</v>
      </c>
      <c r="F970">
        <v>4373.3599999999997</v>
      </c>
      <c r="G970">
        <f t="shared" si="17"/>
        <v>1381107.088</v>
      </c>
      <c r="H970" t="str">
        <f>IF(BOQ_Table[[#This Row],[Amount]]&gt;100000,"Over Budget","OK")</f>
        <v>Over Budget</v>
      </c>
      <c r="I970" t="str">
        <f>IF(OR(BOQ_Table[[#This Row],[Quantity]]="",BOQ_Table[[#This Row],[Rate]]=""),"Missing","OK")</f>
        <v>OK</v>
      </c>
    </row>
    <row r="971" spans="1:9" x14ac:dyDescent="0.35">
      <c r="A971" t="s">
        <v>995</v>
      </c>
      <c r="B971" t="s">
        <v>7</v>
      </c>
      <c r="C971" t="s">
        <v>12</v>
      </c>
      <c r="D971">
        <v>218.68</v>
      </c>
      <c r="E971" t="s">
        <v>27</v>
      </c>
      <c r="F971">
        <v>1427.91</v>
      </c>
      <c r="G971">
        <f t="shared" si="17"/>
        <v>312255.35880000005</v>
      </c>
      <c r="H971" t="str">
        <f>IF(BOQ_Table[[#This Row],[Amount]]&gt;100000,"Over Budget","OK")</f>
        <v>Over Budget</v>
      </c>
      <c r="I971" t="str">
        <f>IF(OR(BOQ_Table[[#This Row],[Quantity]]="",BOQ_Table[[#This Row],[Rate]]=""),"Missing","OK")</f>
        <v>OK</v>
      </c>
    </row>
    <row r="972" spans="1:9" x14ac:dyDescent="0.35">
      <c r="A972" t="s">
        <v>996</v>
      </c>
      <c r="B972" t="s">
        <v>40</v>
      </c>
      <c r="C972" t="s">
        <v>17</v>
      </c>
      <c r="D972">
        <v>452.9</v>
      </c>
      <c r="E972" t="s">
        <v>27</v>
      </c>
      <c r="F972">
        <v>3391.78</v>
      </c>
      <c r="G972">
        <f t="shared" si="17"/>
        <v>1536137.162</v>
      </c>
      <c r="H972" t="str">
        <f>IF(BOQ_Table[[#This Row],[Amount]]&gt;100000,"Over Budget","OK")</f>
        <v>Over Budget</v>
      </c>
      <c r="I972" t="str">
        <f>IF(OR(BOQ_Table[[#This Row],[Quantity]]="",BOQ_Table[[#This Row],[Rate]]=""),"Missing","OK")</f>
        <v>OK</v>
      </c>
    </row>
    <row r="973" spans="1:9" x14ac:dyDescent="0.35">
      <c r="A973" t="s">
        <v>997</v>
      </c>
      <c r="B973" t="s">
        <v>42</v>
      </c>
      <c r="C973" t="s">
        <v>38</v>
      </c>
      <c r="D973">
        <v>111.2</v>
      </c>
      <c r="E973" t="s">
        <v>27</v>
      </c>
      <c r="F973">
        <v>4649.34</v>
      </c>
      <c r="G973">
        <f t="shared" si="17"/>
        <v>517006.60800000001</v>
      </c>
      <c r="H973" t="str">
        <f>IF(BOQ_Table[[#This Row],[Amount]]&gt;100000,"Over Budget","OK")</f>
        <v>Over Budget</v>
      </c>
      <c r="I973" t="str">
        <f>IF(OR(BOQ_Table[[#This Row],[Quantity]]="",BOQ_Table[[#This Row],[Rate]]=""),"Missing","OK")</f>
        <v>OK</v>
      </c>
    </row>
    <row r="974" spans="1:9" x14ac:dyDescent="0.35">
      <c r="A974" t="s">
        <v>998</v>
      </c>
      <c r="B974" t="s">
        <v>56</v>
      </c>
      <c r="C974" t="s">
        <v>21</v>
      </c>
      <c r="D974">
        <v>311.18</v>
      </c>
      <c r="E974" t="s">
        <v>9</v>
      </c>
      <c r="F974">
        <v>1644.01</v>
      </c>
      <c r="G974">
        <f t="shared" si="17"/>
        <v>511583.0318</v>
      </c>
      <c r="H974" t="str">
        <f>IF(BOQ_Table[[#This Row],[Amount]]&gt;100000,"Over Budget","OK")</f>
        <v>Over Budget</v>
      </c>
      <c r="I974" t="str">
        <f>IF(OR(BOQ_Table[[#This Row],[Quantity]]="",BOQ_Table[[#This Row],[Rate]]=""),"Missing","OK")</f>
        <v>OK</v>
      </c>
    </row>
    <row r="975" spans="1:9" x14ac:dyDescent="0.35">
      <c r="A975" t="s">
        <v>999</v>
      </c>
      <c r="B975" t="s">
        <v>11</v>
      </c>
      <c r="C975" t="s">
        <v>38</v>
      </c>
      <c r="D975">
        <v>469.09</v>
      </c>
      <c r="E975" t="s">
        <v>9</v>
      </c>
      <c r="F975">
        <v>4868.91</v>
      </c>
      <c r="G975">
        <f t="shared" si="17"/>
        <v>2283956.9918999998</v>
      </c>
      <c r="H975" t="str">
        <f>IF(BOQ_Table[[#This Row],[Amount]]&gt;100000,"Over Budget","OK")</f>
        <v>Over Budget</v>
      </c>
      <c r="I975" t="str">
        <f>IF(OR(BOQ_Table[[#This Row],[Quantity]]="",BOQ_Table[[#This Row],[Rate]]=""),"Missing","OK")</f>
        <v>OK</v>
      </c>
    </row>
    <row r="976" spans="1:9" x14ac:dyDescent="0.35">
      <c r="A976" t="s">
        <v>1000</v>
      </c>
      <c r="B976" t="s">
        <v>42</v>
      </c>
      <c r="C976" t="s">
        <v>17</v>
      </c>
      <c r="D976">
        <v>488.24</v>
      </c>
      <c r="E976" t="s">
        <v>18</v>
      </c>
      <c r="F976">
        <v>1177.68</v>
      </c>
      <c r="G976">
        <f t="shared" si="17"/>
        <v>574990.48320000002</v>
      </c>
      <c r="H976" t="str">
        <f>IF(BOQ_Table[[#This Row],[Amount]]&gt;100000,"Over Budget","OK")</f>
        <v>Over Budget</v>
      </c>
      <c r="I976" t="str">
        <f>IF(OR(BOQ_Table[[#This Row],[Quantity]]="",BOQ_Table[[#This Row],[Rate]]=""),"Missing","OK")</f>
        <v>OK</v>
      </c>
    </row>
    <row r="977" spans="1:9" x14ac:dyDescent="0.35">
      <c r="A977" t="s">
        <v>1001</v>
      </c>
      <c r="B977" t="s">
        <v>11</v>
      </c>
      <c r="C977" t="s">
        <v>8</v>
      </c>
      <c r="D977">
        <v>54.62</v>
      </c>
      <c r="E977" t="s">
        <v>27</v>
      </c>
      <c r="F977">
        <v>663.02</v>
      </c>
      <c r="G977">
        <f t="shared" si="17"/>
        <v>36214.152399999999</v>
      </c>
      <c r="H977" t="str">
        <f>IF(BOQ_Table[[#This Row],[Amount]]&gt;100000,"Over Budget","OK")</f>
        <v>OK</v>
      </c>
      <c r="I977" t="str">
        <f>IF(OR(BOQ_Table[[#This Row],[Quantity]]="",BOQ_Table[[#This Row],[Rate]]=""),"Missing","OK")</f>
        <v>OK</v>
      </c>
    </row>
    <row r="978" spans="1:9" x14ac:dyDescent="0.35">
      <c r="A978" t="s">
        <v>1002</v>
      </c>
      <c r="B978" t="s">
        <v>56</v>
      </c>
      <c r="C978" t="s">
        <v>17</v>
      </c>
      <c r="D978">
        <v>3.53</v>
      </c>
      <c r="E978" t="s">
        <v>18</v>
      </c>
      <c r="F978">
        <v>2768.23</v>
      </c>
      <c r="G978">
        <f t="shared" si="17"/>
        <v>9771.8518999999997</v>
      </c>
      <c r="H978" t="str">
        <f>IF(BOQ_Table[[#This Row],[Amount]]&gt;100000,"Over Budget","OK")</f>
        <v>OK</v>
      </c>
      <c r="I978" t="str">
        <f>IF(OR(BOQ_Table[[#This Row],[Quantity]]="",BOQ_Table[[#This Row],[Rate]]=""),"Missing","OK")</f>
        <v>OK</v>
      </c>
    </row>
    <row r="979" spans="1:9" x14ac:dyDescent="0.35">
      <c r="A979" t="s">
        <v>1003</v>
      </c>
      <c r="B979" t="s">
        <v>16</v>
      </c>
      <c r="C979" t="s">
        <v>38</v>
      </c>
      <c r="D979">
        <v>163.41</v>
      </c>
      <c r="E979" t="s">
        <v>9</v>
      </c>
      <c r="F979">
        <v>3956.9</v>
      </c>
      <c r="G979">
        <f t="shared" si="17"/>
        <v>646597.02899999998</v>
      </c>
      <c r="H979" t="str">
        <f>IF(BOQ_Table[[#This Row],[Amount]]&gt;100000,"Over Budget","OK")</f>
        <v>Over Budget</v>
      </c>
      <c r="I979" t="str">
        <f>IF(OR(BOQ_Table[[#This Row],[Quantity]]="",BOQ_Table[[#This Row],[Rate]]=""),"Missing","OK")</f>
        <v>OK</v>
      </c>
    </row>
    <row r="980" spans="1:9" x14ac:dyDescent="0.35">
      <c r="A980" t="s">
        <v>1004</v>
      </c>
      <c r="B980" t="s">
        <v>40</v>
      </c>
      <c r="C980" t="s">
        <v>38</v>
      </c>
      <c r="D980">
        <v>453.21</v>
      </c>
      <c r="E980" t="s">
        <v>18</v>
      </c>
      <c r="F980">
        <v>2600.38</v>
      </c>
      <c r="G980">
        <f t="shared" si="17"/>
        <v>1178518.2198000001</v>
      </c>
      <c r="H980" t="str">
        <f>IF(BOQ_Table[[#This Row],[Amount]]&gt;100000,"Over Budget","OK")</f>
        <v>Over Budget</v>
      </c>
      <c r="I980" t="str">
        <f>IF(OR(BOQ_Table[[#This Row],[Quantity]]="",BOQ_Table[[#This Row],[Rate]]=""),"Missing","OK")</f>
        <v>OK</v>
      </c>
    </row>
    <row r="981" spans="1:9" x14ac:dyDescent="0.35">
      <c r="A981" t="s">
        <v>1005</v>
      </c>
      <c r="B981" t="s">
        <v>11</v>
      </c>
      <c r="C981" t="s">
        <v>12</v>
      </c>
      <c r="D981">
        <v>227.09</v>
      </c>
      <c r="E981" t="s">
        <v>27</v>
      </c>
      <c r="F981">
        <v>2656.76</v>
      </c>
      <c r="G981">
        <f t="shared" si="17"/>
        <v>603323.62840000005</v>
      </c>
      <c r="H981" t="str">
        <f>IF(BOQ_Table[[#This Row],[Amount]]&gt;100000,"Over Budget","OK")</f>
        <v>Over Budget</v>
      </c>
      <c r="I981" t="str">
        <f>IF(OR(BOQ_Table[[#This Row],[Quantity]]="",BOQ_Table[[#This Row],[Rate]]=""),"Missing","OK")</f>
        <v>OK</v>
      </c>
    </row>
    <row r="982" spans="1:9" x14ac:dyDescent="0.35">
      <c r="A982" t="s">
        <v>1006</v>
      </c>
      <c r="B982" t="s">
        <v>16</v>
      </c>
      <c r="C982" t="s">
        <v>17</v>
      </c>
      <c r="D982">
        <v>456.04</v>
      </c>
      <c r="E982" t="s">
        <v>14</v>
      </c>
      <c r="F982">
        <v>4277.0600000000004</v>
      </c>
      <c r="G982">
        <f t="shared" si="17"/>
        <v>1950510.4424000003</v>
      </c>
      <c r="H982" t="str">
        <f>IF(BOQ_Table[[#This Row],[Amount]]&gt;100000,"Over Budget","OK")</f>
        <v>Over Budget</v>
      </c>
      <c r="I982" t="str">
        <f>IF(OR(BOQ_Table[[#This Row],[Quantity]]="",BOQ_Table[[#This Row],[Rate]]=""),"Missing","OK")</f>
        <v>OK</v>
      </c>
    </row>
    <row r="983" spans="1:9" x14ac:dyDescent="0.35">
      <c r="A983" t="s">
        <v>1007</v>
      </c>
      <c r="B983" t="s">
        <v>30</v>
      </c>
      <c r="C983" t="s">
        <v>12</v>
      </c>
      <c r="D983">
        <v>236.12</v>
      </c>
      <c r="E983" t="s">
        <v>22</v>
      </c>
      <c r="F983">
        <v>3237.47</v>
      </c>
      <c r="G983">
        <f t="shared" si="17"/>
        <v>764431.41639999999</v>
      </c>
      <c r="H983" t="str">
        <f>IF(BOQ_Table[[#This Row],[Amount]]&gt;100000,"Over Budget","OK")</f>
        <v>Over Budget</v>
      </c>
      <c r="I983" t="str">
        <f>IF(OR(BOQ_Table[[#This Row],[Quantity]]="",BOQ_Table[[#This Row],[Rate]]=""),"Missing","OK")</f>
        <v>OK</v>
      </c>
    </row>
    <row r="984" spans="1:9" x14ac:dyDescent="0.35">
      <c r="A984" t="s">
        <v>1008</v>
      </c>
      <c r="B984" t="s">
        <v>16</v>
      </c>
      <c r="C984" t="s">
        <v>8</v>
      </c>
      <c r="D984">
        <v>25.43</v>
      </c>
      <c r="E984" t="s">
        <v>9</v>
      </c>
      <c r="F984">
        <v>3242.33</v>
      </c>
      <c r="G984">
        <f t="shared" si="17"/>
        <v>82452.4519</v>
      </c>
      <c r="H984" t="str">
        <f>IF(BOQ_Table[[#This Row],[Amount]]&gt;100000,"Over Budget","OK")</f>
        <v>OK</v>
      </c>
      <c r="I984" t="str">
        <f>IF(OR(BOQ_Table[[#This Row],[Quantity]]="",BOQ_Table[[#This Row],[Rate]]=""),"Missing","OK")</f>
        <v>OK</v>
      </c>
    </row>
    <row r="985" spans="1:9" x14ac:dyDescent="0.35">
      <c r="A985" t="s">
        <v>1009</v>
      </c>
      <c r="B985" t="s">
        <v>40</v>
      </c>
      <c r="C985" t="s">
        <v>38</v>
      </c>
      <c r="D985">
        <v>217.31</v>
      </c>
      <c r="E985" t="s">
        <v>9</v>
      </c>
      <c r="F985">
        <v>1864.81</v>
      </c>
      <c r="G985">
        <f t="shared" si="17"/>
        <v>405241.86109999998</v>
      </c>
      <c r="H985" t="str">
        <f>IF(BOQ_Table[[#This Row],[Amount]]&gt;100000,"Over Budget","OK")</f>
        <v>Over Budget</v>
      </c>
      <c r="I985" t="str">
        <f>IF(OR(BOQ_Table[[#This Row],[Quantity]]="",BOQ_Table[[#This Row],[Rate]]=""),"Missing","OK")</f>
        <v>OK</v>
      </c>
    </row>
    <row r="986" spans="1:9" x14ac:dyDescent="0.35">
      <c r="A986" t="s">
        <v>1010</v>
      </c>
      <c r="B986" t="s">
        <v>11</v>
      </c>
      <c r="C986" t="s">
        <v>12</v>
      </c>
      <c r="D986">
        <v>7.84</v>
      </c>
      <c r="E986" t="s">
        <v>27</v>
      </c>
      <c r="F986">
        <v>4422.74</v>
      </c>
      <c r="G986">
        <f t="shared" si="17"/>
        <v>34674.281599999995</v>
      </c>
      <c r="H986" t="str">
        <f>IF(BOQ_Table[[#This Row],[Amount]]&gt;100000,"Over Budget","OK")</f>
        <v>OK</v>
      </c>
      <c r="I986" t="str">
        <f>IF(OR(BOQ_Table[[#This Row],[Quantity]]="",BOQ_Table[[#This Row],[Rate]]=""),"Missing","OK")</f>
        <v>OK</v>
      </c>
    </row>
    <row r="987" spans="1:9" x14ac:dyDescent="0.35">
      <c r="A987" t="s">
        <v>1011</v>
      </c>
      <c r="B987" t="s">
        <v>20</v>
      </c>
      <c r="C987" t="s">
        <v>38</v>
      </c>
      <c r="D987">
        <v>446.57</v>
      </c>
      <c r="E987" t="s">
        <v>14</v>
      </c>
      <c r="F987">
        <v>3852.66</v>
      </c>
      <c r="G987">
        <f t="shared" si="17"/>
        <v>1720482.3761999998</v>
      </c>
      <c r="H987" t="str">
        <f>IF(BOQ_Table[[#This Row],[Amount]]&gt;100000,"Over Budget","OK")</f>
        <v>Over Budget</v>
      </c>
      <c r="I987" t="str">
        <f>IF(OR(BOQ_Table[[#This Row],[Quantity]]="",BOQ_Table[[#This Row],[Rate]]=""),"Missing","OK")</f>
        <v>OK</v>
      </c>
    </row>
    <row r="988" spans="1:9" x14ac:dyDescent="0.35">
      <c r="A988" t="s">
        <v>1012</v>
      </c>
      <c r="B988" t="s">
        <v>20</v>
      </c>
      <c r="C988" t="s">
        <v>12</v>
      </c>
      <c r="D988">
        <v>445.69</v>
      </c>
      <c r="E988" t="s">
        <v>18</v>
      </c>
      <c r="F988">
        <v>4446.92</v>
      </c>
      <c r="G988">
        <f t="shared" si="17"/>
        <v>1981947.7748</v>
      </c>
      <c r="H988" t="str">
        <f>IF(BOQ_Table[[#This Row],[Amount]]&gt;100000,"Over Budget","OK")</f>
        <v>Over Budget</v>
      </c>
      <c r="I988" t="str">
        <f>IF(OR(BOQ_Table[[#This Row],[Quantity]]="",BOQ_Table[[#This Row],[Rate]]=""),"Missing","OK")</f>
        <v>OK</v>
      </c>
    </row>
    <row r="989" spans="1:9" x14ac:dyDescent="0.35">
      <c r="A989" t="s">
        <v>1013</v>
      </c>
      <c r="B989" t="s">
        <v>42</v>
      </c>
      <c r="C989" t="s">
        <v>8</v>
      </c>
      <c r="D989">
        <v>369.23</v>
      </c>
      <c r="E989" t="s">
        <v>9</v>
      </c>
      <c r="F989">
        <v>2888.55</v>
      </c>
      <c r="G989">
        <f t="shared" si="17"/>
        <v>1066539.3165000002</v>
      </c>
      <c r="H989" t="str">
        <f>IF(BOQ_Table[[#This Row],[Amount]]&gt;100000,"Over Budget","OK")</f>
        <v>Over Budget</v>
      </c>
      <c r="I989" t="str">
        <f>IF(OR(BOQ_Table[[#This Row],[Quantity]]="",BOQ_Table[[#This Row],[Rate]]=""),"Missing","OK")</f>
        <v>OK</v>
      </c>
    </row>
    <row r="990" spans="1:9" x14ac:dyDescent="0.35">
      <c r="A990" t="s">
        <v>1014</v>
      </c>
      <c r="B990" t="s">
        <v>42</v>
      </c>
      <c r="C990" t="s">
        <v>17</v>
      </c>
      <c r="D990">
        <v>244.37</v>
      </c>
      <c r="E990" t="s">
        <v>27</v>
      </c>
      <c r="F990">
        <v>2714.4</v>
      </c>
      <c r="G990">
        <f t="shared" si="17"/>
        <v>663317.92800000007</v>
      </c>
      <c r="H990" t="str">
        <f>IF(BOQ_Table[[#This Row],[Amount]]&gt;100000,"Over Budget","OK")</f>
        <v>Over Budget</v>
      </c>
      <c r="I990" t="str">
        <f>IF(OR(BOQ_Table[[#This Row],[Quantity]]="",BOQ_Table[[#This Row],[Rate]]=""),"Missing","OK")</f>
        <v>OK</v>
      </c>
    </row>
    <row r="991" spans="1:9" x14ac:dyDescent="0.35">
      <c r="A991" t="s">
        <v>1015</v>
      </c>
      <c r="B991" t="s">
        <v>11</v>
      </c>
      <c r="C991" t="s">
        <v>21</v>
      </c>
      <c r="D991">
        <v>119.61</v>
      </c>
      <c r="E991" t="s">
        <v>27</v>
      </c>
      <c r="F991">
        <v>4581.59</v>
      </c>
      <c r="G991">
        <f t="shared" si="17"/>
        <v>548003.97990000003</v>
      </c>
      <c r="H991" t="str">
        <f>IF(BOQ_Table[[#This Row],[Amount]]&gt;100000,"Over Budget","OK")</f>
        <v>Over Budget</v>
      </c>
      <c r="I991" t="str">
        <f>IF(OR(BOQ_Table[[#This Row],[Quantity]]="",BOQ_Table[[#This Row],[Rate]]=""),"Missing","OK")</f>
        <v>OK</v>
      </c>
    </row>
    <row r="992" spans="1:9" x14ac:dyDescent="0.35">
      <c r="A992" t="s">
        <v>1016</v>
      </c>
      <c r="B992" t="s">
        <v>42</v>
      </c>
      <c r="C992" t="s">
        <v>38</v>
      </c>
      <c r="D992">
        <v>176.75</v>
      </c>
      <c r="E992" t="s">
        <v>27</v>
      </c>
      <c r="F992">
        <v>871.51</v>
      </c>
      <c r="G992">
        <f t="shared" si="17"/>
        <v>154039.39249999999</v>
      </c>
      <c r="H992" t="str">
        <f>IF(BOQ_Table[[#This Row],[Amount]]&gt;100000,"Over Budget","OK")</f>
        <v>Over Budget</v>
      </c>
      <c r="I992" t="str">
        <f>IF(OR(BOQ_Table[[#This Row],[Quantity]]="",BOQ_Table[[#This Row],[Rate]]=""),"Missing","OK")</f>
        <v>OK</v>
      </c>
    </row>
    <row r="993" spans="1:9" x14ac:dyDescent="0.35">
      <c r="A993" t="s">
        <v>1017</v>
      </c>
      <c r="B993" t="s">
        <v>20</v>
      </c>
      <c r="C993" t="s">
        <v>12</v>
      </c>
      <c r="D993">
        <v>175.32</v>
      </c>
      <c r="E993" t="s">
        <v>14</v>
      </c>
      <c r="F993">
        <v>3401.89</v>
      </c>
      <c r="G993">
        <f t="shared" si="17"/>
        <v>596419.35479999997</v>
      </c>
      <c r="H993" t="str">
        <f>IF(BOQ_Table[[#This Row],[Amount]]&gt;100000,"Over Budget","OK")</f>
        <v>Over Budget</v>
      </c>
      <c r="I993" t="str">
        <f>IF(OR(BOQ_Table[[#This Row],[Quantity]]="",BOQ_Table[[#This Row],[Rate]]=""),"Missing","OK")</f>
        <v>OK</v>
      </c>
    </row>
    <row r="994" spans="1:9" x14ac:dyDescent="0.35">
      <c r="A994" t="s">
        <v>1018</v>
      </c>
      <c r="B994" t="s">
        <v>7</v>
      </c>
      <c r="C994" t="s">
        <v>8</v>
      </c>
      <c r="D994">
        <v>181.9</v>
      </c>
      <c r="E994" t="s">
        <v>27</v>
      </c>
      <c r="F994">
        <v>643.05999999999995</v>
      </c>
      <c r="G994">
        <f t="shared" si="17"/>
        <v>116972.61399999999</v>
      </c>
      <c r="H994" t="str">
        <f>IF(BOQ_Table[[#This Row],[Amount]]&gt;100000,"Over Budget","OK")</f>
        <v>Over Budget</v>
      </c>
      <c r="I994" t="str">
        <f>IF(OR(BOQ_Table[[#This Row],[Quantity]]="",BOQ_Table[[#This Row],[Rate]]=""),"Missing","OK")</f>
        <v>OK</v>
      </c>
    </row>
    <row r="995" spans="1:9" x14ac:dyDescent="0.35">
      <c r="A995" t="s">
        <v>1019</v>
      </c>
      <c r="B995" t="s">
        <v>40</v>
      </c>
      <c r="C995" t="s">
        <v>8</v>
      </c>
      <c r="D995">
        <v>168.33</v>
      </c>
      <c r="E995" t="s">
        <v>9</v>
      </c>
      <c r="F995">
        <v>3632.41</v>
      </c>
      <c r="G995">
        <f t="shared" si="17"/>
        <v>611443.57530000003</v>
      </c>
      <c r="H995" t="str">
        <f>IF(BOQ_Table[[#This Row],[Amount]]&gt;100000,"Over Budget","OK")</f>
        <v>Over Budget</v>
      </c>
      <c r="I995" t="str">
        <f>IF(OR(BOQ_Table[[#This Row],[Quantity]]="",BOQ_Table[[#This Row],[Rate]]=""),"Missing","OK")</f>
        <v>OK</v>
      </c>
    </row>
    <row r="996" spans="1:9" x14ac:dyDescent="0.35">
      <c r="A996" t="s">
        <v>1020</v>
      </c>
      <c r="B996" t="s">
        <v>40</v>
      </c>
      <c r="C996" t="s">
        <v>38</v>
      </c>
      <c r="D996">
        <v>388</v>
      </c>
      <c r="E996" t="s">
        <v>18</v>
      </c>
      <c r="F996">
        <v>1857.19</v>
      </c>
      <c r="G996">
        <f t="shared" si="17"/>
        <v>720589.72</v>
      </c>
      <c r="H996" t="str">
        <f>IF(BOQ_Table[[#This Row],[Amount]]&gt;100000,"Over Budget","OK")</f>
        <v>Over Budget</v>
      </c>
      <c r="I996" t="str">
        <f>IF(OR(BOQ_Table[[#This Row],[Quantity]]="",BOQ_Table[[#This Row],[Rate]]=""),"Missing","OK")</f>
        <v>OK</v>
      </c>
    </row>
    <row r="997" spans="1:9" x14ac:dyDescent="0.35">
      <c r="A997" t="s">
        <v>1021</v>
      </c>
      <c r="B997" t="s">
        <v>11</v>
      </c>
      <c r="C997" t="s">
        <v>21</v>
      </c>
      <c r="D997">
        <v>16.62</v>
      </c>
      <c r="E997" t="s">
        <v>14</v>
      </c>
      <c r="F997">
        <v>1010.17</v>
      </c>
      <c r="G997">
        <f t="shared" si="17"/>
        <v>16789.025399999999</v>
      </c>
      <c r="H997" t="str">
        <f>IF(BOQ_Table[[#This Row],[Amount]]&gt;100000,"Over Budget","OK")</f>
        <v>OK</v>
      </c>
      <c r="I997" t="str">
        <f>IF(OR(BOQ_Table[[#This Row],[Quantity]]="",BOQ_Table[[#This Row],[Rate]]=""),"Missing","OK")</f>
        <v>OK</v>
      </c>
    </row>
    <row r="998" spans="1:9" x14ac:dyDescent="0.35">
      <c r="A998" t="s">
        <v>1022</v>
      </c>
      <c r="B998" t="s">
        <v>11</v>
      </c>
      <c r="C998" t="s">
        <v>8</v>
      </c>
      <c r="D998">
        <v>244.35</v>
      </c>
      <c r="E998" t="s">
        <v>14</v>
      </c>
      <c r="F998">
        <v>2437.0700000000002</v>
      </c>
      <c r="G998">
        <f t="shared" si="17"/>
        <v>595498.05449999997</v>
      </c>
      <c r="H998" t="str">
        <f>IF(BOQ_Table[[#This Row],[Amount]]&gt;100000,"Over Budget","OK")</f>
        <v>Over Budget</v>
      </c>
      <c r="I998" t="str">
        <f>IF(OR(BOQ_Table[[#This Row],[Quantity]]="",BOQ_Table[[#This Row],[Rate]]=""),"Missing","OK")</f>
        <v>OK</v>
      </c>
    </row>
    <row r="999" spans="1:9" x14ac:dyDescent="0.35">
      <c r="A999" t="s">
        <v>1023</v>
      </c>
      <c r="B999" t="s">
        <v>30</v>
      </c>
      <c r="C999" t="s">
        <v>38</v>
      </c>
      <c r="D999">
        <v>333.35</v>
      </c>
      <c r="E999" t="s">
        <v>14</v>
      </c>
      <c r="F999">
        <v>4352.17</v>
      </c>
      <c r="G999">
        <f t="shared" si="17"/>
        <v>1450795.8695</v>
      </c>
      <c r="H999" t="str">
        <f>IF(BOQ_Table[[#This Row],[Amount]]&gt;100000,"Over Budget","OK")</f>
        <v>Over Budget</v>
      </c>
      <c r="I999" t="str">
        <f>IF(OR(BOQ_Table[[#This Row],[Quantity]]="",BOQ_Table[[#This Row],[Rate]]=""),"Missing","OK")</f>
        <v>OK</v>
      </c>
    </row>
    <row r="1000" spans="1:9" x14ac:dyDescent="0.35">
      <c r="A1000" t="s">
        <v>1024</v>
      </c>
      <c r="B1000" t="s">
        <v>7</v>
      </c>
      <c r="C1000" t="s">
        <v>38</v>
      </c>
      <c r="D1000">
        <v>243.02</v>
      </c>
      <c r="E1000" t="s">
        <v>22</v>
      </c>
      <c r="F1000">
        <v>3842.51</v>
      </c>
      <c r="G1000">
        <f t="shared" si="17"/>
        <v>933806.78020000004</v>
      </c>
      <c r="H1000" t="str">
        <f>IF(BOQ_Table[[#This Row],[Amount]]&gt;100000,"Over Budget","OK")</f>
        <v>Over Budget</v>
      </c>
      <c r="I1000" t="str">
        <f>IF(OR(BOQ_Table[[#This Row],[Quantity]]="",BOQ_Table[[#This Row],[Rate]]=""),"Missing","OK")</f>
        <v>OK</v>
      </c>
    </row>
    <row r="1001" spans="1:9" x14ac:dyDescent="0.35">
      <c r="A1001" t="s">
        <v>1025</v>
      </c>
      <c r="B1001" t="s">
        <v>16</v>
      </c>
      <c r="C1001" t="s">
        <v>38</v>
      </c>
      <c r="D1001">
        <v>125.33</v>
      </c>
      <c r="E1001" t="s">
        <v>9</v>
      </c>
      <c r="F1001">
        <v>181.41</v>
      </c>
      <c r="G1001">
        <f t="shared" si="17"/>
        <v>22736.115299999998</v>
      </c>
      <c r="H1001" t="str">
        <f>IF(BOQ_Table[[#This Row],[Amount]]&gt;100000,"Over Budget","OK")</f>
        <v>OK</v>
      </c>
      <c r="I1001" t="str">
        <f>IF(OR(BOQ_Table[[#This Row],[Quantity]]="",BOQ_Table[[#This Row],[Rate]]=""),"Missing","OK")</f>
        <v>OK</v>
      </c>
    </row>
    <row r="1002" spans="1:9" x14ac:dyDescent="0.35">
      <c r="A1002" t="s">
        <v>1026</v>
      </c>
      <c r="B1002" t="s">
        <v>46</v>
      </c>
      <c r="C1002" t="s">
        <v>21</v>
      </c>
      <c r="D1002">
        <v>377.14</v>
      </c>
      <c r="E1002" t="s">
        <v>22</v>
      </c>
      <c r="F1002">
        <v>621.46</v>
      </c>
      <c r="G1002">
        <f t="shared" si="17"/>
        <v>234377.42440000002</v>
      </c>
      <c r="H1002" t="str">
        <f>IF(BOQ_Table[[#This Row],[Amount]]&gt;100000,"Over Budget","OK")</f>
        <v>Over Budget</v>
      </c>
      <c r="I1002" t="str">
        <f>IF(OR(BOQ_Table[[#This Row],[Quantity]]="",BOQ_Table[[#This Row],[Rate]]=""),"Missing","OK")</f>
        <v>OK</v>
      </c>
    </row>
    <row r="1003" spans="1:9" x14ac:dyDescent="0.35">
      <c r="A1003" t="s">
        <v>1027</v>
      </c>
      <c r="B1003" t="s">
        <v>16</v>
      </c>
      <c r="C1003" t="s">
        <v>12</v>
      </c>
      <c r="D1003">
        <v>206.01</v>
      </c>
      <c r="E1003" t="s">
        <v>9</v>
      </c>
      <c r="F1003">
        <v>2102.54</v>
      </c>
      <c r="G1003">
        <f t="shared" si="17"/>
        <v>433144.26539999997</v>
      </c>
      <c r="H1003" t="str">
        <f>IF(BOQ_Table[[#This Row],[Amount]]&gt;100000,"Over Budget","OK")</f>
        <v>Over Budget</v>
      </c>
      <c r="I1003" t="str">
        <f>IF(OR(BOQ_Table[[#This Row],[Quantity]]="",BOQ_Table[[#This Row],[Rate]]=""),"Missing","OK")</f>
        <v>OK</v>
      </c>
    </row>
    <row r="1004" spans="1:9" x14ac:dyDescent="0.35">
      <c r="A1004" t="s">
        <v>1028</v>
      </c>
      <c r="B1004" t="s">
        <v>42</v>
      </c>
      <c r="C1004" t="s">
        <v>12</v>
      </c>
      <c r="D1004">
        <v>250.84</v>
      </c>
      <c r="E1004" t="s">
        <v>27</v>
      </c>
      <c r="F1004">
        <v>3759.02</v>
      </c>
      <c r="G1004">
        <f t="shared" si="17"/>
        <v>942912.57680000004</v>
      </c>
      <c r="H1004" t="str">
        <f>IF(BOQ_Table[[#This Row],[Amount]]&gt;100000,"Over Budget","OK")</f>
        <v>Over Budget</v>
      </c>
      <c r="I1004" t="str">
        <f>IF(OR(BOQ_Table[[#This Row],[Quantity]]="",BOQ_Table[[#This Row],[Rate]]=""),"Missing","OK")</f>
        <v>OK</v>
      </c>
    </row>
    <row r="1005" spans="1:9" x14ac:dyDescent="0.35">
      <c r="A1005" t="s">
        <v>1029</v>
      </c>
      <c r="B1005" t="s">
        <v>40</v>
      </c>
      <c r="C1005" t="s">
        <v>8</v>
      </c>
      <c r="D1005">
        <v>428.78</v>
      </c>
      <c r="E1005" t="s">
        <v>14</v>
      </c>
      <c r="F1005">
        <v>3555.5</v>
      </c>
      <c r="G1005">
        <f t="shared" si="17"/>
        <v>1524527.2899999998</v>
      </c>
      <c r="H1005" t="str">
        <f>IF(BOQ_Table[[#This Row],[Amount]]&gt;100000,"Over Budget","OK")</f>
        <v>Over Budget</v>
      </c>
      <c r="I1005" t="str">
        <f>IF(OR(BOQ_Table[[#This Row],[Quantity]]="",BOQ_Table[[#This Row],[Rate]]=""),"Missing","OK")</f>
        <v>OK</v>
      </c>
    </row>
    <row r="1006" spans="1:9" x14ac:dyDescent="0.35">
      <c r="A1006" t="s">
        <v>1030</v>
      </c>
      <c r="B1006" t="s">
        <v>32</v>
      </c>
      <c r="C1006" t="s">
        <v>8</v>
      </c>
      <c r="D1006">
        <v>237.71</v>
      </c>
      <c r="E1006" t="s">
        <v>27</v>
      </c>
      <c r="F1006">
        <v>3461.66</v>
      </c>
      <c r="G1006">
        <f t="shared" si="17"/>
        <v>822871.1986</v>
      </c>
      <c r="H1006" t="str">
        <f>IF(BOQ_Table[[#This Row],[Amount]]&gt;100000,"Over Budget","OK")</f>
        <v>Over Budget</v>
      </c>
      <c r="I1006" t="str">
        <f>IF(OR(BOQ_Table[[#This Row],[Quantity]]="",BOQ_Table[[#This Row],[Rate]]=""),"Missing","OK")</f>
        <v>OK</v>
      </c>
    </row>
    <row r="1007" spans="1:9" x14ac:dyDescent="0.35">
      <c r="A1007" t="s">
        <v>1031</v>
      </c>
      <c r="B1007" t="s">
        <v>46</v>
      </c>
      <c r="C1007" t="s">
        <v>38</v>
      </c>
      <c r="D1007">
        <v>392.75</v>
      </c>
      <c r="E1007" t="s">
        <v>27</v>
      </c>
      <c r="F1007">
        <v>3969.11</v>
      </c>
      <c r="G1007">
        <f t="shared" si="17"/>
        <v>1558867.9525000001</v>
      </c>
      <c r="H1007" t="str">
        <f>IF(BOQ_Table[[#This Row],[Amount]]&gt;100000,"Over Budget","OK")</f>
        <v>Over Budget</v>
      </c>
      <c r="I1007" t="str">
        <f>IF(OR(BOQ_Table[[#This Row],[Quantity]]="",BOQ_Table[[#This Row],[Rate]]=""),"Missing","OK")</f>
        <v>OK</v>
      </c>
    </row>
    <row r="1008" spans="1:9" x14ac:dyDescent="0.35">
      <c r="A1008" t="s">
        <v>1032</v>
      </c>
      <c r="B1008" t="s">
        <v>56</v>
      </c>
      <c r="C1008" t="s">
        <v>8</v>
      </c>
      <c r="D1008">
        <v>479.59</v>
      </c>
      <c r="E1008" t="s">
        <v>9</v>
      </c>
      <c r="F1008">
        <v>4850.3</v>
      </c>
      <c r="G1008">
        <f t="shared" si="17"/>
        <v>2326155.3769999999</v>
      </c>
      <c r="H1008" t="str">
        <f>IF(BOQ_Table[[#This Row],[Amount]]&gt;100000,"Over Budget","OK")</f>
        <v>Over Budget</v>
      </c>
      <c r="I1008" t="str">
        <f>IF(OR(BOQ_Table[[#This Row],[Quantity]]="",BOQ_Table[[#This Row],[Rate]]=""),"Missing","OK")</f>
        <v>OK</v>
      </c>
    </row>
    <row r="1009" spans="1:9" x14ac:dyDescent="0.35">
      <c r="A1009" t="s">
        <v>1033</v>
      </c>
      <c r="B1009" t="s">
        <v>42</v>
      </c>
      <c r="C1009" t="s">
        <v>8</v>
      </c>
      <c r="D1009">
        <v>73.66</v>
      </c>
      <c r="E1009" t="s">
        <v>22</v>
      </c>
      <c r="F1009">
        <v>4905.55</v>
      </c>
      <c r="G1009">
        <f t="shared" si="17"/>
        <v>361342.81300000002</v>
      </c>
      <c r="H1009" t="str">
        <f>IF(BOQ_Table[[#This Row],[Amount]]&gt;100000,"Over Budget","OK")</f>
        <v>Over Budget</v>
      </c>
      <c r="I1009" t="str">
        <f>IF(OR(BOQ_Table[[#This Row],[Quantity]]="",BOQ_Table[[#This Row],[Rate]]=""),"Missing","OK")</f>
        <v>OK</v>
      </c>
    </row>
    <row r="1010" spans="1:9" x14ac:dyDescent="0.35">
      <c r="A1010" t="s">
        <v>1034</v>
      </c>
      <c r="B1010" t="s">
        <v>42</v>
      </c>
      <c r="C1010" t="s">
        <v>38</v>
      </c>
      <c r="D1010">
        <v>27.37</v>
      </c>
      <c r="E1010" t="s">
        <v>18</v>
      </c>
      <c r="F1010">
        <v>2501.62</v>
      </c>
      <c r="G1010">
        <f t="shared" si="17"/>
        <v>68469.339399999997</v>
      </c>
      <c r="H1010" t="str">
        <f>IF(BOQ_Table[[#This Row],[Amount]]&gt;100000,"Over Budget","OK")</f>
        <v>OK</v>
      </c>
      <c r="I1010" t="str">
        <f>IF(OR(BOQ_Table[[#This Row],[Quantity]]="",BOQ_Table[[#This Row],[Rate]]=""),"Missing","OK")</f>
        <v>OK</v>
      </c>
    </row>
    <row r="1011" spans="1:9" x14ac:dyDescent="0.35">
      <c r="A1011" t="s">
        <v>1035</v>
      </c>
      <c r="B1011" t="s">
        <v>40</v>
      </c>
      <c r="C1011" t="s">
        <v>17</v>
      </c>
      <c r="D1011">
        <v>157.61000000000001</v>
      </c>
      <c r="E1011" t="s">
        <v>18</v>
      </c>
      <c r="F1011">
        <v>2227.69</v>
      </c>
      <c r="G1011">
        <f t="shared" si="17"/>
        <v>351106.22090000001</v>
      </c>
      <c r="H1011" t="str">
        <f>IF(BOQ_Table[[#This Row],[Amount]]&gt;100000,"Over Budget","OK")</f>
        <v>Over Budget</v>
      </c>
      <c r="I1011" t="str">
        <f>IF(OR(BOQ_Table[[#This Row],[Quantity]]="",BOQ_Table[[#This Row],[Rate]]=""),"Missing","OK")</f>
        <v>OK</v>
      </c>
    </row>
    <row r="1012" spans="1:9" x14ac:dyDescent="0.35">
      <c r="A1012" t="s">
        <v>1036</v>
      </c>
      <c r="B1012" t="s">
        <v>30</v>
      </c>
      <c r="C1012" t="s">
        <v>8</v>
      </c>
      <c r="D1012">
        <v>471.33</v>
      </c>
      <c r="E1012" t="s">
        <v>14</v>
      </c>
      <c r="F1012">
        <v>2517.96</v>
      </c>
      <c r="G1012">
        <f t="shared" si="17"/>
        <v>1186790.0867999999</v>
      </c>
      <c r="H1012" t="str">
        <f>IF(BOQ_Table[[#This Row],[Amount]]&gt;100000,"Over Budget","OK")</f>
        <v>Over Budget</v>
      </c>
      <c r="I1012" t="str">
        <f>IF(OR(BOQ_Table[[#This Row],[Quantity]]="",BOQ_Table[[#This Row],[Rate]]=""),"Missing","OK")</f>
        <v>OK</v>
      </c>
    </row>
    <row r="1013" spans="1:9" x14ac:dyDescent="0.35">
      <c r="A1013" t="s">
        <v>1037</v>
      </c>
      <c r="B1013" t="s">
        <v>46</v>
      </c>
      <c r="C1013" t="s">
        <v>17</v>
      </c>
      <c r="D1013">
        <v>383.25</v>
      </c>
      <c r="E1013" t="s">
        <v>14</v>
      </c>
      <c r="F1013">
        <v>4568.8500000000004</v>
      </c>
      <c r="G1013">
        <f t="shared" si="17"/>
        <v>1751011.7625000002</v>
      </c>
      <c r="H1013" t="str">
        <f>IF(BOQ_Table[[#This Row],[Amount]]&gt;100000,"Over Budget","OK")</f>
        <v>Over Budget</v>
      </c>
      <c r="I1013" t="str">
        <f>IF(OR(BOQ_Table[[#This Row],[Quantity]]="",BOQ_Table[[#This Row],[Rate]]=""),"Missing","OK")</f>
        <v>OK</v>
      </c>
    </row>
    <row r="1014" spans="1:9" x14ac:dyDescent="0.35">
      <c r="A1014" t="s">
        <v>1038</v>
      </c>
      <c r="B1014" t="s">
        <v>42</v>
      </c>
      <c r="C1014" t="s">
        <v>12</v>
      </c>
      <c r="D1014">
        <v>34.79</v>
      </c>
      <c r="E1014" t="s">
        <v>14</v>
      </c>
      <c r="F1014">
        <v>3897.77</v>
      </c>
      <c r="G1014">
        <f t="shared" si="17"/>
        <v>135603.41829999999</v>
      </c>
      <c r="H1014" t="str">
        <f>IF(BOQ_Table[[#This Row],[Amount]]&gt;100000,"Over Budget","OK")</f>
        <v>Over Budget</v>
      </c>
      <c r="I1014" t="str">
        <f>IF(OR(BOQ_Table[[#This Row],[Quantity]]="",BOQ_Table[[#This Row],[Rate]]=""),"Missing","OK")</f>
        <v>OK</v>
      </c>
    </row>
    <row r="1015" spans="1:9" x14ac:dyDescent="0.35">
      <c r="A1015" t="s">
        <v>1039</v>
      </c>
      <c r="B1015" t="s">
        <v>32</v>
      </c>
      <c r="C1015" t="s">
        <v>21</v>
      </c>
      <c r="D1015">
        <v>109.48</v>
      </c>
      <c r="E1015" t="s">
        <v>22</v>
      </c>
      <c r="F1015">
        <v>86.27</v>
      </c>
      <c r="G1015">
        <f t="shared" si="17"/>
        <v>9444.8395999999993</v>
      </c>
      <c r="H1015" t="str">
        <f>IF(BOQ_Table[[#This Row],[Amount]]&gt;100000,"Over Budget","OK")</f>
        <v>OK</v>
      </c>
      <c r="I1015" t="str">
        <f>IF(OR(BOQ_Table[[#This Row],[Quantity]]="",BOQ_Table[[#This Row],[Rate]]=""),"Missing","OK")</f>
        <v>OK</v>
      </c>
    </row>
    <row r="1016" spans="1:9" x14ac:dyDescent="0.35">
      <c r="A1016" t="s">
        <v>1040</v>
      </c>
      <c r="B1016" t="s">
        <v>16</v>
      </c>
      <c r="C1016" t="s">
        <v>12</v>
      </c>
      <c r="D1016">
        <v>25.53</v>
      </c>
      <c r="E1016" t="s">
        <v>14</v>
      </c>
      <c r="F1016">
        <v>2192.52</v>
      </c>
      <c r="G1016">
        <f t="shared" si="17"/>
        <v>55975.035600000003</v>
      </c>
      <c r="H1016" t="str">
        <f>IF(BOQ_Table[[#This Row],[Amount]]&gt;100000,"Over Budget","OK")</f>
        <v>OK</v>
      </c>
      <c r="I1016" t="str">
        <f>IF(OR(BOQ_Table[[#This Row],[Quantity]]="",BOQ_Table[[#This Row],[Rate]]=""),"Missing","OK")</f>
        <v>OK</v>
      </c>
    </row>
    <row r="1017" spans="1:9" x14ac:dyDescent="0.35">
      <c r="A1017" t="s">
        <v>1041</v>
      </c>
      <c r="B1017" t="s">
        <v>32</v>
      </c>
      <c r="C1017" t="s">
        <v>17</v>
      </c>
      <c r="D1017">
        <v>389.58</v>
      </c>
      <c r="E1017" t="s">
        <v>22</v>
      </c>
      <c r="F1017">
        <v>2467.9899999999998</v>
      </c>
      <c r="G1017">
        <f t="shared" si="17"/>
        <v>961479.54419999989</v>
      </c>
      <c r="H1017" t="str">
        <f>IF(BOQ_Table[[#This Row],[Amount]]&gt;100000,"Over Budget","OK")</f>
        <v>Over Budget</v>
      </c>
      <c r="I1017" t="str">
        <f>IF(OR(BOQ_Table[[#This Row],[Quantity]]="",BOQ_Table[[#This Row],[Rate]]=""),"Missing","OK")</f>
        <v>OK</v>
      </c>
    </row>
    <row r="1018" spans="1:9" x14ac:dyDescent="0.35">
      <c r="A1018" t="s">
        <v>1042</v>
      </c>
      <c r="B1018" t="s">
        <v>32</v>
      </c>
      <c r="C1018" t="s">
        <v>12</v>
      </c>
      <c r="D1018">
        <v>330.26</v>
      </c>
      <c r="E1018" t="s">
        <v>9</v>
      </c>
      <c r="F1018">
        <v>3712.27</v>
      </c>
      <c r="G1018">
        <f t="shared" si="17"/>
        <v>1226014.2901999999</v>
      </c>
      <c r="H1018" t="str">
        <f>IF(BOQ_Table[[#This Row],[Amount]]&gt;100000,"Over Budget","OK")</f>
        <v>Over Budget</v>
      </c>
      <c r="I1018" t="str">
        <f>IF(OR(BOQ_Table[[#This Row],[Quantity]]="",BOQ_Table[[#This Row],[Rate]]=""),"Missing","OK")</f>
        <v>OK</v>
      </c>
    </row>
    <row r="1019" spans="1:9" x14ac:dyDescent="0.35">
      <c r="A1019" t="s">
        <v>1043</v>
      </c>
      <c r="B1019" t="s">
        <v>56</v>
      </c>
      <c r="C1019" t="s">
        <v>12</v>
      </c>
      <c r="D1019">
        <v>418.48</v>
      </c>
      <c r="E1019" t="s">
        <v>14</v>
      </c>
      <c r="F1019">
        <v>980.95</v>
      </c>
      <c r="G1019">
        <f t="shared" si="17"/>
        <v>410507.95600000006</v>
      </c>
      <c r="H1019" t="str">
        <f>IF(BOQ_Table[[#This Row],[Amount]]&gt;100000,"Over Budget","OK")</f>
        <v>Over Budget</v>
      </c>
      <c r="I1019" t="str">
        <f>IF(OR(BOQ_Table[[#This Row],[Quantity]]="",BOQ_Table[[#This Row],[Rate]]=""),"Missing","OK")</f>
        <v>OK</v>
      </c>
    </row>
    <row r="1020" spans="1:9" x14ac:dyDescent="0.35">
      <c r="A1020" t="s">
        <v>1044</v>
      </c>
      <c r="B1020" t="s">
        <v>30</v>
      </c>
      <c r="C1020" t="s">
        <v>17</v>
      </c>
      <c r="D1020">
        <v>108.42</v>
      </c>
      <c r="E1020" t="s">
        <v>22</v>
      </c>
      <c r="F1020">
        <v>4932.21</v>
      </c>
      <c r="G1020">
        <f t="shared" si="17"/>
        <v>534750.20819999999</v>
      </c>
      <c r="H1020" t="str">
        <f>IF(BOQ_Table[[#This Row],[Amount]]&gt;100000,"Over Budget","OK")</f>
        <v>Over Budget</v>
      </c>
      <c r="I1020" t="str">
        <f>IF(OR(BOQ_Table[[#This Row],[Quantity]]="",BOQ_Table[[#This Row],[Rate]]=""),"Missing","OK")</f>
        <v>OK</v>
      </c>
    </row>
    <row r="1021" spans="1:9" x14ac:dyDescent="0.35">
      <c r="A1021" t="s">
        <v>1045</v>
      </c>
      <c r="B1021" t="s">
        <v>7</v>
      </c>
      <c r="C1021" t="s">
        <v>17</v>
      </c>
      <c r="D1021">
        <v>53.26</v>
      </c>
      <c r="E1021" t="s">
        <v>18</v>
      </c>
      <c r="F1021">
        <v>383.37</v>
      </c>
      <c r="G1021">
        <f t="shared" si="17"/>
        <v>20418.286199999999</v>
      </c>
      <c r="H1021" t="str">
        <f>IF(BOQ_Table[[#This Row],[Amount]]&gt;100000,"Over Budget","OK")</f>
        <v>OK</v>
      </c>
      <c r="I1021" t="str">
        <f>IF(OR(BOQ_Table[[#This Row],[Quantity]]="",BOQ_Table[[#This Row],[Rate]]=""),"Missing","OK")</f>
        <v>OK</v>
      </c>
    </row>
    <row r="1022" spans="1:9" x14ac:dyDescent="0.35">
      <c r="A1022" t="s">
        <v>1046</v>
      </c>
      <c r="B1022" t="s">
        <v>46</v>
      </c>
      <c r="C1022" t="s">
        <v>21</v>
      </c>
      <c r="D1022">
        <v>358.04</v>
      </c>
      <c r="E1022" t="s">
        <v>9</v>
      </c>
      <c r="F1022">
        <v>3601.33</v>
      </c>
      <c r="G1022">
        <f t="shared" si="17"/>
        <v>1289420.1932000001</v>
      </c>
      <c r="H1022" t="str">
        <f>IF(BOQ_Table[[#This Row],[Amount]]&gt;100000,"Over Budget","OK")</f>
        <v>Over Budget</v>
      </c>
      <c r="I1022" t="str">
        <f>IF(OR(BOQ_Table[[#This Row],[Quantity]]="",BOQ_Table[[#This Row],[Rate]]=""),"Missing","OK")</f>
        <v>OK</v>
      </c>
    </row>
    <row r="1023" spans="1:9" x14ac:dyDescent="0.35">
      <c r="A1023" t="s">
        <v>1047</v>
      </c>
      <c r="B1023" t="s">
        <v>42</v>
      </c>
      <c r="C1023" t="s">
        <v>17</v>
      </c>
      <c r="D1023">
        <v>222.8</v>
      </c>
      <c r="E1023" t="s">
        <v>27</v>
      </c>
      <c r="F1023">
        <v>1321.24</v>
      </c>
      <c r="G1023">
        <f t="shared" si="17"/>
        <v>294372.272</v>
      </c>
      <c r="H1023" t="str">
        <f>IF(BOQ_Table[[#This Row],[Amount]]&gt;100000,"Over Budget","OK")</f>
        <v>Over Budget</v>
      </c>
      <c r="I1023" t="str">
        <f>IF(OR(BOQ_Table[[#This Row],[Quantity]]="",BOQ_Table[[#This Row],[Rate]]=""),"Missing","OK")</f>
        <v>OK</v>
      </c>
    </row>
    <row r="1024" spans="1:9" x14ac:dyDescent="0.35">
      <c r="A1024" t="s">
        <v>1048</v>
      </c>
      <c r="B1024" t="s">
        <v>16</v>
      </c>
      <c r="C1024" t="s">
        <v>21</v>
      </c>
      <c r="D1024">
        <v>307.27</v>
      </c>
      <c r="E1024" t="s">
        <v>14</v>
      </c>
      <c r="F1024">
        <v>351.85</v>
      </c>
      <c r="G1024">
        <f t="shared" si="17"/>
        <v>108112.9495</v>
      </c>
      <c r="H1024" t="str">
        <f>IF(BOQ_Table[[#This Row],[Amount]]&gt;100000,"Over Budget","OK")</f>
        <v>Over Budget</v>
      </c>
      <c r="I1024" t="str">
        <f>IF(OR(BOQ_Table[[#This Row],[Quantity]]="",BOQ_Table[[#This Row],[Rate]]=""),"Missing","OK")</f>
        <v>OK</v>
      </c>
    </row>
    <row r="1025" spans="1:9" x14ac:dyDescent="0.35">
      <c r="A1025" t="s">
        <v>1049</v>
      </c>
      <c r="B1025" t="s">
        <v>20</v>
      </c>
      <c r="C1025" t="s">
        <v>12</v>
      </c>
      <c r="D1025">
        <v>322.02</v>
      </c>
      <c r="E1025" t="s">
        <v>27</v>
      </c>
      <c r="F1025">
        <v>4129.93</v>
      </c>
      <c r="G1025">
        <f t="shared" si="17"/>
        <v>1329920.0586000001</v>
      </c>
      <c r="H1025" t="str">
        <f>IF(BOQ_Table[[#This Row],[Amount]]&gt;100000,"Over Budget","OK")</f>
        <v>Over Budget</v>
      </c>
      <c r="I1025" t="str">
        <f>IF(OR(BOQ_Table[[#This Row],[Quantity]]="",BOQ_Table[[#This Row],[Rate]]=""),"Missing","OK")</f>
        <v>OK</v>
      </c>
    </row>
    <row r="1026" spans="1:9" x14ac:dyDescent="0.35">
      <c r="A1026" t="s">
        <v>1050</v>
      </c>
      <c r="B1026" t="s">
        <v>56</v>
      </c>
      <c r="C1026" t="s">
        <v>12</v>
      </c>
      <c r="D1026">
        <v>38.64</v>
      </c>
      <c r="E1026" t="s">
        <v>9</v>
      </c>
      <c r="F1026">
        <v>3079.67</v>
      </c>
      <c r="G1026">
        <f t="shared" ref="G1026:G1089" si="18">D1026*F1026</f>
        <v>118998.4488</v>
      </c>
      <c r="H1026" t="str">
        <f>IF(BOQ_Table[[#This Row],[Amount]]&gt;100000,"Over Budget","OK")</f>
        <v>Over Budget</v>
      </c>
      <c r="I1026" t="str">
        <f>IF(OR(BOQ_Table[[#This Row],[Quantity]]="",BOQ_Table[[#This Row],[Rate]]=""),"Missing","OK")</f>
        <v>OK</v>
      </c>
    </row>
    <row r="1027" spans="1:9" x14ac:dyDescent="0.35">
      <c r="A1027" t="s">
        <v>1051</v>
      </c>
      <c r="B1027" t="s">
        <v>42</v>
      </c>
      <c r="C1027" t="s">
        <v>8</v>
      </c>
      <c r="D1027">
        <v>343.13</v>
      </c>
      <c r="E1027" t="s">
        <v>9</v>
      </c>
      <c r="F1027">
        <v>2123.67</v>
      </c>
      <c r="G1027">
        <f t="shared" si="18"/>
        <v>728694.88710000005</v>
      </c>
      <c r="H1027" t="str">
        <f>IF(BOQ_Table[[#This Row],[Amount]]&gt;100000,"Over Budget","OK")</f>
        <v>Over Budget</v>
      </c>
      <c r="I1027" t="str">
        <f>IF(OR(BOQ_Table[[#This Row],[Quantity]]="",BOQ_Table[[#This Row],[Rate]]=""),"Missing","OK")</f>
        <v>OK</v>
      </c>
    </row>
    <row r="1028" spans="1:9" x14ac:dyDescent="0.35">
      <c r="A1028" t="s">
        <v>1052</v>
      </c>
      <c r="B1028" t="s">
        <v>11</v>
      </c>
      <c r="C1028" t="s">
        <v>8</v>
      </c>
      <c r="D1028">
        <v>401.19</v>
      </c>
      <c r="E1028" t="s">
        <v>14</v>
      </c>
      <c r="F1028">
        <v>774.98</v>
      </c>
      <c r="G1028">
        <f t="shared" si="18"/>
        <v>310914.22620000003</v>
      </c>
      <c r="H1028" t="str">
        <f>IF(BOQ_Table[[#This Row],[Amount]]&gt;100000,"Over Budget","OK")</f>
        <v>Over Budget</v>
      </c>
      <c r="I1028" t="str">
        <f>IF(OR(BOQ_Table[[#This Row],[Quantity]]="",BOQ_Table[[#This Row],[Rate]]=""),"Missing","OK")</f>
        <v>OK</v>
      </c>
    </row>
    <row r="1029" spans="1:9" x14ac:dyDescent="0.35">
      <c r="A1029" t="s">
        <v>1053</v>
      </c>
      <c r="B1029" t="s">
        <v>42</v>
      </c>
      <c r="C1029" t="s">
        <v>21</v>
      </c>
      <c r="D1029">
        <v>238.69</v>
      </c>
      <c r="E1029" t="s">
        <v>18</v>
      </c>
      <c r="F1029">
        <v>1973.55</v>
      </c>
      <c r="G1029">
        <f t="shared" si="18"/>
        <v>471066.6495</v>
      </c>
      <c r="H1029" t="str">
        <f>IF(BOQ_Table[[#This Row],[Amount]]&gt;100000,"Over Budget","OK")</f>
        <v>Over Budget</v>
      </c>
      <c r="I1029" t="str">
        <f>IF(OR(BOQ_Table[[#This Row],[Quantity]]="",BOQ_Table[[#This Row],[Rate]]=""),"Missing","OK")</f>
        <v>OK</v>
      </c>
    </row>
    <row r="1030" spans="1:9" x14ac:dyDescent="0.35">
      <c r="A1030" t="s">
        <v>1054</v>
      </c>
      <c r="B1030" t="s">
        <v>11</v>
      </c>
      <c r="C1030" t="s">
        <v>21</v>
      </c>
      <c r="D1030">
        <v>44.73</v>
      </c>
      <c r="E1030" t="s">
        <v>14</v>
      </c>
      <c r="F1030">
        <v>837.85</v>
      </c>
      <c r="G1030">
        <f t="shared" si="18"/>
        <v>37477.030500000001</v>
      </c>
      <c r="H1030" t="str">
        <f>IF(BOQ_Table[[#This Row],[Amount]]&gt;100000,"Over Budget","OK")</f>
        <v>OK</v>
      </c>
      <c r="I1030" t="str">
        <f>IF(OR(BOQ_Table[[#This Row],[Quantity]]="",BOQ_Table[[#This Row],[Rate]]=""),"Missing","OK")</f>
        <v>OK</v>
      </c>
    </row>
    <row r="1031" spans="1:9" x14ac:dyDescent="0.35">
      <c r="A1031" t="s">
        <v>1055</v>
      </c>
      <c r="B1031" t="s">
        <v>46</v>
      </c>
      <c r="C1031" t="s">
        <v>8</v>
      </c>
      <c r="D1031">
        <v>406.87</v>
      </c>
      <c r="E1031" t="s">
        <v>9</v>
      </c>
      <c r="F1031">
        <v>4455.5600000000004</v>
      </c>
      <c r="G1031">
        <f t="shared" si="18"/>
        <v>1812833.6972000003</v>
      </c>
      <c r="H1031" t="str">
        <f>IF(BOQ_Table[[#This Row],[Amount]]&gt;100000,"Over Budget","OK")</f>
        <v>Over Budget</v>
      </c>
      <c r="I1031" t="str">
        <f>IF(OR(BOQ_Table[[#This Row],[Quantity]]="",BOQ_Table[[#This Row],[Rate]]=""),"Missing","OK")</f>
        <v>OK</v>
      </c>
    </row>
    <row r="1032" spans="1:9" x14ac:dyDescent="0.35">
      <c r="A1032" t="s">
        <v>1056</v>
      </c>
      <c r="B1032" t="s">
        <v>30</v>
      </c>
      <c r="C1032" t="s">
        <v>17</v>
      </c>
      <c r="D1032">
        <v>33.69</v>
      </c>
      <c r="E1032" t="s">
        <v>27</v>
      </c>
      <c r="F1032">
        <v>1269.19</v>
      </c>
      <c r="G1032">
        <f t="shared" si="18"/>
        <v>42759.011099999996</v>
      </c>
      <c r="H1032" t="str">
        <f>IF(BOQ_Table[[#This Row],[Amount]]&gt;100000,"Over Budget","OK")</f>
        <v>OK</v>
      </c>
      <c r="I1032" t="str">
        <f>IF(OR(BOQ_Table[[#This Row],[Quantity]]="",BOQ_Table[[#This Row],[Rate]]=""),"Missing","OK")</f>
        <v>OK</v>
      </c>
    </row>
    <row r="1033" spans="1:9" x14ac:dyDescent="0.35">
      <c r="A1033" t="s">
        <v>1057</v>
      </c>
      <c r="B1033" t="s">
        <v>7</v>
      </c>
      <c r="C1033" t="s">
        <v>12</v>
      </c>
      <c r="D1033">
        <v>269.86</v>
      </c>
      <c r="E1033" t="s">
        <v>27</v>
      </c>
      <c r="F1033">
        <v>1754.39</v>
      </c>
      <c r="G1033">
        <f t="shared" si="18"/>
        <v>473439.68540000007</v>
      </c>
      <c r="H1033" t="str">
        <f>IF(BOQ_Table[[#This Row],[Amount]]&gt;100000,"Over Budget","OK")</f>
        <v>Over Budget</v>
      </c>
      <c r="I1033" t="str">
        <f>IF(OR(BOQ_Table[[#This Row],[Quantity]]="",BOQ_Table[[#This Row],[Rate]]=""),"Missing","OK")</f>
        <v>OK</v>
      </c>
    </row>
    <row r="1034" spans="1:9" x14ac:dyDescent="0.35">
      <c r="A1034" t="s">
        <v>1058</v>
      </c>
      <c r="B1034" t="s">
        <v>46</v>
      </c>
      <c r="C1034" t="s">
        <v>17</v>
      </c>
      <c r="D1034">
        <v>401.85</v>
      </c>
      <c r="E1034" t="s">
        <v>18</v>
      </c>
      <c r="F1034">
        <v>4732.01</v>
      </c>
      <c r="G1034">
        <f t="shared" si="18"/>
        <v>1901558.2185000002</v>
      </c>
      <c r="H1034" t="str">
        <f>IF(BOQ_Table[[#This Row],[Amount]]&gt;100000,"Over Budget","OK")</f>
        <v>Over Budget</v>
      </c>
      <c r="I1034" t="str">
        <f>IF(OR(BOQ_Table[[#This Row],[Quantity]]="",BOQ_Table[[#This Row],[Rate]]=""),"Missing","OK")</f>
        <v>OK</v>
      </c>
    </row>
    <row r="1035" spans="1:9" x14ac:dyDescent="0.35">
      <c r="A1035" t="s">
        <v>1059</v>
      </c>
      <c r="B1035" t="s">
        <v>7</v>
      </c>
      <c r="C1035" t="s">
        <v>38</v>
      </c>
      <c r="D1035">
        <v>363.77</v>
      </c>
      <c r="E1035" t="s">
        <v>14</v>
      </c>
      <c r="F1035">
        <v>2459.67</v>
      </c>
      <c r="G1035">
        <f t="shared" si="18"/>
        <v>894754.15590000001</v>
      </c>
      <c r="H1035" t="str">
        <f>IF(BOQ_Table[[#This Row],[Amount]]&gt;100000,"Over Budget","OK")</f>
        <v>Over Budget</v>
      </c>
      <c r="I1035" t="str">
        <f>IF(OR(BOQ_Table[[#This Row],[Quantity]]="",BOQ_Table[[#This Row],[Rate]]=""),"Missing","OK")</f>
        <v>OK</v>
      </c>
    </row>
    <row r="1036" spans="1:9" x14ac:dyDescent="0.35">
      <c r="A1036" t="s">
        <v>1060</v>
      </c>
      <c r="B1036" t="s">
        <v>46</v>
      </c>
      <c r="C1036" t="s">
        <v>8</v>
      </c>
      <c r="D1036">
        <v>122.94</v>
      </c>
      <c r="E1036" t="s">
        <v>14</v>
      </c>
      <c r="F1036">
        <v>786.49</v>
      </c>
      <c r="G1036">
        <f t="shared" si="18"/>
        <v>96691.080600000001</v>
      </c>
      <c r="H1036" t="str">
        <f>IF(BOQ_Table[[#This Row],[Amount]]&gt;100000,"Over Budget","OK")</f>
        <v>OK</v>
      </c>
      <c r="I1036" t="str">
        <f>IF(OR(BOQ_Table[[#This Row],[Quantity]]="",BOQ_Table[[#This Row],[Rate]]=""),"Missing","OK")</f>
        <v>OK</v>
      </c>
    </row>
    <row r="1037" spans="1:9" x14ac:dyDescent="0.35">
      <c r="A1037" t="s">
        <v>1061</v>
      </c>
      <c r="B1037" t="s">
        <v>56</v>
      </c>
      <c r="C1037" t="s">
        <v>21</v>
      </c>
      <c r="D1037">
        <v>108.77</v>
      </c>
      <c r="E1037" t="s">
        <v>14</v>
      </c>
      <c r="F1037">
        <v>2382.9299999999998</v>
      </c>
      <c r="G1037">
        <f t="shared" si="18"/>
        <v>259191.29609999998</v>
      </c>
      <c r="H1037" t="str">
        <f>IF(BOQ_Table[[#This Row],[Amount]]&gt;100000,"Over Budget","OK")</f>
        <v>Over Budget</v>
      </c>
      <c r="I1037" t="str">
        <f>IF(OR(BOQ_Table[[#This Row],[Quantity]]="",BOQ_Table[[#This Row],[Rate]]=""),"Missing","OK")</f>
        <v>OK</v>
      </c>
    </row>
    <row r="1038" spans="1:9" x14ac:dyDescent="0.35">
      <c r="A1038" t="s">
        <v>1062</v>
      </c>
      <c r="B1038" t="s">
        <v>30</v>
      </c>
      <c r="C1038" t="s">
        <v>12</v>
      </c>
      <c r="D1038">
        <v>379.79</v>
      </c>
      <c r="E1038" t="s">
        <v>14</v>
      </c>
      <c r="F1038">
        <v>700.76</v>
      </c>
      <c r="G1038">
        <f t="shared" si="18"/>
        <v>266141.64040000003</v>
      </c>
      <c r="H1038" t="str">
        <f>IF(BOQ_Table[[#This Row],[Amount]]&gt;100000,"Over Budget","OK")</f>
        <v>Over Budget</v>
      </c>
      <c r="I1038" t="str">
        <f>IF(OR(BOQ_Table[[#This Row],[Quantity]]="",BOQ_Table[[#This Row],[Rate]]=""),"Missing","OK")</f>
        <v>OK</v>
      </c>
    </row>
    <row r="1039" spans="1:9" x14ac:dyDescent="0.35">
      <c r="A1039" t="s">
        <v>1063</v>
      </c>
      <c r="B1039" t="s">
        <v>40</v>
      </c>
      <c r="C1039" t="s">
        <v>21</v>
      </c>
      <c r="D1039">
        <v>466.57</v>
      </c>
      <c r="E1039" t="s">
        <v>22</v>
      </c>
      <c r="F1039">
        <v>2800.74</v>
      </c>
      <c r="G1039">
        <f t="shared" si="18"/>
        <v>1306741.2618</v>
      </c>
      <c r="H1039" t="str">
        <f>IF(BOQ_Table[[#This Row],[Amount]]&gt;100000,"Over Budget","OK")</f>
        <v>Over Budget</v>
      </c>
      <c r="I1039" t="str">
        <f>IF(OR(BOQ_Table[[#This Row],[Quantity]]="",BOQ_Table[[#This Row],[Rate]]=""),"Missing","OK")</f>
        <v>OK</v>
      </c>
    </row>
    <row r="1040" spans="1:9" x14ac:dyDescent="0.35">
      <c r="A1040" t="s">
        <v>1064</v>
      </c>
      <c r="B1040" t="s">
        <v>40</v>
      </c>
      <c r="C1040" t="s">
        <v>8</v>
      </c>
      <c r="D1040">
        <v>109.02</v>
      </c>
      <c r="E1040" t="s">
        <v>22</v>
      </c>
      <c r="F1040">
        <v>4899.2700000000004</v>
      </c>
      <c r="G1040">
        <f t="shared" si="18"/>
        <v>534118.41540000006</v>
      </c>
      <c r="H1040" t="str">
        <f>IF(BOQ_Table[[#This Row],[Amount]]&gt;100000,"Over Budget","OK")</f>
        <v>Over Budget</v>
      </c>
      <c r="I1040" t="str">
        <f>IF(OR(BOQ_Table[[#This Row],[Quantity]]="",BOQ_Table[[#This Row],[Rate]]=""),"Missing","OK")</f>
        <v>OK</v>
      </c>
    </row>
    <row r="1041" spans="1:9" x14ac:dyDescent="0.35">
      <c r="A1041" t="s">
        <v>1065</v>
      </c>
      <c r="B1041" t="s">
        <v>20</v>
      </c>
      <c r="C1041" t="s">
        <v>38</v>
      </c>
      <c r="D1041">
        <v>118.89</v>
      </c>
      <c r="E1041" t="s">
        <v>22</v>
      </c>
      <c r="F1041">
        <v>904.13</v>
      </c>
      <c r="G1041">
        <f t="shared" si="18"/>
        <v>107492.0157</v>
      </c>
      <c r="H1041" t="str">
        <f>IF(BOQ_Table[[#This Row],[Amount]]&gt;100000,"Over Budget","OK")</f>
        <v>Over Budget</v>
      </c>
      <c r="I1041" t="str">
        <f>IF(OR(BOQ_Table[[#This Row],[Quantity]]="",BOQ_Table[[#This Row],[Rate]]=""),"Missing","OK")</f>
        <v>OK</v>
      </c>
    </row>
    <row r="1042" spans="1:9" x14ac:dyDescent="0.35">
      <c r="A1042" t="s">
        <v>1066</v>
      </c>
      <c r="B1042" t="s">
        <v>42</v>
      </c>
      <c r="C1042" t="s">
        <v>38</v>
      </c>
      <c r="D1042">
        <v>461.38</v>
      </c>
      <c r="E1042" t="s">
        <v>22</v>
      </c>
      <c r="F1042">
        <v>2453.79</v>
      </c>
      <c r="G1042">
        <f t="shared" si="18"/>
        <v>1132129.6302</v>
      </c>
      <c r="H1042" t="str">
        <f>IF(BOQ_Table[[#This Row],[Amount]]&gt;100000,"Over Budget","OK")</f>
        <v>Over Budget</v>
      </c>
      <c r="I1042" t="str">
        <f>IF(OR(BOQ_Table[[#This Row],[Quantity]]="",BOQ_Table[[#This Row],[Rate]]=""),"Missing","OK")</f>
        <v>OK</v>
      </c>
    </row>
    <row r="1043" spans="1:9" x14ac:dyDescent="0.35">
      <c r="A1043" t="s">
        <v>1067</v>
      </c>
      <c r="B1043" t="s">
        <v>40</v>
      </c>
      <c r="C1043" t="s">
        <v>21</v>
      </c>
      <c r="D1043">
        <v>487.99</v>
      </c>
      <c r="E1043" t="s">
        <v>22</v>
      </c>
      <c r="F1043">
        <v>3758.44</v>
      </c>
      <c r="G1043">
        <f t="shared" si="18"/>
        <v>1834081.1356000002</v>
      </c>
      <c r="H1043" t="str">
        <f>IF(BOQ_Table[[#This Row],[Amount]]&gt;100000,"Over Budget","OK")</f>
        <v>Over Budget</v>
      </c>
      <c r="I1043" t="str">
        <f>IF(OR(BOQ_Table[[#This Row],[Quantity]]="",BOQ_Table[[#This Row],[Rate]]=""),"Missing","OK")</f>
        <v>OK</v>
      </c>
    </row>
    <row r="1044" spans="1:9" x14ac:dyDescent="0.35">
      <c r="A1044" t="s">
        <v>1068</v>
      </c>
      <c r="B1044" t="s">
        <v>20</v>
      </c>
      <c r="C1044" t="s">
        <v>21</v>
      </c>
      <c r="D1044">
        <v>207.03</v>
      </c>
      <c r="E1044" t="s">
        <v>27</v>
      </c>
      <c r="F1044">
        <v>4784.09</v>
      </c>
      <c r="G1044">
        <f t="shared" si="18"/>
        <v>990450.15270000009</v>
      </c>
      <c r="H1044" t="str">
        <f>IF(BOQ_Table[[#This Row],[Amount]]&gt;100000,"Over Budget","OK")</f>
        <v>Over Budget</v>
      </c>
      <c r="I1044" t="str">
        <f>IF(OR(BOQ_Table[[#This Row],[Quantity]]="",BOQ_Table[[#This Row],[Rate]]=""),"Missing","OK")</f>
        <v>OK</v>
      </c>
    </row>
    <row r="1045" spans="1:9" x14ac:dyDescent="0.35">
      <c r="A1045" t="s">
        <v>1069</v>
      </c>
      <c r="B1045" t="s">
        <v>46</v>
      </c>
      <c r="C1045" t="s">
        <v>12</v>
      </c>
      <c r="D1045">
        <v>247.55</v>
      </c>
      <c r="E1045" t="s">
        <v>18</v>
      </c>
      <c r="F1045">
        <v>2449.31</v>
      </c>
      <c r="G1045">
        <f t="shared" si="18"/>
        <v>606326.69050000003</v>
      </c>
      <c r="H1045" t="str">
        <f>IF(BOQ_Table[[#This Row],[Amount]]&gt;100000,"Over Budget","OK")</f>
        <v>Over Budget</v>
      </c>
      <c r="I1045" t="str">
        <f>IF(OR(BOQ_Table[[#This Row],[Quantity]]="",BOQ_Table[[#This Row],[Rate]]=""),"Missing","OK")</f>
        <v>OK</v>
      </c>
    </row>
    <row r="1046" spans="1:9" x14ac:dyDescent="0.35">
      <c r="A1046" t="s">
        <v>1070</v>
      </c>
      <c r="B1046" t="s">
        <v>30</v>
      </c>
      <c r="C1046" t="s">
        <v>38</v>
      </c>
      <c r="D1046">
        <v>130.94999999999999</v>
      </c>
      <c r="E1046" t="s">
        <v>27</v>
      </c>
      <c r="F1046">
        <v>471.56</v>
      </c>
      <c r="G1046">
        <f t="shared" si="18"/>
        <v>61750.781999999992</v>
      </c>
      <c r="H1046" t="str">
        <f>IF(BOQ_Table[[#This Row],[Amount]]&gt;100000,"Over Budget","OK")</f>
        <v>OK</v>
      </c>
      <c r="I1046" t="str">
        <f>IF(OR(BOQ_Table[[#This Row],[Quantity]]="",BOQ_Table[[#This Row],[Rate]]=""),"Missing","OK")</f>
        <v>OK</v>
      </c>
    </row>
    <row r="1047" spans="1:9" x14ac:dyDescent="0.35">
      <c r="A1047" t="s">
        <v>1071</v>
      </c>
      <c r="B1047" t="s">
        <v>46</v>
      </c>
      <c r="C1047" t="s">
        <v>17</v>
      </c>
      <c r="D1047">
        <v>234.14</v>
      </c>
      <c r="E1047" t="s">
        <v>9</v>
      </c>
      <c r="F1047">
        <v>1495.5</v>
      </c>
      <c r="G1047">
        <f t="shared" si="18"/>
        <v>350156.37</v>
      </c>
      <c r="H1047" t="str">
        <f>IF(BOQ_Table[[#This Row],[Amount]]&gt;100000,"Over Budget","OK")</f>
        <v>Over Budget</v>
      </c>
      <c r="I1047" t="str">
        <f>IF(OR(BOQ_Table[[#This Row],[Quantity]]="",BOQ_Table[[#This Row],[Rate]]=""),"Missing","OK")</f>
        <v>OK</v>
      </c>
    </row>
    <row r="1048" spans="1:9" x14ac:dyDescent="0.35">
      <c r="A1048" t="s">
        <v>1072</v>
      </c>
      <c r="B1048" t="s">
        <v>30</v>
      </c>
      <c r="C1048" t="s">
        <v>21</v>
      </c>
      <c r="D1048">
        <v>325.77999999999997</v>
      </c>
      <c r="E1048" t="s">
        <v>14</v>
      </c>
      <c r="F1048">
        <v>191.98</v>
      </c>
      <c r="G1048">
        <f t="shared" si="18"/>
        <v>62543.244399999989</v>
      </c>
      <c r="H1048" t="str">
        <f>IF(BOQ_Table[[#This Row],[Amount]]&gt;100000,"Over Budget","OK")</f>
        <v>OK</v>
      </c>
      <c r="I1048" t="str">
        <f>IF(OR(BOQ_Table[[#This Row],[Quantity]]="",BOQ_Table[[#This Row],[Rate]]=""),"Missing","OK")</f>
        <v>OK</v>
      </c>
    </row>
    <row r="1049" spans="1:9" x14ac:dyDescent="0.35">
      <c r="A1049" t="s">
        <v>1073</v>
      </c>
      <c r="B1049" t="s">
        <v>16</v>
      </c>
      <c r="C1049" t="s">
        <v>21</v>
      </c>
      <c r="D1049">
        <v>60.82</v>
      </c>
      <c r="E1049" t="s">
        <v>14</v>
      </c>
      <c r="F1049">
        <v>4916.8599999999997</v>
      </c>
      <c r="G1049">
        <f t="shared" si="18"/>
        <v>299043.4252</v>
      </c>
      <c r="H1049" t="str">
        <f>IF(BOQ_Table[[#This Row],[Amount]]&gt;100000,"Over Budget","OK")</f>
        <v>Over Budget</v>
      </c>
      <c r="I1049" t="str">
        <f>IF(OR(BOQ_Table[[#This Row],[Quantity]]="",BOQ_Table[[#This Row],[Rate]]=""),"Missing","OK")</f>
        <v>OK</v>
      </c>
    </row>
    <row r="1050" spans="1:9" x14ac:dyDescent="0.35">
      <c r="A1050" t="s">
        <v>1074</v>
      </c>
      <c r="B1050" t="s">
        <v>16</v>
      </c>
      <c r="C1050" t="s">
        <v>38</v>
      </c>
      <c r="D1050">
        <v>97.05</v>
      </c>
      <c r="E1050" t="s">
        <v>27</v>
      </c>
      <c r="F1050">
        <v>4616.12</v>
      </c>
      <c r="G1050">
        <f t="shared" si="18"/>
        <v>447994.446</v>
      </c>
      <c r="H1050" t="str">
        <f>IF(BOQ_Table[[#This Row],[Amount]]&gt;100000,"Over Budget","OK")</f>
        <v>Over Budget</v>
      </c>
      <c r="I1050" t="str">
        <f>IF(OR(BOQ_Table[[#This Row],[Quantity]]="",BOQ_Table[[#This Row],[Rate]]=""),"Missing","OK")</f>
        <v>OK</v>
      </c>
    </row>
    <row r="1051" spans="1:9" x14ac:dyDescent="0.35">
      <c r="A1051" t="s">
        <v>1075</v>
      </c>
      <c r="B1051" t="s">
        <v>32</v>
      </c>
      <c r="C1051" t="s">
        <v>17</v>
      </c>
      <c r="D1051">
        <v>301.81</v>
      </c>
      <c r="E1051" t="s">
        <v>22</v>
      </c>
      <c r="F1051">
        <v>4586.46</v>
      </c>
      <c r="G1051">
        <f t="shared" si="18"/>
        <v>1384239.4926</v>
      </c>
      <c r="H1051" t="str">
        <f>IF(BOQ_Table[[#This Row],[Amount]]&gt;100000,"Over Budget","OK")</f>
        <v>Over Budget</v>
      </c>
      <c r="I1051" t="str">
        <f>IF(OR(BOQ_Table[[#This Row],[Quantity]]="",BOQ_Table[[#This Row],[Rate]]=""),"Missing","OK")</f>
        <v>OK</v>
      </c>
    </row>
    <row r="1052" spans="1:9" x14ac:dyDescent="0.35">
      <c r="A1052" t="s">
        <v>1076</v>
      </c>
      <c r="B1052" t="s">
        <v>42</v>
      </c>
      <c r="C1052" t="s">
        <v>38</v>
      </c>
      <c r="D1052">
        <v>191.22</v>
      </c>
      <c r="E1052" t="s">
        <v>22</v>
      </c>
      <c r="F1052">
        <v>1150.21</v>
      </c>
      <c r="G1052">
        <f t="shared" si="18"/>
        <v>219943.1562</v>
      </c>
      <c r="H1052" t="str">
        <f>IF(BOQ_Table[[#This Row],[Amount]]&gt;100000,"Over Budget","OK")</f>
        <v>Over Budget</v>
      </c>
      <c r="I1052" t="str">
        <f>IF(OR(BOQ_Table[[#This Row],[Quantity]]="",BOQ_Table[[#This Row],[Rate]]=""),"Missing","OK")</f>
        <v>OK</v>
      </c>
    </row>
    <row r="1053" spans="1:9" x14ac:dyDescent="0.35">
      <c r="A1053" t="s">
        <v>1077</v>
      </c>
      <c r="B1053" t="s">
        <v>11</v>
      </c>
      <c r="C1053" t="s">
        <v>12</v>
      </c>
      <c r="D1053">
        <v>46.17</v>
      </c>
      <c r="E1053" t="s">
        <v>9</v>
      </c>
      <c r="F1053">
        <v>1058.03</v>
      </c>
      <c r="G1053">
        <f t="shared" si="18"/>
        <v>48849.2451</v>
      </c>
      <c r="H1053" t="str">
        <f>IF(BOQ_Table[[#This Row],[Amount]]&gt;100000,"Over Budget","OK")</f>
        <v>OK</v>
      </c>
      <c r="I1053" t="str">
        <f>IF(OR(BOQ_Table[[#This Row],[Quantity]]="",BOQ_Table[[#This Row],[Rate]]=""),"Missing","OK")</f>
        <v>OK</v>
      </c>
    </row>
    <row r="1054" spans="1:9" x14ac:dyDescent="0.35">
      <c r="A1054" t="s">
        <v>1078</v>
      </c>
      <c r="B1054" t="s">
        <v>46</v>
      </c>
      <c r="C1054" t="s">
        <v>12</v>
      </c>
      <c r="D1054">
        <v>153.77000000000001</v>
      </c>
      <c r="E1054" t="s">
        <v>22</v>
      </c>
      <c r="F1054">
        <v>3005.45</v>
      </c>
      <c r="G1054">
        <f t="shared" si="18"/>
        <v>462148.0465</v>
      </c>
      <c r="H1054" t="str">
        <f>IF(BOQ_Table[[#This Row],[Amount]]&gt;100000,"Over Budget","OK")</f>
        <v>Over Budget</v>
      </c>
      <c r="I1054" t="str">
        <f>IF(OR(BOQ_Table[[#This Row],[Quantity]]="",BOQ_Table[[#This Row],[Rate]]=""),"Missing","OK")</f>
        <v>OK</v>
      </c>
    </row>
    <row r="1055" spans="1:9" x14ac:dyDescent="0.35">
      <c r="A1055" t="s">
        <v>1079</v>
      </c>
      <c r="B1055" t="s">
        <v>16</v>
      </c>
      <c r="C1055" t="s">
        <v>38</v>
      </c>
      <c r="D1055">
        <v>342.54</v>
      </c>
      <c r="E1055" t="s">
        <v>27</v>
      </c>
      <c r="F1055">
        <v>4097.87</v>
      </c>
      <c r="G1055">
        <f t="shared" si="18"/>
        <v>1403684.3898</v>
      </c>
      <c r="H1055" t="str">
        <f>IF(BOQ_Table[[#This Row],[Amount]]&gt;100000,"Over Budget","OK")</f>
        <v>Over Budget</v>
      </c>
      <c r="I1055" t="str">
        <f>IF(OR(BOQ_Table[[#This Row],[Quantity]]="",BOQ_Table[[#This Row],[Rate]]=""),"Missing","OK")</f>
        <v>OK</v>
      </c>
    </row>
    <row r="1056" spans="1:9" x14ac:dyDescent="0.35">
      <c r="A1056" t="s">
        <v>1080</v>
      </c>
      <c r="B1056" t="s">
        <v>40</v>
      </c>
      <c r="C1056" t="s">
        <v>12</v>
      </c>
      <c r="D1056">
        <v>409.76</v>
      </c>
      <c r="E1056" t="s">
        <v>27</v>
      </c>
      <c r="F1056">
        <v>4489.2299999999996</v>
      </c>
      <c r="G1056">
        <f t="shared" si="18"/>
        <v>1839506.8847999999</v>
      </c>
      <c r="H1056" t="str">
        <f>IF(BOQ_Table[[#This Row],[Amount]]&gt;100000,"Over Budget","OK")</f>
        <v>Over Budget</v>
      </c>
      <c r="I1056" t="str">
        <f>IF(OR(BOQ_Table[[#This Row],[Quantity]]="",BOQ_Table[[#This Row],[Rate]]=""),"Missing","OK")</f>
        <v>OK</v>
      </c>
    </row>
    <row r="1057" spans="1:9" x14ac:dyDescent="0.35">
      <c r="A1057" t="s">
        <v>1081</v>
      </c>
      <c r="B1057" t="s">
        <v>30</v>
      </c>
      <c r="C1057" t="s">
        <v>8</v>
      </c>
      <c r="D1057">
        <v>131.07</v>
      </c>
      <c r="E1057" t="s">
        <v>22</v>
      </c>
      <c r="F1057">
        <v>1223.8699999999999</v>
      </c>
      <c r="G1057">
        <f t="shared" si="18"/>
        <v>160412.64089999997</v>
      </c>
      <c r="H1057" t="str">
        <f>IF(BOQ_Table[[#This Row],[Amount]]&gt;100000,"Over Budget","OK")</f>
        <v>Over Budget</v>
      </c>
      <c r="I1057" t="str">
        <f>IF(OR(BOQ_Table[[#This Row],[Quantity]]="",BOQ_Table[[#This Row],[Rate]]=""),"Missing","OK")</f>
        <v>OK</v>
      </c>
    </row>
    <row r="1058" spans="1:9" x14ac:dyDescent="0.35">
      <c r="A1058" t="s">
        <v>1082</v>
      </c>
      <c r="B1058" t="s">
        <v>16</v>
      </c>
      <c r="C1058" t="s">
        <v>21</v>
      </c>
      <c r="D1058">
        <v>499.64</v>
      </c>
      <c r="E1058" t="s">
        <v>18</v>
      </c>
      <c r="F1058">
        <v>3562.29</v>
      </c>
      <c r="G1058">
        <f t="shared" si="18"/>
        <v>1779862.5755999999</v>
      </c>
      <c r="H1058" t="str">
        <f>IF(BOQ_Table[[#This Row],[Amount]]&gt;100000,"Over Budget","OK")</f>
        <v>Over Budget</v>
      </c>
      <c r="I1058" t="str">
        <f>IF(OR(BOQ_Table[[#This Row],[Quantity]]="",BOQ_Table[[#This Row],[Rate]]=""),"Missing","OK")</f>
        <v>OK</v>
      </c>
    </row>
    <row r="1059" spans="1:9" x14ac:dyDescent="0.35">
      <c r="A1059" t="s">
        <v>1083</v>
      </c>
      <c r="B1059" t="s">
        <v>42</v>
      </c>
      <c r="C1059" t="s">
        <v>8</v>
      </c>
      <c r="D1059">
        <v>82.15</v>
      </c>
      <c r="E1059" t="s">
        <v>9</v>
      </c>
      <c r="F1059">
        <v>741.17</v>
      </c>
      <c r="G1059">
        <f t="shared" si="18"/>
        <v>60887.1155</v>
      </c>
      <c r="H1059" t="str">
        <f>IF(BOQ_Table[[#This Row],[Amount]]&gt;100000,"Over Budget","OK")</f>
        <v>OK</v>
      </c>
      <c r="I1059" t="str">
        <f>IF(OR(BOQ_Table[[#This Row],[Quantity]]="",BOQ_Table[[#This Row],[Rate]]=""),"Missing","OK")</f>
        <v>OK</v>
      </c>
    </row>
    <row r="1060" spans="1:9" x14ac:dyDescent="0.35">
      <c r="A1060" t="s">
        <v>1084</v>
      </c>
      <c r="B1060" t="s">
        <v>42</v>
      </c>
      <c r="C1060" t="s">
        <v>8</v>
      </c>
      <c r="D1060">
        <v>314.10000000000002</v>
      </c>
      <c r="E1060" t="s">
        <v>9</v>
      </c>
      <c r="F1060">
        <v>3050.88</v>
      </c>
      <c r="G1060">
        <f t="shared" si="18"/>
        <v>958281.40800000005</v>
      </c>
      <c r="H1060" t="str">
        <f>IF(BOQ_Table[[#This Row],[Amount]]&gt;100000,"Over Budget","OK")</f>
        <v>Over Budget</v>
      </c>
      <c r="I1060" t="str">
        <f>IF(OR(BOQ_Table[[#This Row],[Quantity]]="",BOQ_Table[[#This Row],[Rate]]=""),"Missing","OK")</f>
        <v>OK</v>
      </c>
    </row>
    <row r="1061" spans="1:9" x14ac:dyDescent="0.35">
      <c r="A1061" t="s">
        <v>1085</v>
      </c>
      <c r="B1061" t="s">
        <v>46</v>
      </c>
      <c r="C1061" t="s">
        <v>12</v>
      </c>
      <c r="D1061">
        <v>405.22</v>
      </c>
      <c r="E1061" t="s">
        <v>9</v>
      </c>
      <c r="F1061">
        <v>779.2</v>
      </c>
      <c r="G1061">
        <f t="shared" si="18"/>
        <v>315747.42400000006</v>
      </c>
      <c r="H1061" t="str">
        <f>IF(BOQ_Table[[#This Row],[Amount]]&gt;100000,"Over Budget","OK")</f>
        <v>Over Budget</v>
      </c>
      <c r="I1061" t="str">
        <f>IF(OR(BOQ_Table[[#This Row],[Quantity]]="",BOQ_Table[[#This Row],[Rate]]=""),"Missing","OK")</f>
        <v>OK</v>
      </c>
    </row>
    <row r="1062" spans="1:9" x14ac:dyDescent="0.35">
      <c r="A1062" t="s">
        <v>1086</v>
      </c>
      <c r="B1062" t="s">
        <v>42</v>
      </c>
      <c r="C1062" t="s">
        <v>38</v>
      </c>
      <c r="D1062">
        <v>380.06</v>
      </c>
      <c r="E1062" t="s">
        <v>27</v>
      </c>
      <c r="F1062">
        <v>743.48</v>
      </c>
      <c r="G1062">
        <f t="shared" si="18"/>
        <v>282567.00880000001</v>
      </c>
      <c r="H1062" t="str">
        <f>IF(BOQ_Table[[#This Row],[Amount]]&gt;100000,"Over Budget","OK")</f>
        <v>Over Budget</v>
      </c>
      <c r="I1062" t="str">
        <f>IF(OR(BOQ_Table[[#This Row],[Quantity]]="",BOQ_Table[[#This Row],[Rate]]=""),"Missing","OK")</f>
        <v>OK</v>
      </c>
    </row>
    <row r="1063" spans="1:9" x14ac:dyDescent="0.35">
      <c r="A1063" t="s">
        <v>1087</v>
      </c>
      <c r="B1063" t="s">
        <v>16</v>
      </c>
      <c r="C1063" t="s">
        <v>21</v>
      </c>
      <c r="D1063">
        <v>392.01</v>
      </c>
      <c r="E1063" t="s">
        <v>22</v>
      </c>
      <c r="F1063">
        <v>646.35</v>
      </c>
      <c r="G1063">
        <f t="shared" si="18"/>
        <v>253375.6635</v>
      </c>
      <c r="H1063" t="str">
        <f>IF(BOQ_Table[[#This Row],[Amount]]&gt;100000,"Over Budget","OK")</f>
        <v>Over Budget</v>
      </c>
      <c r="I1063" t="str">
        <f>IF(OR(BOQ_Table[[#This Row],[Quantity]]="",BOQ_Table[[#This Row],[Rate]]=""),"Missing","OK")</f>
        <v>OK</v>
      </c>
    </row>
    <row r="1064" spans="1:9" x14ac:dyDescent="0.35">
      <c r="A1064" t="s">
        <v>1088</v>
      </c>
      <c r="B1064" t="s">
        <v>7</v>
      </c>
      <c r="C1064" t="s">
        <v>38</v>
      </c>
      <c r="D1064">
        <v>211.24</v>
      </c>
      <c r="E1064" t="s">
        <v>27</v>
      </c>
      <c r="F1064">
        <v>1496.3</v>
      </c>
      <c r="G1064">
        <f t="shared" si="18"/>
        <v>316078.41200000001</v>
      </c>
      <c r="H1064" t="str">
        <f>IF(BOQ_Table[[#This Row],[Amount]]&gt;100000,"Over Budget","OK")</f>
        <v>Over Budget</v>
      </c>
      <c r="I1064" t="str">
        <f>IF(OR(BOQ_Table[[#This Row],[Quantity]]="",BOQ_Table[[#This Row],[Rate]]=""),"Missing","OK")</f>
        <v>OK</v>
      </c>
    </row>
    <row r="1065" spans="1:9" x14ac:dyDescent="0.35">
      <c r="A1065" t="s">
        <v>1089</v>
      </c>
      <c r="B1065" t="s">
        <v>56</v>
      </c>
      <c r="C1065" t="s">
        <v>21</v>
      </c>
      <c r="D1065">
        <v>328.33</v>
      </c>
      <c r="E1065" t="s">
        <v>14</v>
      </c>
      <c r="F1065">
        <v>4373.6499999999996</v>
      </c>
      <c r="G1065">
        <f t="shared" si="18"/>
        <v>1436000.5044999998</v>
      </c>
      <c r="H1065" t="str">
        <f>IF(BOQ_Table[[#This Row],[Amount]]&gt;100000,"Over Budget","OK")</f>
        <v>Over Budget</v>
      </c>
      <c r="I1065" t="str">
        <f>IF(OR(BOQ_Table[[#This Row],[Quantity]]="",BOQ_Table[[#This Row],[Rate]]=""),"Missing","OK")</f>
        <v>OK</v>
      </c>
    </row>
    <row r="1066" spans="1:9" x14ac:dyDescent="0.35">
      <c r="A1066" t="s">
        <v>1090</v>
      </c>
      <c r="B1066" t="s">
        <v>56</v>
      </c>
      <c r="C1066" t="s">
        <v>17</v>
      </c>
      <c r="D1066">
        <v>356.88</v>
      </c>
      <c r="E1066" t="s">
        <v>14</v>
      </c>
      <c r="F1066">
        <v>1797.8</v>
      </c>
      <c r="G1066">
        <f t="shared" si="18"/>
        <v>641598.86399999994</v>
      </c>
      <c r="H1066" t="str">
        <f>IF(BOQ_Table[[#This Row],[Amount]]&gt;100000,"Over Budget","OK")</f>
        <v>Over Budget</v>
      </c>
      <c r="I1066" t="str">
        <f>IF(OR(BOQ_Table[[#This Row],[Quantity]]="",BOQ_Table[[#This Row],[Rate]]=""),"Missing","OK")</f>
        <v>OK</v>
      </c>
    </row>
    <row r="1067" spans="1:9" x14ac:dyDescent="0.35">
      <c r="A1067" t="s">
        <v>1091</v>
      </c>
      <c r="B1067" t="s">
        <v>42</v>
      </c>
      <c r="C1067" t="s">
        <v>21</v>
      </c>
      <c r="D1067">
        <v>425.4</v>
      </c>
      <c r="E1067" t="s">
        <v>9</v>
      </c>
      <c r="F1067">
        <v>510.69</v>
      </c>
      <c r="G1067">
        <f t="shared" si="18"/>
        <v>217247.52599999998</v>
      </c>
      <c r="H1067" t="str">
        <f>IF(BOQ_Table[[#This Row],[Amount]]&gt;100000,"Over Budget","OK")</f>
        <v>Over Budget</v>
      </c>
      <c r="I1067" t="str">
        <f>IF(OR(BOQ_Table[[#This Row],[Quantity]]="",BOQ_Table[[#This Row],[Rate]]=""),"Missing","OK")</f>
        <v>OK</v>
      </c>
    </row>
    <row r="1068" spans="1:9" x14ac:dyDescent="0.35">
      <c r="A1068" t="s">
        <v>1092</v>
      </c>
      <c r="B1068" t="s">
        <v>7</v>
      </c>
      <c r="C1068" t="s">
        <v>17</v>
      </c>
      <c r="D1068">
        <v>211.78</v>
      </c>
      <c r="E1068" t="s">
        <v>27</v>
      </c>
      <c r="F1068">
        <v>1967.18</v>
      </c>
      <c r="G1068">
        <f t="shared" si="18"/>
        <v>416609.38040000002</v>
      </c>
      <c r="H1068" t="str">
        <f>IF(BOQ_Table[[#This Row],[Amount]]&gt;100000,"Over Budget","OK")</f>
        <v>Over Budget</v>
      </c>
      <c r="I1068" t="str">
        <f>IF(OR(BOQ_Table[[#This Row],[Quantity]]="",BOQ_Table[[#This Row],[Rate]]=""),"Missing","OK")</f>
        <v>OK</v>
      </c>
    </row>
    <row r="1069" spans="1:9" x14ac:dyDescent="0.35">
      <c r="A1069" t="s">
        <v>1093</v>
      </c>
      <c r="B1069" t="s">
        <v>46</v>
      </c>
      <c r="C1069" t="s">
        <v>38</v>
      </c>
      <c r="D1069">
        <v>340.21</v>
      </c>
      <c r="E1069" t="s">
        <v>22</v>
      </c>
      <c r="F1069">
        <v>3082.25</v>
      </c>
      <c r="G1069">
        <f t="shared" si="18"/>
        <v>1048612.2725</v>
      </c>
      <c r="H1069" t="str">
        <f>IF(BOQ_Table[[#This Row],[Amount]]&gt;100000,"Over Budget","OK")</f>
        <v>Over Budget</v>
      </c>
      <c r="I1069" t="str">
        <f>IF(OR(BOQ_Table[[#This Row],[Quantity]]="",BOQ_Table[[#This Row],[Rate]]=""),"Missing","OK")</f>
        <v>OK</v>
      </c>
    </row>
    <row r="1070" spans="1:9" x14ac:dyDescent="0.35">
      <c r="A1070" t="s">
        <v>1094</v>
      </c>
      <c r="B1070" t="s">
        <v>32</v>
      </c>
      <c r="C1070" t="s">
        <v>12</v>
      </c>
      <c r="D1070">
        <v>39.78</v>
      </c>
      <c r="E1070" t="s">
        <v>14</v>
      </c>
      <c r="F1070">
        <v>1071.07</v>
      </c>
      <c r="G1070">
        <f t="shared" si="18"/>
        <v>42607.164599999996</v>
      </c>
      <c r="H1070" t="str">
        <f>IF(BOQ_Table[[#This Row],[Amount]]&gt;100000,"Over Budget","OK")</f>
        <v>OK</v>
      </c>
      <c r="I1070" t="str">
        <f>IF(OR(BOQ_Table[[#This Row],[Quantity]]="",BOQ_Table[[#This Row],[Rate]]=""),"Missing","OK")</f>
        <v>OK</v>
      </c>
    </row>
    <row r="1071" spans="1:9" x14ac:dyDescent="0.35">
      <c r="A1071" t="s">
        <v>1095</v>
      </c>
      <c r="B1071" t="s">
        <v>40</v>
      </c>
      <c r="C1071" t="s">
        <v>38</v>
      </c>
      <c r="D1071">
        <v>384.84</v>
      </c>
      <c r="E1071" t="s">
        <v>18</v>
      </c>
      <c r="F1071">
        <v>4151.91</v>
      </c>
      <c r="G1071">
        <f t="shared" si="18"/>
        <v>1597821.0443999998</v>
      </c>
      <c r="H1071" t="str">
        <f>IF(BOQ_Table[[#This Row],[Amount]]&gt;100000,"Over Budget","OK")</f>
        <v>Over Budget</v>
      </c>
      <c r="I1071" t="str">
        <f>IF(OR(BOQ_Table[[#This Row],[Quantity]]="",BOQ_Table[[#This Row],[Rate]]=""),"Missing","OK")</f>
        <v>OK</v>
      </c>
    </row>
    <row r="1072" spans="1:9" x14ac:dyDescent="0.35">
      <c r="A1072" t="s">
        <v>1096</v>
      </c>
      <c r="B1072" t="s">
        <v>42</v>
      </c>
      <c r="C1072" t="s">
        <v>38</v>
      </c>
      <c r="D1072">
        <v>220.54</v>
      </c>
      <c r="E1072" t="s">
        <v>9</v>
      </c>
      <c r="F1072">
        <v>4458.1899999999996</v>
      </c>
      <c r="G1072">
        <f t="shared" si="18"/>
        <v>983209.22259999986</v>
      </c>
      <c r="H1072" t="str">
        <f>IF(BOQ_Table[[#This Row],[Amount]]&gt;100000,"Over Budget","OK")</f>
        <v>Over Budget</v>
      </c>
      <c r="I1072" t="str">
        <f>IF(OR(BOQ_Table[[#This Row],[Quantity]]="",BOQ_Table[[#This Row],[Rate]]=""),"Missing","OK")</f>
        <v>OK</v>
      </c>
    </row>
    <row r="1073" spans="1:9" x14ac:dyDescent="0.35">
      <c r="A1073" t="s">
        <v>1097</v>
      </c>
      <c r="B1073" t="s">
        <v>16</v>
      </c>
      <c r="C1073" t="s">
        <v>12</v>
      </c>
      <c r="D1073">
        <v>34.119999999999997</v>
      </c>
      <c r="E1073" t="s">
        <v>22</v>
      </c>
      <c r="F1073">
        <v>2746.03</v>
      </c>
      <c r="G1073">
        <f t="shared" si="18"/>
        <v>93694.543600000005</v>
      </c>
      <c r="H1073" t="str">
        <f>IF(BOQ_Table[[#This Row],[Amount]]&gt;100000,"Over Budget","OK")</f>
        <v>OK</v>
      </c>
      <c r="I1073" t="str">
        <f>IF(OR(BOQ_Table[[#This Row],[Quantity]]="",BOQ_Table[[#This Row],[Rate]]=""),"Missing","OK")</f>
        <v>OK</v>
      </c>
    </row>
    <row r="1074" spans="1:9" x14ac:dyDescent="0.35">
      <c r="A1074" t="s">
        <v>1098</v>
      </c>
      <c r="B1074" t="s">
        <v>30</v>
      </c>
      <c r="C1074" t="s">
        <v>17</v>
      </c>
      <c r="D1074">
        <v>176.76</v>
      </c>
      <c r="E1074" t="s">
        <v>27</v>
      </c>
      <c r="F1074">
        <v>2024.84</v>
      </c>
      <c r="G1074">
        <f t="shared" si="18"/>
        <v>357910.71839999995</v>
      </c>
      <c r="H1074" t="str">
        <f>IF(BOQ_Table[[#This Row],[Amount]]&gt;100000,"Over Budget","OK")</f>
        <v>Over Budget</v>
      </c>
      <c r="I1074" t="str">
        <f>IF(OR(BOQ_Table[[#This Row],[Quantity]]="",BOQ_Table[[#This Row],[Rate]]=""),"Missing","OK")</f>
        <v>OK</v>
      </c>
    </row>
    <row r="1075" spans="1:9" x14ac:dyDescent="0.35">
      <c r="A1075" t="s">
        <v>1099</v>
      </c>
      <c r="B1075" t="s">
        <v>56</v>
      </c>
      <c r="C1075" t="s">
        <v>12</v>
      </c>
      <c r="D1075">
        <v>247.03</v>
      </c>
      <c r="E1075" t="s">
        <v>18</v>
      </c>
      <c r="F1075">
        <v>2076.6999999999998</v>
      </c>
      <c r="G1075">
        <f t="shared" si="18"/>
        <v>513007.20099999994</v>
      </c>
      <c r="H1075" t="str">
        <f>IF(BOQ_Table[[#This Row],[Amount]]&gt;100000,"Over Budget","OK")</f>
        <v>Over Budget</v>
      </c>
      <c r="I1075" t="str">
        <f>IF(OR(BOQ_Table[[#This Row],[Quantity]]="",BOQ_Table[[#This Row],[Rate]]=""),"Missing","OK")</f>
        <v>OK</v>
      </c>
    </row>
    <row r="1076" spans="1:9" x14ac:dyDescent="0.35">
      <c r="A1076" t="s">
        <v>1100</v>
      </c>
      <c r="B1076" t="s">
        <v>56</v>
      </c>
      <c r="C1076" t="s">
        <v>38</v>
      </c>
      <c r="D1076">
        <v>287.04000000000002</v>
      </c>
      <c r="E1076" t="s">
        <v>9</v>
      </c>
      <c r="F1076">
        <v>204.92</v>
      </c>
      <c r="G1076">
        <f t="shared" si="18"/>
        <v>58820.236799999999</v>
      </c>
      <c r="H1076" t="str">
        <f>IF(BOQ_Table[[#This Row],[Amount]]&gt;100000,"Over Budget","OK")</f>
        <v>OK</v>
      </c>
      <c r="I1076" t="str">
        <f>IF(OR(BOQ_Table[[#This Row],[Quantity]]="",BOQ_Table[[#This Row],[Rate]]=""),"Missing","OK")</f>
        <v>OK</v>
      </c>
    </row>
    <row r="1077" spans="1:9" x14ac:dyDescent="0.35">
      <c r="A1077" t="s">
        <v>1101</v>
      </c>
      <c r="B1077" t="s">
        <v>30</v>
      </c>
      <c r="C1077" t="s">
        <v>17</v>
      </c>
      <c r="D1077">
        <v>450.52</v>
      </c>
      <c r="E1077" t="s">
        <v>22</v>
      </c>
      <c r="F1077">
        <v>2202.7600000000002</v>
      </c>
      <c r="G1077">
        <f t="shared" si="18"/>
        <v>992387.43520000007</v>
      </c>
      <c r="H1077" t="str">
        <f>IF(BOQ_Table[[#This Row],[Amount]]&gt;100000,"Over Budget","OK")</f>
        <v>Over Budget</v>
      </c>
      <c r="I1077" t="str">
        <f>IF(OR(BOQ_Table[[#This Row],[Quantity]]="",BOQ_Table[[#This Row],[Rate]]=""),"Missing","OK")</f>
        <v>OK</v>
      </c>
    </row>
    <row r="1078" spans="1:9" x14ac:dyDescent="0.35">
      <c r="A1078" t="s">
        <v>1102</v>
      </c>
      <c r="B1078" t="s">
        <v>30</v>
      </c>
      <c r="C1078" t="s">
        <v>8</v>
      </c>
      <c r="D1078">
        <v>364.45</v>
      </c>
      <c r="E1078" t="s">
        <v>22</v>
      </c>
      <c r="F1078">
        <v>2150.13</v>
      </c>
      <c r="G1078">
        <f t="shared" si="18"/>
        <v>783614.87849999999</v>
      </c>
      <c r="H1078" t="str">
        <f>IF(BOQ_Table[[#This Row],[Amount]]&gt;100000,"Over Budget","OK")</f>
        <v>Over Budget</v>
      </c>
      <c r="I1078" t="str">
        <f>IF(OR(BOQ_Table[[#This Row],[Quantity]]="",BOQ_Table[[#This Row],[Rate]]=""),"Missing","OK")</f>
        <v>OK</v>
      </c>
    </row>
    <row r="1079" spans="1:9" x14ac:dyDescent="0.35">
      <c r="A1079" t="s">
        <v>1103</v>
      </c>
      <c r="B1079" t="s">
        <v>7</v>
      </c>
      <c r="C1079" t="s">
        <v>12</v>
      </c>
      <c r="D1079">
        <v>337.9</v>
      </c>
      <c r="E1079" t="s">
        <v>27</v>
      </c>
      <c r="F1079">
        <v>701.15</v>
      </c>
      <c r="G1079">
        <f t="shared" si="18"/>
        <v>236918.58499999996</v>
      </c>
      <c r="H1079" t="str">
        <f>IF(BOQ_Table[[#This Row],[Amount]]&gt;100000,"Over Budget","OK")</f>
        <v>Over Budget</v>
      </c>
      <c r="I1079" t="str">
        <f>IF(OR(BOQ_Table[[#This Row],[Quantity]]="",BOQ_Table[[#This Row],[Rate]]=""),"Missing","OK")</f>
        <v>OK</v>
      </c>
    </row>
    <row r="1080" spans="1:9" x14ac:dyDescent="0.35">
      <c r="A1080" t="s">
        <v>1104</v>
      </c>
      <c r="B1080" t="s">
        <v>42</v>
      </c>
      <c r="C1080" t="s">
        <v>17</v>
      </c>
      <c r="D1080">
        <v>46.71</v>
      </c>
      <c r="E1080" t="s">
        <v>9</v>
      </c>
      <c r="F1080">
        <v>2611.77</v>
      </c>
      <c r="G1080">
        <f t="shared" si="18"/>
        <v>121995.7767</v>
      </c>
      <c r="H1080" t="str">
        <f>IF(BOQ_Table[[#This Row],[Amount]]&gt;100000,"Over Budget","OK")</f>
        <v>Over Budget</v>
      </c>
      <c r="I1080" t="str">
        <f>IF(OR(BOQ_Table[[#This Row],[Quantity]]="",BOQ_Table[[#This Row],[Rate]]=""),"Missing","OK")</f>
        <v>OK</v>
      </c>
    </row>
    <row r="1081" spans="1:9" x14ac:dyDescent="0.35">
      <c r="A1081" t="s">
        <v>1105</v>
      </c>
      <c r="B1081" t="s">
        <v>40</v>
      </c>
      <c r="C1081" t="s">
        <v>17</v>
      </c>
      <c r="D1081">
        <v>58</v>
      </c>
      <c r="E1081" t="s">
        <v>27</v>
      </c>
      <c r="F1081">
        <v>361.07</v>
      </c>
      <c r="G1081">
        <f t="shared" si="18"/>
        <v>20942.060000000001</v>
      </c>
      <c r="H1081" t="str">
        <f>IF(BOQ_Table[[#This Row],[Amount]]&gt;100000,"Over Budget","OK")</f>
        <v>OK</v>
      </c>
      <c r="I1081" t="str">
        <f>IF(OR(BOQ_Table[[#This Row],[Quantity]]="",BOQ_Table[[#This Row],[Rate]]=""),"Missing","OK")</f>
        <v>OK</v>
      </c>
    </row>
    <row r="1082" spans="1:9" x14ac:dyDescent="0.35">
      <c r="A1082" t="s">
        <v>1106</v>
      </c>
      <c r="B1082" t="s">
        <v>7</v>
      </c>
      <c r="C1082" t="s">
        <v>21</v>
      </c>
      <c r="D1082">
        <v>358.37</v>
      </c>
      <c r="E1082" t="s">
        <v>27</v>
      </c>
      <c r="F1082">
        <v>4443.41</v>
      </c>
      <c r="G1082">
        <f t="shared" si="18"/>
        <v>1592384.8417</v>
      </c>
      <c r="H1082" t="str">
        <f>IF(BOQ_Table[[#This Row],[Amount]]&gt;100000,"Over Budget","OK")</f>
        <v>Over Budget</v>
      </c>
      <c r="I1082" t="str">
        <f>IF(OR(BOQ_Table[[#This Row],[Quantity]]="",BOQ_Table[[#This Row],[Rate]]=""),"Missing","OK")</f>
        <v>OK</v>
      </c>
    </row>
    <row r="1083" spans="1:9" x14ac:dyDescent="0.35">
      <c r="A1083" t="s">
        <v>1107</v>
      </c>
      <c r="B1083" t="s">
        <v>20</v>
      </c>
      <c r="C1083" t="s">
        <v>21</v>
      </c>
      <c r="D1083">
        <v>376.52</v>
      </c>
      <c r="E1083" t="s">
        <v>27</v>
      </c>
      <c r="F1083">
        <v>4626.1400000000003</v>
      </c>
      <c r="G1083">
        <f t="shared" si="18"/>
        <v>1741834.2328000001</v>
      </c>
      <c r="H1083" t="str">
        <f>IF(BOQ_Table[[#This Row],[Amount]]&gt;100000,"Over Budget","OK")</f>
        <v>Over Budget</v>
      </c>
      <c r="I1083" t="str">
        <f>IF(OR(BOQ_Table[[#This Row],[Quantity]]="",BOQ_Table[[#This Row],[Rate]]=""),"Missing","OK")</f>
        <v>OK</v>
      </c>
    </row>
    <row r="1084" spans="1:9" x14ac:dyDescent="0.35">
      <c r="A1084" t="s">
        <v>1108</v>
      </c>
      <c r="B1084" t="s">
        <v>32</v>
      </c>
      <c r="C1084" t="s">
        <v>12</v>
      </c>
      <c r="D1084">
        <v>14.44</v>
      </c>
      <c r="E1084" t="s">
        <v>18</v>
      </c>
      <c r="F1084">
        <v>3377.14</v>
      </c>
      <c r="G1084">
        <f t="shared" si="18"/>
        <v>48765.901599999997</v>
      </c>
      <c r="H1084" t="str">
        <f>IF(BOQ_Table[[#This Row],[Amount]]&gt;100000,"Over Budget","OK")</f>
        <v>OK</v>
      </c>
      <c r="I1084" t="str">
        <f>IF(OR(BOQ_Table[[#This Row],[Quantity]]="",BOQ_Table[[#This Row],[Rate]]=""),"Missing","OK")</f>
        <v>OK</v>
      </c>
    </row>
    <row r="1085" spans="1:9" x14ac:dyDescent="0.35">
      <c r="A1085" t="s">
        <v>1109</v>
      </c>
      <c r="B1085" t="s">
        <v>32</v>
      </c>
      <c r="C1085" t="s">
        <v>21</v>
      </c>
      <c r="D1085">
        <v>21.04</v>
      </c>
      <c r="E1085" t="s">
        <v>14</v>
      </c>
      <c r="F1085">
        <v>1560.45</v>
      </c>
      <c r="G1085">
        <f t="shared" si="18"/>
        <v>32831.868000000002</v>
      </c>
      <c r="H1085" t="str">
        <f>IF(BOQ_Table[[#This Row],[Amount]]&gt;100000,"Over Budget","OK")</f>
        <v>OK</v>
      </c>
      <c r="I1085" t="str">
        <f>IF(OR(BOQ_Table[[#This Row],[Quantity]]="",BOQ_Table[[#This Row],[Rate]]=""),"Missing","OK")</f>
        <v>OK</v>
      </c>
    </row>
    <row r="1086" spans="1:9" x14ac:dyDescent="0.35">
      <c r="A1086" t="s">
        <v>1110</v>
      </c>
      <c r="B1086" t="s">
        <v>56</v>
      </c>
      <c r="C1086" t="s">
        <v>12</v>
      </c>
      <c r="D1086">
        <v>192.81</v>
      </c>
      <c r="E1086" t="s">
        <v>27</v>
      </c>
      <c r="F1086">
        <v>4454.0200000000004</v>
      </c>
      <c r="G1086">
        <f t="shared" si="18"/>
        <v>858779.59620000015</v>
      </c>
      <c r="H1086" t="str">
        <f>IF(BOQ_Table[[#This Row],[Amount]]&gt;100000,"Over Budget","OK")</f>
        <v>Over Budget</v>
      </c>
      <c r="I1086" t="str">
        <f>IF(OR(BOQ_Table[[#This Row],[Quantity]]="",BOQ_Table[[#This Row],[Rate]]=""),"Missing","OK")</f>
        <v>OK</v>
      </c>
    </row>
    <row r="1087" spans="1:9" x14ac:dyDescent="0.35">
      <c r="A1087" t="s">
        <v>1111</v>
      </c>
      <c r="B1087" t="s">
        <v>20</v>
      </c>
      <c r="C1087" t="s">
        <v>12</v>
      </c>
      <c r="D1087">
        <v>213.88</v>
      </c>
      <c r="E1087" t="s">
        <v>27</v>
      </c>
      <c r="F1087">
        <v>139.9</v>
      </c>
      <c r="G1087">
        <f t="shared" si="18"/>
        <v>29921.812000000002</v>
      </c>
      <c r="H1087" t="str">
        <f>IF(BOQ_Table[[#This Row],[Amount]]&gt;100000,"Over Budget","OK")</f>
        <v>OK</v>
      </c>
      <c r="I1087" t="str">
        <f>IF(OR(BOQ_Table[[#This Row],[Quantity]]="",BOQ_Table[[#This Row],[Rate]]=""),"Missing","OK")</f>
        <v>OK</v>
      </c>
    </row>
    <row r="1088" spans="1:9" x14ac:dyDescent="0.35">
      <c r="A1088" t="s">
        <v>1112</v>
      </c>
      <c r="B1088" t="s">
        <v>42</v>
      </c>
      <c r="C1088" t="s">
        <v>17</v>
      </c>
      <c r="D1088">
        <v>78.650000000000006</v>
      </c>
      <c r="E1088" t="s">
        <v>9</v>
      </c>
      <c r="F1088">
        <v>3636.21</v>
      </c>
      <c r="G1088">
        <f t="shared" si="18"/>
        <v>285987.91650000005</v>
      </c>
      <c r="H1088" t="str">
        <f>IF(BOQ_Table[[#This Row],[Amount]]&gt;100000,"Over Budget","OK")</f>
        <v>Over Budget</v>
      </c>
      <c r="I1088" t="str">
        <f>IF(OR(BOQ_Table[[#This Row],[Quantity]]="",BOQ_Table[[#This Row],[Rate]]=""),"Missing","OK")</f>
        <v>OK</v>
      </c>
    </row>
    <row r="1089" spans="1:9" x14ac:dyDescent="0.35">
      <c r="A1089" t="s">
        <v>1113</v>
      </c>
      <c r="B1089" t="s">
        <v>16</v>
      </c>
      <c r="C1089" t="s">
        <v>12</v>
      </c>
      <c r="D1089">
        <v>115.08</v>
      </c>
      <c r="E1089" t="s">
        <v>9</v>
      </c>
      <c r="F1089">
        <v>3299.38</v>
      </c>
      <c r="G1089">
        <f t="shared" si="18"/>
        <v>379692.65039999998</v>
      </c>
      <c r="H1089" t="str">
        <f>IF(BOQ_Table[[#This Row],[Amount]]&gt;100000,"Over Budget","OK")</f>
        <v>Over Budget</v>
      </c>
      <c r="I1089" t="str">
        <f>IF(OR(BOQ_Table[[#This Row],[Quantity]]="",BOQ_Table[[#This Row],[Rate]]=""),"Missing","OK")</f>
        <v>OK</v>
      </c>
    </row>
    <row r="1090" spans="1:9" x14ac:dyDescent="0.35">
      <c r="A1090" t="s">
        <v>1114</v>
      </c>
      <c r="B1090" t="s">
        <v>32</v>
      </c>
      <c r="C1090" t="s">
        <v>8</v>
      </c>
      <c r="D1090">
        <v>467.77</v>
      </c>
      <c r="E1090" t="s">
        <v>9</v>
      </c>
      <c r="F1090">
        <v>3237.62</v>
      </c>
      <c r="G1090">
        <f t="shared" ref="G1090:G1153" si="19">D1090*F1090</f>
        <v>1514461.5074</v>
      </c>
      <c r="H1090" t="str">
        <f>IF(BOQ_Table[[#This Row],[Amount]]&gt;100000,"Over Budget","OK")</f>
        <v>Over Budget</v>
      </c>
      <c r="I1090" t="str">
        <f>IF(OR(BOQ_Table[[#This Row],[Quantity]]="",BOQ_Table[[#This Row],[Rate]]=""),"Missing","OK")</f>
        <v>OK</v>
      </c>
    </row>
    <row r="1091" spans="1:9" x14ac:dyDescent="0.35">
      <c r="A1091" t="s">
        <v>1115</v>
      </c>
      <c r="B1091" t="s">
        <v>20</v>
      </c>
      <c r="C1091" t="s">
        <v>12</v>
      </c>
      <c r="D1091">
        <v>66.260000000000005</v>
      </c>
      <c r="E1091" t="s">
        <v>22</v>
      </c>
      <c r="F1091">
        <v>2523.56</v>
      </c>
      <c r="G1091">
        <f t="shared" si="19"/>
        <v>167211.08560000002</v>
      </c>
      <c r="H1091" t="str">
        <f>IF(BOQ_Table[[#This Row],[Amount]]&gt;100000,"Over Budget","OK")</f>
        <v>Over Budget</v>
      </c>
      <c r="I1091" t="str">
        <f>IF(OR(BOQ_Table[[#This Row],[Quantity]]="",BOQ_Table[[#This Row],[Rate]]=""),"Missing","OK")</f>
        <v>OK</v>
      </c>
    </row>
    <row r="1092" spans="1:9" x14ac:dyDescent="0.35">
      <c r="A1092" t="s">
        <v>1116</v>
      </c>
      <c r="B1092" t="s">
        <v>20</v>
      </c>
      <c r="C1092" t="s">
        <v>17</v>
      </c>
      <c r="D1092">
        <v>64.64</v>
      </c>
      <c r="E1092" t="s">
        <v>27</v>
      </c>
      <c r="F1092">
        <v>4625.32</v>
      </c>
      <c r="G1092">
        <f t="shared" si="19"/>
        <v>298980.68479999999</v>
      </c>
      <c r="H1092" t="str">
        <f>IF(BOQ_Table[[#This Row],[Amount]]&gt;100000,"Over Budget","OK")</f>
        <v>Over Budget</v>
      </c>
      <c r="I1092" t="str">
        <f>IF(OR(BOQ_Table[[#This Row],[Quantity]]="",BOQ_Table[[#This Row],[Rate]]=""),"Missing","OK")</f>
        <v>OK</v>
      </c>
    </row>
    <row r="1093" spans="1:9" x14ac:dyDescent="0.35">
      <c r="A1093" t="s">
        <v>1117</v>
      </c>
      <c r="B1093" t="s">
        <v>32</v>
      </c>
      <c r="C1093" t="s">
        <v>17</v>
      </c>
      <c r="D1093">
        <v>77.22</v>
      </c>
      <c r="E1093" t="s">
        <v>9</v>
      </c>
      <c r="F1093">
        <v>4072.01</v>
      </c>
      <c r="G1093">
        <f t="shared" si="19"/>
        <v>314440.61220000003</v>
      </c>
      <c r="H1093" t="str">
        <f>IF(BOQ_Table[[#This Row],[Amount]]&gt;100000,"Over Budget","OK")</f>
        <v>Over Budget</v>
      </c>
      <c r="I1093" t="str">
        <f>IF(OR(BOQ_Table[[#This Row],[Quantity]]="",BOQ_Table[[#This Row],[Rate]]=""),"Missing","OK")</f>
        <v>OK</v>
      </c>
    </row>
    <row r="1094" spans="1:9" x14ac:dyDescent="0.35">
      <c r="A1094" t="s">
        <v>1118</v>
      </c>
      <c r="B1094" t="s">
        <v>32</v>
      </c>
      <c r="C1094" t="s">
        <v>17</v>
      </c>
      <c r="D1094">
        <v>142.88999999999999</v>
      </c>
      <c r="E1094" t="s">
        <v>22</v>
      </c>
      <c r="F1094">
        <v>1971.97</v>
      </c>
      <c r="G1094">
        <f t="shared" si="19"/>
        <v>281774.79329999996</v>
      </c>
      <c r="H1094" t="str">
        <f>IF(BOQ_Table[[#This Row],[Amount]]&gt;100000,"Over Budget","OK")</f>
        <v>Over Budget</v>
      </c>
      <c r="I1094" t="str">
        <f>IF(OR(BOQ_Table[[#This Row],[Quantity]]="",BOQ_Table[[#This Row],[Rate]]=""),"Missing","OK")</f>
        <v>OK</v>
      </c>
    </row>
    <row r="1095" spans="1:9" x14ac:dyDescent="0.35">
      <c r="A1095" t="s">
        <v>1119</v>
      </c>
      <c r="B1095" t="s">
        <v>46</v>
      </c>
      <c r="C1095" t="s">
        <v>12</v>
      </c>
      <c r="D1095">
        <v>24.9</v>
      </c>
      <c r="E1095" t="s">
        <v>18</v>
      </c>
      <c r="F1095">
        <v>1877.19</v>
      </c>
      <c r="G1095">
        <f t="shared" si="19"/>
        <v>46742.030999999995</v>
      </c>
      <c r="H1095" t="str">
        <f>IF(BOQ_Table[[#This Row],[Amount]]&gt;100000,"Over Budget","OK")</f>
        <v>OK</v>
      </c>
      <c r="I1095" t="str">
        <f>IF(OR(BOQ_Table[[#This Row],[Quantity]]="",BOQ_Table[[#This Row],[Rate]]=""),"Missing","OK")</f>
        <v>OK</v>
      </c>
    </row>
    <row r="1096" spans="1:9" x14ac:dyDescent="0.35">
      <c r="A1096" t="s">
        <v>1120</v>
      </c>
      <c r="B1096" t="s">
        <v>42</v>
      </c>
      <c r="C1096" t="s">
        <v>17</v>
      </c>
      <c r="D1096">
        <v>431.26</v>
      </c>
      <c r="E1096" t="s">
        <v>22</v>
      </c>
      <c r="F1096">
        <v>2482.96</v>
      </c>
      <c r="G1096">
        <f t="shared" si="19"/>
        <v>1070801.3296000001</v>
      </c>
      <c r="H1096" t="str">
        <f>IF(BOQ_Table[[#This Row],[Amount]]&gt;100000,"Over Budget","OK")</f>
        <v>Over Budget</v>
      </c>
      <c r="I1096" t="str">
        <f>IF(OR(BOQ_Table[[#This Row],[Quantity]]="",BOQ_Table[[#This Row],[Rate]]=""),"Missing","OK")</f>
        <v>OK</v>
      </c>
    </row>
    <row r="1097" spans="1:9" x14ac:dyDescent="0.35">
      <c r="A1097" t="s">
        <v>1121</v>
      </c>
      <c r="B1097" t="s">
        <v>56</v>
      </c>
      <c r="C1097" t="s">
        <v>12</v>
      </c>
      <c r="D1097">
        <v>300.75</v>
      </c>
      <c r="E1097" t="s">
        <v>22</v>
      </c>
      <c r="F1097">
        <v>860.85</v>
      </c>
      <c r="G1097">
        <f t="shared" si="19"/>
        <v>258900.63750000001</v>
      </c>
      <c r="H1097" t="str">
        <f>IF(BOQ_Table[[#This Row],[Amount]]&gt;100000,"Over Budget","OK")</f>
        <v>Over Budget</v>
      </c>
      <c r="I1097" t="str">
        <f>IF(OR(BOQ_Table[[#This Row],[Quantity]]="",BOQ_Table[[#This Row],[Rate]]=""),"Missing","OK")</f>
        <v>OK</v>
      </c>
    </row>
    <row r="1098" spans="1:9" x14ac:dyDescent="0.35">
      <c r="A1098" t="s">
        <v>1122</v>
      </c>
      <c r="B1098" t="s">
        <v>42</v>
      </c>
      <c r="C1098" t="s">
        <v>21</v>
      </c>
      <c r="D1098">
        <v>337.37</v>
      </c>
      <c r="E1098" t="s">
        <v>14</v>
      </c>
      <c r="F1098">
        <v>3091.8</v>
      </c>
      <c r="G1098">
        <f t="shared" si="19"/>
        <v>1043080.5660000001</v>
      </c>
      <c r="H1098" t="str">
        <f>IF(BOQ_Table[[#This Row],[Amount]]&gt;100000,"Over Budget","OK")</f>
        <v>Over Budget</v>
      </c>
      <c r="I1098" t="str">
        <f>IF(OR(BOQ_Table[[#This Row],[Quantity]]="",BOQ_Table[[#This Row],[Rate]]=""),"Missing","OK")</f>
        <v>OK</v>
      </c>
    </row>
    <row r="1099" spans="1:9" x14ac:dyDescent="0.35">
      <c r="A1099" t="s">
        <v>1123</v>
      </c>
      <c r="B1099" t="s">
        <v>7</v>
      </c>
      <c r="C1099" t="s">
        <v>12</v>
      </c>
      <c r="D1099">
        <v>134.59</v>
      </c>
      <c r="E1099" t="s">
        <v>22</v>
      </c>
      <c r="F1099">
        <v>4178.76</v>
      </c>
      <c r="G1099">
        <f t="shared" si="19"/>
        <v>562419.3084000001</v>
      </c>
      <c r="H1099" t="str">
        <f>IF(BOQ_Table[[#This Row],[Amount]]&gt;100000,"Over Budget","OK")</f>
        <v>Over Budget</v>
      </c>
      <c r="I1099" t="str">
        <f>IF(OR(BOQ_Table[[#This Row],[Quantity]]="",BOQ_Table[[#This Row],[Rate]]=""),"Missing","OK")</f>
        <v>OK</v>
      </c>
    </row>
    <row r="1100" spans="1:9" x14ac:dyDescent="0.35">
      <c r="A1100" t="s">
        <v>1124</v>
      </c>
      <c r="B1100" t="s">
        <v>40</v>
      </c>
      <c r="C1100" t="s">
        <v>12</v>
      </c>
      <c r="D1100">
        <v>399.86</v>
      </c>
      <c r="E1100" t="s">
        <v>14</v>
      </c>
      <c r="F1100">
        <v>4868.45</v>
      </c>
      <c r="G1100">
        <f t="shared" si="19"/>
        <v>1946698.4169999999</v>
      </c>
      <c r="H1100" t="str">
        <f>IF(BOQ_Table[[#This Row],[Amount]]&gt;100000,"Over Budget","OK")</f>
        <v>Over Budget</v>
      </c>
      <c r="I1100" t="str">
        <f>IF(OR(BOQ_Table[[#This Row],[Quantity]]="",BOQ_Table[[#This Row],[Rate]]=""),"Missing","OK")</f>
        <v>OK</v>
      </c>
    </row>
    <row r="1101" spans="1:9" x14ac:dyDescent="0.35">
      <c r="A1101" t="s">
        <v>1125</v>
      </c>
      <c r="B1101" t="s">
        <v>7</v>
      </c>
      <c r="C1101" t="s">
        <v>38</v>
      </c>
      <c r="D1101">
        <v>318.36</v>
      </c>
      <c r="E1101" t="s">
        <v>18</v>
      </c>
      <c r="F1101">
        <v>2488.23</v>
      </c>
      <c r="G1101">
        <f t="shared" si="19"/>
        <v>792152.90280000004</v>
      </c>
      <c r="H1101" t="str">
        <f>IF(BOQ_Table[[#This Row],[Amount]]&gt;100000,"Over Budget","OK")</f>
        <v>Over Budget</v>
      </c>
      <c r="I1101" t="str">
        <f>IF(OR(BOQ_Table[[#This Row],[Quantity]]="",BOQ_Table[[#This Row],[Rate]]=""),"Missing","OK")</f>
        <v>OK</v>
      </c>
    </row>
    <row r="1102" spans="1:9" x14ac:dyDescent="0.35">
      <c r="A1102" t="s">
        <v>1126</v>
      </c>
      <c r="B1102" t="s">
        <v>7</v>
      </c>
      <c r="C1102" t="s">
        <v>21</v>
      </c>
      <c r="D1102">
        <v>111.38</v>
      </c>
      <c r="E1102" t="s">
        <v>14</v>
      </c>
      <c r="F1102">
        <v>4162.8599999999997</v>
      </c>
      <c r="G1102">
        <f t="shared" si="19"/>
        <v>463659.34679999994</v>
      </c>
      <c r="H1102" t="str">
        <f>IF(BOQ_Table[[#This Row],[Amount]]&gt;100000,"Over Budget","OK")</f>
        <v>Over Budget</v>
      </c>
      <c r="I1102" t="str">
        <f>IF(OR(BOQ_Table[[#This Row],[Quantity]]="",BOQ_Table[[#This Row],[Rate]]=""),"Missing","OK")</f>
        <v>OK</v>
      </c>
    </row>
    <row r="1103" spans="1:9" x14ac:dyDescent="0.35">
      <c r="A1103" t="s">
        <v>1127</v>
      </c>
      <c r="B1103" t="s">
        <v>20</v>
      </c>
      <c r="C1103" t="s">
        <v>38</v>
      </c>
      <c r="D1103">
        <v>403.15</v>
      </c>
      <c r="E1103" t="s">
        <v>14</v>
      </c>
      <c r="F1103">
        <v>2265.48</v>
      </c>
      <c r="G1103">
        <f t="shared" si="19"/>
        <v>913328.26199999999</v>
      </c>
      <c r="H1103" t="str">
        <f>IF(BOQ_Table[[#This Row],[Amount]]&gt;100000,"Over Budget","OK")</f>
        <v>Over Budget</v>
      </c>
      <c r="I1103" t="str">
        <f>IF(OR(BOQ_Table[[#This Row],[Quantity]]="",BOQ_Table[[#This Row],[Rate]]=""),"Missing","OK")</f>
        <v>OK</v>
      </c>
    </row>
    <row r="1104" spans="1:9" x14ac:dyDescent="0.35">
      <c r="A1104" t="s">
        <v>1128</v>
      </c>
      <c r="B1104" t="s">
        <v>11</v>
      </c>
      <c r="C1104" t="s">
        <v>12</v>
      </c>
      <c r="D1104">
        <v>143.02000000000001</v>
      </c>
      <c r="E1104" t="s">
        <v>22</v>
      </c>
      <c r="F1104">
        <v>4100.03</v>
      </c>
      <c r="G1104">
        <f t="shared" si="19"/>
        <v>586386.29059999995</v>
      </c>
      <c r="H1104" t="str">
        <f>IF(BOQ_Table[[#This Row],[Amount]]&gt;100000,"Over Budget","OK")</f>
        <v>Over Budget</v>
      </c>
      <c r="I1104" t="str">
        <f>IF(OR(BOQ_Table[[#This Row],[Quantity]]="",BOQ_Table[[#This Row],[Rate]]=""),"Missing","OK")</f>
        <v>OK</v>
      </c>
    </row>
    <row r="1105" spans="1:9" x14ac:dyDescent="0.35">
      <c r="A1105" t="s">
        <v>1129</v>
      </c>
      <c r="B1105" t="s">
        <v>32</v>
      </c>
      <c r="C1105" t="s">
        <v>12</v>
      </c>
      <c r="D1105">
        <v>413.57</v>
      </c>
      <c r="E1105" t="s">
        <v>22</v>
      </c>
      <c r="F1105">
        <v>2750.5</v>
      </c>
      <c r="G1105">
        <f t="shared" si="19"/>
        <v>1137524.2849999999</v>
      </c>
      <c r="H1105" t="str">
        <f>IF(BOQ_Table[[#This Row],[Amount]]&gt;100000,"Over Budget","OK")</f>
        <v>Over Budget</v>
      </c>
      <c r="I1105" t="str">
        <f>IF(OR(BOQ_Table[[#This Row],[Quantity]]="",BOQ_Table[[#This Row],[Rate]]=""),"Missing","OK")</f>
        <v>OK</v>
      </c>
    </row>
    <row r="1106" spans="1:9" x14ac:dyDescent="0.35">
      <c r="A1106" t="s">
        <v>1130</v>
      </c>
      <c r="B1106" t="s">
        <v>7</v>
      </c>
      <c r="C1106" t="s">
        <v>12</v>
      </c>
      <c r="D1106">
        <v>98.02</v>
      </c>
      <c r="E1106" t="s">
        <v>22</v>
      </c>
      <c r="F1106">
        <v>694.86</v>
      </c>
      <c r="G1106">
        <f t="shared" si="19"/>
        <v>68110.177200000006</v>
      </c>
      <c r="H1106" t="str">
        <f>IF(BOQ_Table[[#This Row],[Amount]]&gt;100000,"Over Budget","OK")</f>
        <v>OK</v>
      </c>
      <c r="I1106" t="str">
        <f>IF(OR(BOQ_Table[[#This Row],[Quantity]]="",BOQ_Table[[#This Row],[Rate]]=""),"Missing","OK")</f>
        <v>OK</v>
      </c>
    </row>
    <row r="1107" spans="1:9" x14ac:dyDescent="0.35">
      <c r="A1107" t="s">
        <v>1131</v>
      </c>
      <c r="B1107" t="s">
        <v>11</v>
      </c>
      <c r="C1107" t="s">
        <v>12</v>
      </c>
      <c r="D1107">
        <v>292.02</v>
      </c>
      <c r="E1107" t="s">
        <v>22</v>
      </c>
      <c r="F1107">
        <v>2286.1799999999998</v>
      </c>
      <c r="G1107">
        <f t="shared" si="19"/>
        <v>667610.28359999997</v>
      </c>
      <c r="H1107" t="str">
        <f>IF(BOQ_Table[[#This Row],[Amount]]&gt;100000,"Over Budget","OK")</f>
        <v>Over Budget</v>
      </c>
      <c r="I1107" t="str">
        <f>IF(OR(BOQ_Table[[#This Row],[Quantity]]="",BOQ_Table[[#This Row],[Rate]]=""),"Missing","OK")</f>
        <v>OK</v>
      </c>
    </row>
    <row r="1108" spans="1:9" x14ac:dyDescent="0.35">
      <c r="A1108" t="s">
        <v>1132</v>
      </c>
      <c r="B1108" t="s">
        <v>46</v>
      </c>
      <c r="C1108" t="s">
        <v>12</v>
      </c>
      <c r="D1108">
        <v>196.28</v>
      </c>
      <c r="E1108" t="s">
        <v>27</v>
      </c>
      <c r="F1108">
        <v>1132.1400000000001</v>
      </c>
      <c r="G1108">
        <f t="shared" si="19"/>
        <v>222216.43920000002</v>
      </c>
      <c r="H1108" t="str">
        <f>IF(BOQ_Table[[#This Row],[Amount]]&gt;100000,"Over Budget","OK")</f>
        <v>Over Budget</v>
      </c>
      <c r="I1108" t="str">
        <f>IF(OR(BOQ_Table[[#This Row],[Quantity]]="",BOQ_Table[[#This Row],[Rate]]=""),"Missing","OK")</f>
        <v>OK</v>
      </c>
    </row>
    <row r="1109" spans="1:9" x14ac:dyDescent="0.35">
      <c r="A1109" t="s">
        <v>1133</v>
      </c>
      <c r="B1109" t="s">
        <v>30</v>
      </c>
      <c r="C1109" t="s">
        <v>8</v>
      </c>
      <c r="D1109">
        <v>1.1100000000000001</v>
      </c>
      <c r="E1109" t="s">
        <v>18</v>
      </c>
      <c r="F1109">
        <v>2489.4699999999998</v>
      </c>
      <c r="G1109">
        <f t="shared" si="19"/>
        <v>2763.3117000000002</v>
      </c>
      <c r="H1109" t="str">
        <f>IF(BOQ_Table[[#This Row],[Amount]]&gt;100000,"Over Budget","OK")</f>
        <v>OK</v>
      </c>
      <c r="I1109" t="str">
        <f>IF(OR(BOQ_Table[[#This Row],[Quantity]]="",BOQ_Table[[#This Row],[Rate]]=""),"Missing","OK")</f>
        <v>OK</v>
      </c>
    </row>
    <row r="1110" spans="1:9" x14ac:dyDescent="0.35">
      <c r="A1110" t="s">
        <v>1134</v>
      </c>
      <c r="B1110" t="s">
        <v>11</v>
      </c>
      <c r="C1110" t="s">
        <v>12</v>
      </c>
      <c r="D1110">
        <v>97.82</v>
      </c>
      <c r="E1110" t="s">
        <v>22</v>
      </c>
      <c r="F1110">
        <v>3718.69</v>
      </c>
      <c r="G1110">
        <f t="shared" si="19"/>
        <v>363762.25579999998</v>
      </c>
      <c r="H1110" t="str">
        <f>IF(BOQ_Table[[#This Row],[Amount]]&gt;100000,"Over Budget","OK")</f>
        <v>Over Budget</v>
      </c>
      <c r="I1110" t="str">
        <f>IF(OR(BOQ_Table[[#This Row],[Quantity]]="",BOQ_Table[[#This Row],[Rate]]=""),"Missing","OK")</f>
        <v>OK</v>
      </c>
    </row>
    <row r="1111" spans="1:9" x14ac:dyDescent="0.35">
      <c r="A1111" t="s">
        <v>1135</v>
      </c>
      <c r="B1111" t="s">
        <v>32</v>
      </c>
      <c r="C1111" t="s">
        <v>12</v>
      </c>
      <c r="D1111">
        <v>223.71</v>
      </c>
      <c r="E1111" t="s">
        <v>22</v>
      </c>
      <c r="F1111">
        <v>2574.35</v>
      </c>
      <c r="G1111">
        <f t="shared" si="19"/>
        <v>575907.83849999995</v>
      </c>
      <c r="H1111" t="str">
        <f>IF(BOQ_Table[[#This Row],[Amount]]&gt;100000,"Over Budget","OK")</f>
        <v>Over Budget</v>
      </c>
      <c r="I1111" t="str">
        <f>IF(OR(BOQ_Table[[#This Row],[Quantity]]="",BOQ_Table[[#This Row],[Rate]]=""),"Missing","OK")</f>
        <v>OK</v>
      </c>
    </row>
    <row r="1112" spans="1:9" x14ac:dyDescent="0.35">
      <c r="A1112" t="s">
        <v>1136</v>
      </c>
      <c r="B1112" t="s">
        <v>7</v>
      </c>
      <c r="C1112" t="s">
        <v>8</v>
      </c>
      <c r="D1112">
        <v>30.68</v>
      </c>
      <c r="E1112" t="s">
        <v>18</v>
      </c>
      <c r="F1112">
        <v>1406.08</v>
      </c>
      <c r="G1112">
        <f t="shared" si="19"/>
        <v>43138.534399999997</v>
      </c>
      <c r="H1112" t="str">
        <f>IF(BOQ_Table[[#This Row],[Amount]]&gt;100000,"Over Budget","OK")</f>
        <v>OK</v>
      </c>
      <c r="I1112" t="str">
        <f>IF(OR(BOQ_Table[[#This Row],[Quantity]]="",BOQ_Table[[#This Row],[Rate]]=""),"Missing","OK")</f>
        <v>OK</v>
      </c>
    </row>
    <row r="1113" spans="1:9" x14ac:dyDescent="0.35">
      <c r="A1113" t="s">
        <v>1137</v>
      </c>
      <c r="B1113" t="s">
        <v>42</v>
      </c>
      <c r="C1113" t="s">
        <v>12</v>
      </c>
      <c r="D1113">
        <v>369.66</v>
      </c>
      <c r="E1113" t="s">
        <v>27</v>
      </c>
      <c r="F1113">
        <v>2322.14</v>
      </c>
      <c r="G1113">
        <f t="shared" si="19"/>
        <v>858402.27240000002</v>
      </c>
      <c r="H1113" t="str">
        <f>IF(BOQ_Table[[#This Row],[Amount]]&gt;100000,"Over Budget","OK")</f>
        <v>Over Budget</v>
      </c>
      <c r="I1113" t="str">
        <f>IF(OR(BOQ_Table[[#This Row],[Quantity]]="",BOQ_Table[[#This Row],[Rate]]=""),"Missing","OK")</f>
        <v>OK</v>
      </c>
    </row>
    <row r="1114" spans="1:9" x14ac:dyDescent="0.35">
      <c r="A1114" t="s">
        <v>1138</v>
      </c>
      <c r="B1114" t="s">
        <v>7</v>
      </c>
      <c r="C1114" t="s">
        <v>17</v>
      </c>
      <c r="D1114">
        <v>289.26</v>
      </c>
      <c r="E1114" t="s">
        <v>18</v>
      </c>
      <c r="F1114">
        <v>2763.5</v>
      </c>
      <c r="G1114">
        <f t="shared" si="19"/>
        <v>799370.01</v>
      </c>
      <c r="H1114" t="str">
        <f>IF(BOQ_Table[[#This Row],[Amount]]&gt;100000,"Over Budget","OK")</f>
        <v>Over Budget</v>
      </c>
      <c r="I1114" t="str">
        <f>IF(OR(BOQ_Table[[#This Row],[Quantity]]="",BOQ_Table[[#This Row],[Rate]]=""),"Missing","OK")</f>
        <v>OK</v>
      </c>
    </row>
    <row r="1115" spans="1:9" x14ac:dyDescent="0.35">
      <c r="A1115" t="s">
        <v>1139</v>
      </c>
      <c r="B1115" t="s">
        <v>46</v>
      </c>
      <c r="C1115" t="s">
        <v>12</v>
      </c>
      <c r="D1115">
        <v>175.98</v>
      </c>
      <c r="E1115" t="s">
        <v>18</v>
      </c>
      <c r="F1115">
        <v>123.43</v>
      </c>
      <c r="G1115">
        <f t="shared" si="19"/>
        <v>21721.2114</v>
      </c>
      <c r="H1115" t="str">
        <f>IF(BOQ_Table[[#This Row],[Amount]]&gt;100000,"Over Budget","OK")</f>
        <v>OK</v>
      </c>
      <c r="I1115" t="str">
        <f>IF(OR(BOQ_Table[[#This Row],[Quantity]]="",BOQ_Table[[#This Row],[Rate]]=""),"Missing","OK")</f>
        <v>OK</v>
      </c>
    </row>
    <row r="1116" spans="1:9" x14ac:dyDescent="0.35">
      <c r="A1116" t="s">
        <v>1140</v>
      </c>
      <c r="B1116" t="s">
        <v>46</v>
      </c>
      <c r="C1116" t="s">
        <v>8</v>
      </c>
      <c r="D1116">
        <v>117.65</v>
      </c>
      <c r="E1116" t="s">
        <v>9</v>
      </c>
      <c r="F1116">
        <v>4953.0200000000004</v>
      </c>
      <c r="G1116">
        <f t="shared" si="19"/>
        <v>582722.80300000007</v>
      </c>
      <c r="H1116" t="str">
        <f>IF(BOQ_Table[[#This Row],[Amount]]&gt;100000,"Over Budget","OK")</f>
        <v>Over Budget</v>
      </c>
      <c r="I1116" t="str">
        <f>IF(OR(BOQ_Table[[#This Row],[Quantity]]="",BOQ_Table[[#This Row],[Rate]]=""),"Missing","OK")</f>
        <v>OK</v>
      </c>
    </row>
    <row r="1117" spans="1:9" x14ac:dyDescent="0.35">
      <c r="A1117" t="s">
        <v>1141</v>
      </c>
      <c r="B1117" t="s">
        <v>56</v>
      </c>
      <c r="C1117" t="s">
        <v>12</v>
      </c>
      <c r="D1117">
        <v>353.18</v>
      </c>
      <c r="E1117" t="s">
        <v>9</v>
      </c>
      <c r="F1117">
        <v>4558.6099999999997</v>
      </c>
      <c r="G1117">
        <f t="shared" si="19"/>
        <v>1610009.8798</v>
      </c>
      <c r="H1117" t="str">
        <f>IF(BOQ_Table[[#This Row],[Amount]]&gt;100000,"Over Budget","OK")</f>
        <v>Over Budget</v>
      </c>
      <c r="I1117" t="str">
        <f>IF(OR(BOQ_Table[[#This Row],[Quantity]]="",BOQ_Table[[#This Row],[Rate]]=""),"Missing","OK")</f>
        <v>OK</v>
      </c>
    </row>
    <row r="1118" spans="1:9" x14ac:dyDescent="0.35">
      <c r="A1118" t="s">
        <v>1142</v>
      </c>
      <c r="B1118" t="s">
        <v>16</v>
      </c>
      <c r="C1118" t="s">
        <v>8</v>
      </c>
      <c r="D1118">
        <v>107.92</v>
      </c>
      <c r="E1118" t="s">
        <v>9</v>
      </c>
      <c r="F1118">
        <v>3991.78</v>
      </c>
      <c r="G1118">
        <f t="shared" si="19"/>
        <v>430792.89760000003</v>
      </c>
      <c r="H1118" t="str">
        <f>IF(BOQ_Table[[#This Row],[Amount]]&gt;100000,"Over Budget","OK")</f>
        <v>Over Budget</v>
      </c>
      <c r="I1118" t="str">
        <f>IF(OR(BOQ_Table[[#This Row],[Quantity]]="",BOQ_Table[[#This Row],[Rate]]=""),"Missing","OK")</f>
        <v>OK</v>
      </c>
    </row>
    <row r="1119" spans="1:9" x14ac:dyDescent="0.35">
      <c r="A1119" t="s">
        <v>1143</v>
      </c>
      <c r="B1119" t="s">
        <v>46</v>
      </c>
      <c r="C1119" t="s">
        <v>8</v>
      </c>
      <c r="D1119">
        <v>277.52999999999997</v>
      </c>
      <c r="E1119" t="s">
        <v>14</v>
      </c>
      <c r="F1119">
        <v>756.74</v>
      </c>
      <c r="G1119">
        <f t="shared" si="19"/>
        <v>210018.05219999998</v>
      </c>
      <c r="H1119" t="str">
        <f>IF(BOQ_Table[[#This Row],[Amount]]&gt;100000,"Over Budget","OK")</f>
        <v>Over Budget</v>
      </c>
      <c r="I1119" t="str">
        <f>IF(OR(BOQ_Table[[#This Row],[Quantity]]="",BOQ_Table[[#This Row],[Rate]]=""),"Missing","OK")</f>
        <v>OK</v>
      </c>
    </row>
    <row r="1120" spans="1:9" x14ac:dyDescent="0.35">
      <c r="A1120" t="s">
        <v>1144</v>
      </c>
      <c r="B1120" t="s">
        <v>46</v>
      </c>
      <c r="C1120" t="s">
        <v>21</v>
      </c>
      <c r="D1120">
        <v>224.08</v>
      </c>
      <c r="E1120" t="s">
        <v>27</v>
      </c>
      <c r="F1120">
        <v>4461.75</v>
      </c>
      <c r="G1120">
        <f t="shared" si="19"/>
        <v>999788.94000000006</v>
      </c>
      <c r="H1120" t="str">
        <f>IF(BOQ_Table[[#This Row],[Amount]]&gt;100000,"Over Budget","OK")</f>
        <v>Over Budget</v>
      </c>
      <c r="I1120" t="str">
        <f>IF(OR(BOQ_Table[[#This Row],[Quantity]]="",BOQ_Table[[#This Row],[Rate]]=""),"Missing","OK")</f>
        <v>OK</v>
      </c>
    </row>
    <row r="1121" spans="1:9" x14ac:dyDescent="0.35">
      <c r="A1121" t="s">
        <v>1145</v>
      </c>
      <c r="B1121" t="s">
        <v>56</v>
      </c>
      <c r="C1121" t="s">
        <v>38</v>
      </c>
      <c r="D1121">
        <v>201.86</v>
      </c>
      <c r="E1121" t="s">
        <v>14</v>
      </c>
      <c r="F1121">
        <v>662.01</v>
      </c>
      <c r="G1121">
        <f t="shared" si="19"/>
        <v>133633.33860000002</v>
      </c>
      <c r="H1121" t="str">
        <f>IF(BOQ_Table[[#This Row],[Amount]]&gt;100000,"Over Budget","OK")</f>
        <v>Over Budget</v>
      </c>
      <c r="I1121" t="str">
        <f>IF(OR(BOQ_Table[[#This Row],[Quantity]]="",BOQ_Table[[#This Row],[Rate]]=""),"Missing","OK")</f>
        <v>OK</v>
      </c>
    </row>
    <row r="1122" spans="1:9" x14ac:dyDescent="0.35">
      <c r="A1122" t="s">
        <v>1146</v>
      </c>
      <c r="B1122" t="s">
        <v>20</v>
      </c>
      <c r="C1122" t="s">
        <v>8</v>
      </c>
      <c r="D1122">
        <v>133.02000000000001</v>
      </c>
      <c r="E1122" t="s">
        <v>14</v>
      </c>
      <c r="F1122">
        <v>3581.06</v>
      </c>
      <c r="G1122">
        <f t="shared" si="19"/>
        <v>476352.60120000003</v>
      </c>
      <c r="H1122" t="str">
        <f>IF(BOQ_Table[[#This Row],[Amount]]&gt;100000,"Over Budget","OK")</f>
        <v>Over Budget</v>
      </c>
      <c r="I1122" t="str">
        <f>IF(OR(BOQ_Table[[#This Row],[Quantity]]="",BOQ_Table[[#This Row],[Rate]]=""),"Missing","OK")</f>
        <v>OK</v>
      </c>
    </row>
    <row r="1123" spans="1:9" x14ac:dyDescent="0.35">
      <c r="A1123" t="s">
        <v>1147</v>
      </c>
      <c r="B1123" t="s">
        <v>42</v>
      </c>
      <c r="C1123" t="s">
        <v>8</v>
      </c>
      <c r="D1123">
        <v>15.06</v>
      </c>
      <c r="E1123" t="s">
        <v>18</v>
      </c>
      <c r="F1123">
        <v>4941.7</v>
      </c>
      <c r="G1123">
        <f t="shared" si="19"/>
        <v>74422.001999999993</v>
      </c>
      <c r="H1123" t="str">
        <f>IF(BOQ_Table[[#This Row],[Amount]]&gt;100000,"Over Budget","OK")</f>
        <v>OK</v>
      </c>
      <c r="I1123" t="str">
        <f>IF(OR(BOQ_Table[[#This Row],[Quantity]]="",BOQ_Table[[#This Row],[Rate]]=""),"Missing","OK")</f>
        <v>OK</v>
      </c>
    </row>
    <row r="1124" spans="1:9" x14ac:dyDescent="0.35">
      <c r="A1124" t="s">
        <v>1148</v>
      </c>
      <c r="B1124" t="s">
        <v>30</v>
      </c>
      <c r="C1124" t="s">
        <v>8</v>
      </c>
      <c r="D1124">
        <v>264.08</v>
      </c>
      <c r="E1124" t="s">
        <v>27</v>
      </c>
      <c r="F1124">
        <v>4153.6099999999997</v>
      </c>
      <c r="G1124">
        <f t="shared" si="19"/>
        <v>1096885.3287999998</v>
      </c>
      <c r="H1124" t="str">
        <f>IF(BOQ_Table[[#This Row],[Amount]]&gt;100000,"Over Budget","OK")</f>
        <v>Over Budget</v>
      </c>
      <c r="I1124" t="str">
        <f>IF(OR(BOQ_Table[[#This Row],[Quantity]]="",BOQ_Table[[#This Row],[Rate]]=""),"Missing","OK")</f>
        <v>OK</v>
      </c>
    </row>
    <row r="1125" spans="1:9" x14ac:dyDescent="0.35">
      <c r="A1125" t="s">
        <v>1149</v>
      </c>
      <c r="B1125" t="s">
        <v>42</v>
      </c>
      <c r="C1125" t="s">
        <v>17</v>
      </c>
      <c r="D1125">
        <v>12.17</v>
      </c>
      <c r="E1125" t="s">
        <v>14</v>
      </c>
      <c r="F1125">
        <v>4472.0600000000004</v>
      </c>
      <c r="G1125">
        <f t="shared" si="19"/>
        <v>54424.970200000003</v>
      </c>
      <c r="H1125" t="str">
        <f>IF(BOQ_Table[[#This Row],[Amount]]&gt;100000,"Over Budget","OK")</f>
        <v>OK</v>
      </c>
      <c r="I1125" t="str">
        <f>IF(OR(BOQ_Table[[#This Row],[Quantity]]="",BOQ_Table[[#This Row],[Rate]]=""),"Missing","OK")</f>
        <v>OK</v>
      </c>
    </row>
    <row r="1126" spans="1:9" x14ac:dyDescent="0.35">
      <c r="A1126" t="s">
        <v>1150</v>
      </c>
      <c r="B1126" t="s">
        <v>40</v>
      </c>
      <c r="C1126" t="s">
        <v>38</v>
      </c>
      <c r="D1126">
        <v>449.57</v>
      </c>
      <c r="E1126" t="s">
        <v>14</v>
      </c>
      <c r="F1126">
        <v>4625.62</v>
      </c>
      <c r="G1126">
        <f t="shared" si="19"/>
        <v>2079539.9834</v>
      </c>
      <c r="H1126" t="str">
        <f>IF(BOQ_Table[[#This Row],[Amount]]&gt;100000,"Over Budget","OK")</f>
        <v>Over Budget</v>
      </c>
      <c r="I1126" t="str">
        <f>IF(OR(BOQ_Table[[#This Row],[Quantity]]="",BOQ_Table[[#This Row],[Rate]]=""),"Missing","OK")</f>
        <v>OK</v>
      </c>
    </row>
    <row r="1127" spans="1:9" x14ac:dyDescent="0.35">
      <c r="A1127" t="s">
        <v>1151</v>
      </c>
      <c r="B1127" t="s">
        <v>56</v>
      </c>
      <c r="C1127" t="s">
        <v>38</v>
      </c>
      <c r="D1127">
        <v>58.81</v>
      </c>
      <c r="E1127" t="s">
        <v>22</v>
      </c>
      <c r="F1127">
        <v>3791.48</v>
      </c>
      <c r="G1127">
        <f t="shared" si="19"/>
        <v>222976.9388</v>
      </c>
      <c r="H1127" t="str">
        <f>IF(BOQ_Table[[#This Row],[Amount]]&gt;100000,"Over Budget","OK")</f>
        <v>Over Budget</v>
      </c>
      <c r="I1127" t="str">
        <f>IF(OR(BOQ_Table[[#This Row],[Quantity]]="",BOQ_Table[[#This Row],[Rate]]=""),"Missing","OK")</f>
        <v>OK</v>
      </c>
    </row>
    <row r="1128" spans="1:9" x14ac:dyDescent="0.35">
      <c r="A1128" t="s">
        <v>1152</v>
      </c>
      <c r="B1128" t="s">
        <v>40</v>
      </c>
      <c r="C1128" t="s">
        <v>17</v>
      </c>
      <c r="D1128">
        <v>152.29</v>
      </c>
      <c r="E1128" t="s">
        <v>18</v>
      </c>
      <c r="F1128">
        <v>101.26</v>
      </c>
      <c r="G1128">
        <f t="shared" si="19"/>
        <v>15420.885399999999</v>
      </c>
      <c r="H1128" t="str">
        <f>IF(BOQ_Table[[#This Row],[Amount]]&gt;100000,"Over Budget","OK")</f>
        <v>OK</v>
      </c>
      <c r="I1128" t="str">
        <f>IF(OR(BOQ_Table[[#This Row],[Quantity]]="",BOQ_Table[[#This Row],[Rate]]=""),"Missing","OK")</f>
        <v>OK</v>
      </c>
    </row>
    <row r="1129" spans="1:9" x14ac:dyDescent="0.35">
      <c r="A1129" t="s">
        <v>1153</v>
      </c>
      <c r="B1129" t="s">
        <v>30</v>
      </c>
      <c r="C1129" t="s">
        <v>12</v>
      </c>
      <c r="D1129">
        <v>201.36</v>
      </c>
      <c r="E1129" t="s">
        <v>27</v>
      </c>
      <c r="F1129">
        <v>2029.54</v>
      </c>
      <c r="G1129">
        <f t="shared" si="19"/>
        <v>408668.17440000002</v>
      </c>
      <c r="H1129" t="str">
        <f>IF(BOQ_Table[[#This Row],[Amount]]&gt;100000,"Over Budget","OK")</f>
        <v>Over Budget</v>
      </c>
      <c r="I1129" t="str">
        <f>IF(OR(BOQ_Table[[#This Row],[Quantity]]="",BOQ_Table[[#This Row],[Rate]]=""),"Missing","OK")</f>
        <v>OK</v>
      </c>
    </row>
    <row r="1130" spans="1:9" x14ac:dyDescent="0.35">
      <c r="A1130" t="s">
        <v>1154</v>
      </c>
      <c r="B1130" t="s">
        <v>56</v>
      </c>
      <c r="C1130" t="s">
        <v>21</v>
      </c>
      <c r="D1130">
        <v>120.43</v>
      </c>
      <c r="E1130" t="s">
        <v>9</v>
      </c>
      <c r="F1130">
        <v>2353.0100000000002</v>
      </c>
      <c r="G1130">
        <f t="shared" si="19"/>
        <v>283372.99430000002</v>
      </c>
      <c r="H1130" t="str">
        <f>IF(BOQ_Table[[#This Row],[Amount]]&gt;100000,"Over Budget","OK")</f>
        <v>Over Budget</v>
      </c>
      <c r="I1130" t="str">
        <f>IF(OR(BOQ_Table[[#This Row],[Quantity]]="",BOQ_Table[[#This Row],[Rate]]=""),"Missing","OK")</f>
        <v>OK</v>
      </c>
    </row>
    <row r="1131" spans="1:9" x14ac:dyDescent="0.35">
      <c r="A1131" t="s">
        <v>1155</v>
      </c>
      <c r="B1131" t="s">
        <v>46</v>
      </c>
      <c r="C1131" t="s">
        <v>21</v>
      </c>
      <c r="D1131">
        <v>455.91</v>
      </c>
      <c r="E1131" t="s">
        <v>18</v>
      </c>
      <c r="F1131">
        <v>2965.62</v>
      </c>
      <c r="G1131">
        <f t="shared" si="19"/>
        <v>1352055.8142000001</v>
      </c>
      <c r="H1131" t="str">
        <f>IF(BOQ_Table[[#This Row],[Amount]]&gt;100000,"Over Budget","OK")</f>
        <v>Over Budget</v>
      </c>
      <c r="I1131" t="str">
        <f>IF(OR(BOQ_Table[[#This Row],[Quantity]]="",BOQ_Table[[#This Row],[Rate]]=""),"Missing","OK")</f>
        <v>OK</v>
      </c>
    </row>
    <row r="1132" spans="1:9" x14ac:dyDescent="0.35">
      <c r="A1132" t="s">
        <v>1156</v>
      </c>
      <c r="B1132" t="s">
        <v>7</v>
      </c>
      <c r="C1132" t="s">
        <v>8</v>
      </c>
      <c r="D1132">
        <v>34.29</v>
      </c>
      <c r="E1132" t="s">
        <v>14</v>
      </c>
      <c r="F1132">
        <v>1602.3</v>
      </c>
      <c r="G1132">
        <f t="shared" si="19"/>
        <v>54942.866999999998</v>
      </c>
      <c r="H1132" t="str">
        <f>IF(BOQ_Table[[#This Row],[Amount]]&gt;100000,"Over Budget","OK")</f>
        <v>OK</v>
      </c>
      <c r="I1132" t="str">
        <f>IF(OR(BOQ_Table[[#This Row],[Quantity]]="",BOQ_Table[[#This Row],[Rate]]=""),"Missing","OK")</f>
        <v>OK</v>
      </c>
    </row>
    <row r="1133" spans="1:9" x14ac:dyDescent="0.35">
      <c r="A1133" t="s">
        <v>1157</v>
      </c>
      <c r="B1133" t="s">
        <v>11</v>
      </c>
      <c r="C1133" t="s">
        <v>21</v>
      </c>
      <c r="D1133">
        <v>12.84</v>
      </c>
      <c r="E1133" t="s">
        <v>27</v>
      </c>
      <c r="F1133">
        <v>3432.02</v>
      </c>
      <c r="G1133">
        <f t="shared" si="19"/>
        <v>44067.1368</v>
      </c>
      <c r="H1133" t="str">
        <f>IF(BOQ_Table[[#This Row],[Amount]]&gt;100000,"Over Budget","OK")</f>
        <v>OK</v>
      </c>
      <c r="I1133" t="str">
        <f>IF(OR(BOQ_Table[[#This Row],[Quantity]]="",BOQ_Table[[#This Row],[Rate]]=""),"Missing","OK")</f>
        <v>OK</v>
      </c>
    </row>
    <row r="1134" spans="1:9" x14ac:dyDescent="0.35">
      <c r="A1134" t="s">
        <v>1158</v>
      </c>
      <c r="B1134" t="s">
        <v>11</v>
      </c>
      <c r="C1134" t="s">
        <v>12</v>
      </c>
      <c r="D1134">
        <v>218.07</v>
      </c>
      <c r="E1134" t="s">
        <v>9</v>
      </c>
      <c r="F1134">
        <v>4166.53</v>
      </c>
      <c r="G1134">
        <f t="shared" si="19"/>
        <v>908595.19709999987</v>
      </c>
      <c r="H1134" t="str">
        <f>IF(BOQ_Table[[#This Row],[Amount]]&gt;100000,"Over Budget","OK")</f>
        <v>Over Budget</v>
      </c>
      <c r="I1134" t="str">
        <f>IF(OR(BOQ_Table[[#This Row],[Quantity]]="",BOQ_Table[[#This Row],[Rate]]=""),"Missing","OK")</f>
        <v>OK</v>
      </c>
    </row>
    <row r="1135" spans="1:9" x14ac:dyDescent="0.35">
      <c r="A1135" t="s">
        <v>1159</v>
      </c>
      <c r="B1135" t="s">
        <v>56</v>
      </c>
      <c r="C1135" t="s">
        <v>17</v>
      </c>
      <c r="D1135">
        <v>300.37</v>
      </c>
      <c r="E1135" t="s">
        <v>18</v>
      </c>
      <c r="F1135">
        <v>4061.65</v>
      </c>
      <c r="G1135">
        <f t="shared" si="19"/>
        <v>1219997.8105000001</v>
      </c>
      <c r="H1135" t="str">
        <f>IF(BOQ_Table[[#This Row],[Amount]]&gt;100000,"Over Budget","OK")</f>
        <v>Over Budget</v>
      </c>
      <c r="I1135" t="str">
        <f>IF(OR(BOQ_Table[[#This Row],[Quantity]]="",BOQ_Table[[#This Row],[Rate]]=""),"Missing","OK")</f>
        <v>OK</v>
      </c>
    </row>
    <row r="1136" spans="1:9" x14ac:dyDescent="0.35">
      <c r="A1136" t="s">
        <v>1160</v>
      </c>
      <c r="B1136" t="s">
        <v>46</v>
      </c>
      <c r="C1136" t="s">
        <v>21</v>
      </c>
      <c r="D1136">
        <v>334.72</v>
      </c>
      <c r="E1136" t="s">
        <v>27</v>
      </c>
      <c r="F1136">
        <v>3972.83</v>
      </c>
      <c r="G1136">
        <f t="shared" si="19"/>
        <v>1329785.6576</v>
      </c>
      <c r="H1136" t="str">
        <f>IF(BOQ_Table[[#This Row],[Amount]]&gt;100000,"Over Budget","OK")</f>
        <v>Over Budget</v>
      </c>
      <c r="I1136" t="str">
        <f>IF(OR(BOQ_Table[[#This Row],[Quantity]]="",BOQ_Table[[#This Row],[Rate]]=""),"Missing","OK")</f>
        <v>OK</v>
      </c>
    </row>
    <row r="1137" spans="1:9" x14ac:dyDescent="0.35">
      <c r="A1137" t="s">
        <v>1161</v>
      </c>
      <c r="B1137" t="s">
        <v>16</v>
      </c>
      <c r="C1137" t="s">
        <v>8</v>
      </c>
      <c r="D1137">
        <v>226.57</v>
      </c>
      <c r="E1137" t="s">
        <v>22</v>
      </c>
      <c r="F1137">
        <v>4070.36</v>
      </c>
      <c r="G1137">
        <f t="shared" si="19"/>
        <v>922221.46519999998</v>
      </c>
      <c r="H1137" t="str">
        <f>IF(BOQ_Table[[#This Row],[Amount]]&gt;100000,"Over Budget","OK")</f>
        <v>Over Budget</v>
      </c>
      <c r="I1137" t="str">
        <f>IF(OR(BOQ_Table[[#This Row],[Quantity]]="",BOQ_Table[[#This Row],[Rate]]=""),"Missing","OK")</f>
        <v>OK</v>
      </c>
    </row>
    <row r="1138" spans="1:9" x14ac:dyDescent="0.35">
      <c r="A1138" t="s">
        <v>1162</v>
      </c>
      <c r="B1138" t="s">
        <v>42</v>
      </c>
      <c r="C1138" t="s">
        <v>17</v>
      </c>
      <c r="D1138">
        <v>318.83999999999997</v>
      </c>
      <c r="E1138" t="s">
        <v>18</v>
      </c>
      <c r="F1138">
        <v>2396.0700000000002</v>
      </c>
      <c r="G1138">
        <f t="shared" si="19"/>
        <v>763962.95880000002</v>
      </c>
      <c r="H1138" t="str">
        <f>IF(BOQ_Table[[#This Row],[Amount]]&gt;100000,"Over Budget","OK")</f>
        <v>Over Budget</v>
      </c>
      <c r="I1138" t="str">
        <f>IF(OR(BOQ_Table[[#This Row],[Quantity]]="",BOQ_Table[[#This Row],[Rate]]=""),"Missing","OK")</f>
        <v>OK</v>
      </c>
    </row>
    <row r="1139" spans="1:9" x14ac:dyDescent="0.35">
      <c r="A1139" t="s">
        <v>1163</v>
      </c>
      <c r="B1139" t="s">
        <v>40</v>
      </c>
      <c r="C1139" t="s">
        <v>12</v>
      </c>
      <c r="D1139">
        <v>318.73</v>
      </c>
      <c r="E1139" t="s">
        <v>18</v>
      </c>
      <c r="F1139">
        <v>3887.25</v>
      </c>
      <c r="G1139">
        <f t="shared" si="19"/>
        <v>1238983.1925000001</v>
      </c>
      <c r="H1139" t="str">
        <f>IF(BOQ_Table[[#This Row],[Amount]]&gt;100000,"Over Budget","OK")</f>
        <v>Over Budget</v>
      </c>
      <c r="I1139" t="str">
        <f>IF(OR(BOQ_Table[[#This Row],[Quantity]]="",BOQ_Table[[#This Row],[Rate]]=""),"Missing","OK")</f>
        <v>OK</v>
      </c>
    </row>
    <row r="1140" spans="1:9" x14ac:dyDescent="0.35">
      <c r="A1140" t="s">
        <v>1164</v>
      </c>
      <c r="B1140" t="s">
        <v>11</v>
      </c>
      <c r="C1140" t="s">
        <v>17</v>
      </c>
      <c r="D1140">
        <v>289.74</v>
      </c>
      <c r="E1140" t="s">
        <v>27</v>
      </c>
      <c r="F1140">
        <v>1221.28</v>
      </c>
      <c r="G1140">
        <f t="shared" si="19"/>
        <v>353853.66720000003</v>
      </c>
      <c r="H1140" t="str">
        <f>IF(BOQ_Table[[#This Row],[Amount]]&gt;100000,"Over Budget","OK")</f>
        <v>Over Budget</v>
      </c>
      <c r="I1140" t="str">
        <f>IF(OR(BOQ_Table[[#This Row],[Quantity]]="",BOQ_Table[[#This Row],[Rate]]=""),"Missing","OK")</f>
        <v>OK</v>
      </c>
    </row>
    <row r="1141" spans="1:9" x14ac:dyDescent="0.35">
      <c r="A1141" t="s">
        <v>1165</v>
      </c>
      <c r="B1141" t="s">
        <v>40</v>
      </c>
      <c r="C1141" t="s">
        <v>12</v>
      </c>
      <c r="D1141">
        <v>371.77</v>
      </c>
      <c r="E1141" t="s">
        <v>14</v>
      </c>
      <c r="F1141">
        <v>4497.4799999999996</v>
      </c>
      <c r="G1141">
        <f t="shared" si="19"/>
        <v>1672028.1395999996</v>
      </c>
      <c r="H1141" t="str">
        <f>IF(BOQ_Table[[#This Row],[Amount]]&gt;100000,"Over Budget","OK")</f>
        <v>Over Budget</v>
      </c>
      <c r="I1141" t="str">
        <f>IF(OR(BOQ_Table[[#This Row],[Quantity]]="",BOQ_Table[[#This Row],[Rate]]=""),"Missing","OK")</f>
        <v>OK</v>
      </c>
    </row>
    <row r="1142" spans="1:9" x14ac:dyDescent="0.35">
      <c r="A1142" t="s">
        <v>1166</v>
      </c>
      <c r="B1142" t="s">
        <v>16</v>
      </c>
      <c r="C1142" t="s">
        <v>38</v>
      </c>
      <c r="D1142">
        <v>277.07</v>
      </c>
      <c r="E1142" t="s">
        <v>27</v>
      </c>
      <c r="F1142">
        <v>889.83</v>
      </c>
      <c r="G1142">
        <f t="shared" si="19"/>
        <v>246545.19810000001</v>
      </c>
      <c r="H1142" t="str">
        <f>IF(BOQ_Table[[#This Row],[Amount]]&gt;100000,"Over Budget","OK")</f>
        <v>Over Budget</v>
      </c>
      <c r="I1142" t="str">
        <f>IF(OR(BOQ_Table[[#This Row],[Quantity]]="",BOQ_Table[[#This Row],[Rate]]=""),"Missing","OK")</f>
        <v>OK</v>
      </c>
    </row>
    <row r="1143" spans="1:9" x14ac:dyDescent="0.35">
      <c r="A1143" t="s">
        <v>1167</v>
      </c>
      <c r="B1143" t="s">
        <v>42</v>
      </c>
      <c r="C1143" t="s">
        <v>21</v>
      </c>
      <c r="D1143">
        <v>357.17</v>
      </c>
      <c r="E1143" t="s">
        <v>14</v>
      </c>
      <c r="F1143">
        <v>911.2</v>
      </c>
      <c r="G1143">
        <f t="shared" si="19"/>
        <v>325453.304</v>
      </c>
      <c r="H1143" t="str">
        <f>IF(BOQ_Table[[#This Row],[Amount]]&gt;100000,"Over Budget","OK")</f>
        <v>Over Budget</v>
      </c>
      <c r="I1143" t="str">
        <f>IF(OR(BOQ_Table[[#This Row],[Quantity]]="",BOQ_Table[[#This Row],[Rate]]=""),"Missing","OK")</f>
        <v>OK</v>
      </c>
    </row>
    <row r="1144" spans="1:9" x14ac:dyDescent="0.35">
      <c r="A1144" t="s">
        <v>1168</v>
      </c>
      <c r="B1144" t="s">
        <v>56</v>
      </c>
      <c r="C1144" t="s">
        <v>12</v>
      </c>
      <c r="D1144">
        <v>12.89</v>
      </c>
      <c r="E1144" t="s">
        <v>27</v>
      </c>
      <c r="F1144">
        <v>378.26</v>
      </c>
      <c r="G1144">
        <f t="shared" si="19"/>
        <v>4875.7714000000005</v>
      </c>
      <c r="H1144" t="str">
        <f>IF(BOQ_Table[[#This Row],[Amount]]&gt;100000,"Over Budget","OK")</f>
        <v>OK</v>
      </c>
      <c r="I1144" t="str">
        <f>IF(OR(BOQ_Table[[#This Row],[Quantity]]="",BOQ_Table[[#This Row],[Rate]]=""),"Missing","OK")</f>
        <v>OK</v>
      </c>
    </row>
    <row r="1145" spans="1:9" x14ac:dyDescent="0.35">
      <c r="A1145" t="s">
        <v>1169</v>
      </c>
      <c r="B1145" t="s">
        <v>11</v>
      </c>
      <c r="C1145" t="s">
        <v>17</v>
      </c>
      <c r="D1145">
        <v>425.76</v>
      </c>
      <c r="E1145" t="s">
        <v>22</v>
      </c>
      <c r="F1145">
        <v>4941.54</v>
      </c>
      <c r="G1145">
        <f t="shared" si="19"/>
        <v>2103910.0704000001</v>
      </c>
      <c r="H1145" t="str">
        <f>IF(BOQ_Table[[#This Row],[Amount]]&gt;100000,"Over Budget","OK")</f>
        <v>Over Budget</v>
      </c>
      <c r="I1145" t="str">
        <f>IF(OR(BOQ_Table[[#This Row],[Quantity]]="",BOQ_Table[[#This Row],[Rate]]=""),"Missing","OK")</f>
        <v>OK</v>
      </c>
    </row>
    <row r="1146" spans="1:9" x14ac:dyDescent="0.35">
      <c r="A1146" t="s">
        <v>1170</v>
      </c>
      <c r="B1146" t="s">
        <v>16</v>
      </c>
      <c r="C1146" t="s">
        <v>8</v>
      </c>
      <c r="D1146">
        <v>107.72</v>
      </c>
      <c r="E1146" t="s">
        <v>14</v>
      </c>
      <c r="F1146">
        <v>406.84</v>
      </c>
      <c r="G1146">
        <f t="shared" si="19"/>
        <v>43824.804799999998</v>
      </c>
      <c r="H1146" t="str">
        <f>IF(BOQ_Table[[#This Row],[Amount]]&gt;100000,"Over Budget","OK")</f>
        <v>OK</v>
      </c>
      <c r="I1146" t="str">
        <f>IF(OR(BOQ_Table[[#This Row],[Quantity]]="",BOQ_Table[[#This Row],[Rate]]=""),"Missing","OK")</f>
        <v>OK</v>
      </c>
    </row>
    <row r="1147" spans="1:9" x14ac:dyDescent="0.35">
      <c r="A1147" t="s">
        <v>1171</v>
      </c>
      <c r="B1147" t="s">
        <v>16</v>
      </c>
      <c r="C1147" t="s">
        <v>38</v>
      </c>
      <c r="D1147">
        <v>215.22</v>
      </c>
      <c r="E1147" t="s">
        <v>14</v>
      </c>
      <c r="F1147">
        <v>2782.6</v>
      </c>
      <c r="G1147">
        <f t="shared" si="19"/>
        <v>598871.17200000002</v>
      </c>
      <c r="H1147" t="str">
        <f>IF(BOQ_Table[[#This Row],[Amount]]&gt;100000,"Over Budget","OK")</f>
        <v>Over Budget</v>
      </c>
      <c r="I1147" t="str">
        <f>IF(OR(BOQ_Table[[#This Row],[Quantity]]="",BOQ_Table[[#This Row],[Rate]]=""),"Missing","OK")</f>
        <v>OK</v>
      </c>
    </row>
    <row r="1148" spans="1:9" x14ac:dyDescent="0.35">
      <c r="A1148" t="s">
        <v>1172</v>
      </c>
      <c r="B1148" t="s">
        <v>56</v>
      </c>
      <c r="C1148" t="s">
        <v>38</v>
      </c>
      <c r="D1148">
        <v>12.62</v>
      </c>
      <c r="E1148" t="s">
        <v>27</v>
      </c>
      <c r="F1148">
        <v>2667.09</v>
      </c>
      <c r="G1148">
        <f t="shared" si="19"/>
        <v>33658.675799999997</v>
      </c>
      <c r="H1148" t="str">
        <f>IF(BOQ_Table[[#This Row],[Amount]]&gt;100000,"Over Budget","OK")</f>
        <v>OK</v>
      </c>
      <c r="I1148" t="str">
        <f>IF(OR(BOQ_Table[[#This Row],[Quantity]]="",BOQ_Table[[#This Row],[Rate]]=""),"Missing","OK")</f>
        <v>OK</v>
      </c>
    </row>
    <row r="1149" spans="1:9" x14ac:dyDescent="0.35">
      <c r="A1149" t="s">
        <v>1173</v>
      </c>
      <c r="B1149" t="s">
        <v>40</v>
      </c>
      <c r="C1149" t="s">
        <v>38</v>
      </c>
      <c r="D1149">
        <v>243.92</v>
      </c>
      <c r="E1149" t="s">
        <v>14</v>
      </c>
      <c r="F1149">
        <v>2520.98</v>
      </c>
      <c r="G1149">
        <f t="shared" si="19"/>
        <v>614917.44160000002</v>
      </c>
      <c r="H1149" t="str">
        <f>IF(BOQ_Table[[#This Row],[Amount]]&gt;100000,"Over Budget","OK")</f>
        <v>Over Budget</v>
      </c>
      <c r="I1149" t="str">
        <f>IF(OR(BOQ_Table[[#This Row],[Quantity]]="",BOQ_Table[[#This Row],[Rate]]=""),"Missing","OK")</f>
        <v>OK</v>
      </c>
    </row>
    <row r="1150" spans="1:9" x14ac:dyDescent="0.35">
      <c r="A1150" t="s">
        <v>1174</v>
      </c>
      <c r="B1150" t="s">
        <v>56</v>
      </c>
      <c r="C1150" t="s">
        <v>17</v>
      </c>
      <c r="D1150">
        <v>157.29</v>
      </c>
      <c r="E1150" t="s">
        <v>22</v>
      </c>
      <c r="F1150">
        <v>3248.25</v>
      </c>
      <c r="G1150">
        <f t="shared" si="19"/>
        <v>510917.24249999999</v>
      </c>
      <c r="H1150" t="str">
        <f>IF(BOQ_Table[[#This Row],[Amount]]&gt;100000,"Over Budget","OK")</f>
        <v>Over Budget</v>
      </c>
      <c r="I1150" t="str">
        <f>IF(OR(BOQ_Table[[#This Row],[Quantity]]="",BOQ_Table[[#This Row],[Rate]]=""),"Missing","OK")</f>
        <v>OK</v>
      </c>
    </row>
    <row r="1151" spans="1:9" x14ac:dyDescent="0.35">
      <c r="A1151" t="s">
        <v>1175</v>
      </c>
      <c r="B1151" t="s">
        <v>30</v>
      </c>
      <c r="C1151" t="s">
        <v>12</v>
      </c>
      <c r="D1151">
        <v>77.39</v>
      </c>
      <c r="E1151" t="s">
        <v>9</v>
      </c>
      <c r="F1151">
        <v>4295.97</v>
      </c>
      <c r="G1151">
        <f t="shared" si="19"/>
        <v>332465.11830000003</v>
      </c>
      <c r="H1151" t="str">
        <f>IF(BOQ_Table[[#This Row],[Amount]]&gt;100000,"Over Budget","OK")</f>
        <v>Over Budget</v>
      </c>
      <c r="I1151" t="str">
        <f>IF(OR(BOQ_Table[[#This Row],[Quantity]]="",BOQ_Table[[#This Row],[Rate]]=""),"Missing","OK")</f>
        <v>OK</v>
      </c>
    </row>
    <row r="1152" spans="1:9" x14ac:dyDescent="0.35">
      <c r="A1152" t="s">
        <v>1176</v>
      </c>
      <c r="B1152" t="s">
        <v>11</v>
      </c>
      <c r="C1152" t="s">
        <v>21</v>
      </c>
      <c r="D1152">
        <v>86.01</v>
      </c>
      <c r="E1152" t="s">
        <v>9</v>
      </c>
      <c r="F1152">
        <v>3361.6</v>
      </c>
      <c r="G1152">
        <f t="shared" si="19"/>
        <v>289131.21600000001</v>
      </c>
      <c r="H1152" t="str">
        <f>IF(BOQ_Table[[#This Row],[Amount]]&gt;100000,"Over Budget","OK")</f>
        <v>Over Budget</v>
      </c>
      <c r="I1152" t="str">
        <f>IF(OR(BOQ_Table[[#This Row],[Quantity]]="",BOQ_Table[[#This Row],[Rate]]=""),"Missing","OK")</f>
        <v>OK</v>
      </c>
    </row>
    <row r="1153" spans="1:9" x14ac:dyDescent="0.35">
      <c r="A1153" t="s">
        <v>1177</v>
      </c>
      <c r="B1153" t="s">
        <v>11</v>
      </c>
      <c r="C1153" t="s">
        <v>12</v>
      </c>
      <c r="D1153">
        <v>273.39999999999998</v>
      </c>
      <c r="E1153" t="s">
        <v>9</v>
      </c>
      <c r="F1153">
        <v>2160.2800000000002</v>
      </c>
      <c r="G1153">
        <f t="shared" si="19"/>
        <v>590620.55200000003</v>
      </c>
      <c r="H1153" t="str">
        <f>IF(BOQ_Table[[#This Row],[Amount]]&gt;100000,"Over Budget","OK")</f>
        <v>Over Budget</v>
      </c>
      <c r="I1153" t="str">
        <f>IF(OR(BOQ_Table[[#This Row],[Quantity]]="",BOQ_Table[[#This Row],[Rate]]=""),"Missing","OK")</f>
        <v>OK</v>
      </c>
    </row>
    <row r="1154" spans="1:9" x14ac:dyDescent="0.35">
      <c r="A1154" t="s">
        <v>1178</v>
      </c>
      <c r="B1154" t="s">
        <v>11</v>
      </c>
      <c r="C1154" t="s">
        <v>38</v>
      </c>
      <c r="D1154">
        <v>409.23</v>
      </c>
      <c r="E1154" t="s">
        <v>27</v>
      </c>
      <c r="F1154">
        <v>1566.04</v>
      </c>
      <c r="G1154">
        <f t="shared" ref="G1154:G1217" si="20">D1154*F1154</f>
        <v>640870.54920000001</v>
      </c>
      <c r="H1154" t="str">
        <f>IF(BOQ_Table[[#This Row],[Amount]]&gt;100000,"Over Budget","OK")</f>
        <v>Over Budget</v>
      </c>
      <c r="I1154" t="str">
        <f>IF(OR(BOQ_Table[[#This Row],[Quantity]]="",BOQ_Table[[#This Row],[Rate]]=""),"Missing","OK")</f>
        <v>OK</v>
      </c>
    </row>
    <row r="1155" spans="1:9" x14ac:dyDescent="0.35">
      <c r="A1155" t="s">
        <v>1179</v>
      </c>
      <c r="B1155" t="s">
        <v>11</v>
      </c>
      <c r="C1155" t="s">
        <v>17</v>
      </c>
      <c r="D1155">
        <v>359.72</v>
      </c>
      <c r="E1155" t="s">
        <v>18</v>
      </c>
      <c r="F1155">
        <v>3525.15</v>
      </c>
      <c r="G1155">
        <f t="shared" si="20"/>
        <v>1268066.9580000001</v>
      </c>
      <c r="H1155" t="str">
        <f>IF(BOQ_Table[[#This Row],[Amount]]&gt;100000,"Over Budget","OK")</f>
        <v>Over Budget</v>
      </c>
      <c r="I1155" t="str">
        <f>IF(OR(BOQ_Table[[#This Row],[Quantity]]="",BOQ_Table[[#This Row],[Rate]]=""),"Missing","OK")</f>
        <v>OK</v>
      </c>
    </row>
    <row r="1156" spans="1:9" x14ac:dyDescent="0.35">
      <c r="A1156" t="s">
        <v>1180</v>
      </c>
      <c r="B1156" t="s">
        <v>42</v>
      </c>
      <c r="C1156" t="s">
        <v>17</v>
      </c>
      <c r="D1156">
        <v>375.53</v>
      </c>
      <c r="E1156" t="s">
        <v>22</v>
      </c>
      <c r="F1156">
        <v>4142.6400000000003</v>
      </c>
      <c r="G1156">
        <f t="shared" si="20"/>
        <v>1555685.5992000001</v>
      </c>
      <c r="H1156" t="str">
        <f>IF(BOQ_Table[[#This Row],[Amount]]&gt;100000,"Over Budget","OK")</f>
        <v>Over Budget</v>
      </c>
      <c r="I1156" t="str">
        <f>IF(OR(BOQ_Table[[#This Row],[Quantity]]="",BOQ_Table[[#This Row],[Rate]]=""),"Missing","OK")</f>
        <v>OK</v>
      </c>
    </row>
    <row r="1157" spans="1:9" x14ac:dyDescent="0.35">
      <c r="A1157" t="s">
        <v>1181</v>
      </c>
      <c r="B1157" t="s">
        <v>20</v>
      </c>
      <c r="C1157" t="s">
        <v>8</v>
      </c>
      <c r="D1157">
        <v>163.29</v>
      </c>
      <c r="E1157" t="s">
        <v>14</v>
      </c>
      <c r="F1157">
        <v>4973.17</v>
      </c>
      <c r="G1157">
        <f t="shared" si="20"/>
        <v>812068.92929999996</v>
      </c>
      <c r="H1157" t="str">
        <f>IF(BOQ_Table[[#This Row],[Amount]]&gt;100000,"Over Budget","OK")</f>
        <v>Over Budget</v>
      </c>
      <c r="I1157" t="str">
        <f>IF(OR(BOQ_Table[[#This Row],[Quantity]]="",BOQ_Table[[#This Row],[Rate]]=""),"Missing","OK")</f>
        <v>OK</v>
      </c>
    </row>
    <row r="1158" spans="1:9" x14ac:dyDescent="0.35">
      <c r="A1158" t="s">
        <v>1182</v>
      </c>
      <c r="B1158" t="s">
        <v>42</v>
      </c>
      <c r="C1158" t="s">
        <v>17</v>
      </c>
      <c r="D1158">
        <v>357.16</v>
      </c>
      <c r="E1158" t="s">
        <v>9</v>
      </c>
      <c r="F1158">
        <v>2892.98</v>
      </c>
      <c r="G1158">
        <f t="shared" si="20"/>
        <v>1033256.7368000001</v>
      </c>
      <c r="H1158" t="str">
        <f>IF(BOQ_Table[[#This Row],[Amount]]&gt;100000,"Over Budget","OK")</f>
        <v>Over Budget</v>
      </c>
      <c r="I1158" t="str">
        <f>IF(OR(BOQ_Table[[#This Row],[Quantity]]="",BOQ_Table[[#This Row],[Rate]]=""),"Missing","OK")</f>
        <v>OK</v>
      </c>
    </row>
    <row r="1159" spans="1:9" x14ac:dyDescent="0.35">
      <c r="A1159" t="s">
        <v>1183</v>
      </c>
      <c r="B1159" t="s">
        <v>40</v>
      </c>
      <c r="C1159" t="s">
        <v>38</v>
      </c>
      <c r="D1159">
        <v>313.45</v>
      </c>
      <c r="E1159" t="s">
        <v>14</v>
      </c>
      <c r="F1159">
        <v>3186.1</v>
      </c>
      <c r="G1159">
        <f t="shared" si="20"/>
        <v>998683.04499999993</v>
      </c>
      <c r="H1159" t="str">
        <f>IF(BOQ_Table[[#This Row],[Amount]]&gt;100000,"Over Budget","OK")</f>
        <v>Over Budget</v>
      </c>
      <c r="I1159" t="str">
        <f>IF(OR(BOQ_Table[[#This Row],[Quantity]]="",BOQ_Table[[#This Row],[Rate]]=""),"Missing","OK")</f>
        <v>OK</v>
      </c>
    </row>
    <row r="1160" spans="1:9" x14ac:dyDescent="0.35">
      <c r="A1160" t="s">
        <v>1184</v>
      </c>
      <c r="B1160" t="s">
        <v>46</v>
      </c>
      <c r="C1160" t="s">
        <v>8</v>
      </c>
      <c r="D1160">
        <v>171.48</v>
      </c>
      <c r="E1160" t="s">
        <v>9</v>
      </c>
      <c r="F1160">
        <v>610.35</v>
      </c>
      <c r="G1160">
        <f t="shared" si="20"/>
        <v>104662.818</v>
      </c>
      <c r="H1160" t="str">
        <f>IF(BOQ_Table[[#This Row],[Amount]]&gt;100000,"Over Budget","OK")</f>
        <v>Over Budget</v>
      </c>
      <c r="I1160" t="str">
        <f>IF(OR(BOQ_Table[[#This Row],[Quantity]]="",BOQ_Table[[#This Row],[Rate]]=""),"Missing","OK")</f>
        <v>OK</v>
      </c>
    </row>
    <row r="1161" spans="1:9" x14ac:dyDescent="0.35">
      <c r="A1161" t="s">
        <v>1185</v>
      </c>
      <c r="B1161" t="s">
        <v>46</v>
      </c>
      <c r="C1161" t="s">
        <v>17</v>
      </c>
      <c r="D1161">
        <v>214.24</v>
      </c>
      <c r="E1161" t="s">
        <v>22</v>
      </c>
      <c r="F1161">
        <v>4919.66</v>
      </c>
      <c r="G1161">
        <f t="shared" si="20"/>
        <v>1053987.9584000001</v>
      </c>
      <c r="H1161" t="str">
        <f>IF(BOQ_Table[[#This Row],[Amount]]&gt;100000,"Over Budget","OK")</f>
        <v>Over Budget</v>
      </c>
      <c r="I1161" t="str">
        <f>IF(OR(BOQ_Table[[#This Row],[Quantity]]="",BOQ_Table[[#This Row],[Rate]]=""),"Missing","OK")</f>
        <v>OK</v>
      </c>
    </row>
    <row r="1162" spans="1:9" x14ac:dyDescent="0.35">
      <c r="A1162" t="s">
        <v>1186</v>
      </c>
      <c r="B1162" t="s">
        <v>40</v>
      </c>
      <c r="C1162" t="s">
        <v>8</v>
      </c>
      <c r="D1162">
        <v>253.1</v>
      </c>
      <c r="E1162" t="s">
        <v>18</v>
      </c>
      <c r="F1162">
        <v>4099.33</v>
      </c>
      <c r="G1162">
        <f t="shared" si="20"/>
        <v>1037540.423</v>
      </c>
      <c r="H1162" t="str">
        <f>IF(BOQ_Table[[#This Row],[Amount]]&gt;100000,"Over Budget","OK")</f>
        <v>Over Budget</v>
      </c>
      <c r="I1162" t="str">
        <f>IF(OR(BOQ_Table[[#This Row],[Quantity]]="",BOQ_Table[[#This Row],[Rate]]=""),"Missing","OK")</f>
        <v>OK</v>
      </c>
    </row>
    <row r="1163" spans="1:9" x14ac:dyDescent="0.35">
      <c r="A1163" t="s">
        <v>1187</v>
      </c>
      <c r="B1163" t="s">
        <v>40</v>
      </c>
      <c r="C1163" t="s">
        <v>8</v>
      </c>
      <c r="D1163">
        <v>245.27</v>
      </c>
      <c r="E1163" t="s">
        <v>22</v>
      </c>
      <c r="F1163">
        <v>555.14</v>
      </c>
      <c r="G1163">
        <f t="shared" si="20"/>
        <v>136159.18780000001</v>
      </c>
      <c r="H1163" t="str">
        <f>IF(BOQ_Table[[#This Row],[Amount]]&gt;100000,"Over Budget","OK")</f>
        <v>Over Budget</v>
      </c>
      <c r="I1163" t="str">
        <f>IF(OR(BOQ_Table[[#This Row],[Quantity]]="",BOQ_Table[[#This Row],[Rate]]=""),"Missing","OK")</f>
        <v>OK</v>
      </c>
    </row>
    <row r="1164" spans="1:9" x14ac:dyDescent="0.35">
      <c r="A1164" t="s">
        <v>1188</v>
      </c>
      <c r="B1164" t="s">
        <v>11</v>
      </c>
      <c r="C1164" t="s">
        <v>21</v>
      </c>
      <c r="D1164">
        <v>362.48</v>
      </c>
      <c r="E1164" t="s">
        <v>22</v>
      </c>
      <c r="F1164">
        <v>2882.95</v>
      </c>
      <c r="G1164">
        <f t="shared" si="20"/>
        <v>1045011.716</v>
      </c>
      <c r="H1164" t="str">
        <f>IF(BOQ_Table[[#This Row],[Amount]]&gt;100000,"Over Budget","OK")</f>
        <v>Over Budget</v>
      </c>
      <c r="I1164" t="str">
        <f>IF(OR(BOQ_Table[[#This Row],[Quantity]]="",BOQ_Table[[#This Row],[Rate]]=""),"Missing","OK")</f>
        <v>OK</v>
      </c>
    </row>
    <row r="1165" spans="1:9" x14ac:dyDescent="0.35">
      <c r="A1165" t="s">
        <v>1189</v>
      </c>
      <c r="B1165" t="s">
        <v>11</v>
      </c>
      <c r="C1165" t="s">
        <v>8</v>
      </c>
      <c r="D1165">
        <v>360.61</v>
      </c>
      <c r="E1165" t="s">
        <v>22</v>
      </c>
      <c r="F1165">
        <v>491.14</v>
      </c>
      <c r="G1165">
        <f t="shared" si="20"/>
        <v>177109.99540000001</v>
      </c>
      <c r="H1165" t="str">
        <f>IF(BOQ_Table[[#This Row],[Amount]]&gt;100000,"Over Budget","OK")</f>
        <v>Over Budget</v>
      </c>
      <c r="I1165" t="str">
        <f>IF(OR(BOQ_Table[[#This Row],[Quantity]]="",BOQ_Table[[#This Row],[Rate]]=""),"Missing","OK")</f>
        <v>OK</v>
      </c>
    </row>
    <row r="1166" spans="1:9" x14ac:dyDescent="0.35">
      <c r="A1166" t="s">
        <v>1190</v>
      </c>
      <c r="B1166" t="s">
        <v>42</v>
      </c>
      <c r="C1166" t="s">
        <v>12</v>
      </c>
      <c r="D1166">
        <v>377.88</v>
      </c>
      <c r="E1166" t="s">
        <v>22</v>
      </c>
      <c r="F1166">
        <v>54.18</v>
      </c>
      <c r="G1166">
        <f t="shared" si="20"/>
        <v>20473.538400000001</v>
      </c>
      <c r="H1166" t="str">
        <f>IF(BOQ_Table[[#This Row],[Amount]]&gt;100000,"Over Budget","OK")</f>
        <v>OK</v>
      </c>
      <c r="I1166" t="str">
        <f>IF(OR(BOQ_Table[[#This Row],[Quantity]]="",BOQ_Table[[#This Row],[Rate]]=""),"Missing","OK")</f>
        <v>OK</v>
      </c>
    </row>
    <row r="1167" spans="1:9" x14ac:dyDescent="0.35">
      <c r="A1167" t="s">
        <v>1191</v>
      </c>
      <c r="B1167" t="s">
        <v>30</v>
      </c>
      <c r="C1167" t="s">
        <v>38</v>
      </c>
      <c r="D1167">
        <v>482.94</v>
      </c>
      <c r="E1167" t="s">
        <v>18</v>
      </c>
      <c r="F1167">
        <v>1649.41</v>
      </c>
      <c r="G1167">
        <f t="shared" si="20"/>
        <v>796566.06540000008</v>
      </c>
      <c r="H1167" t="str">
        <f>IF(BOQ_Table[[#This Row],[Amount]]&gt;100000,"Over Budget","OK")</f>
        <v>Over Budget</v>
      </c>
      <c r="I1167" t="str">
        <f>IF(OR(BOQ_Table[[#This Row],[Quantity]]="",BOQ_Table[[#This Row],[Rate]]=""),"Missing","OK")</f>
        <v>OK</v>
      </c>
    </row>
    <row r="1168" spans="1:9" x14ac:dyDescent="0.35">
      <c r="A1168" t="s">
        <v>1192</v>
      </c>
      <c r="B1168" t="s">
        <v>7</v>
      </c>
      <c r="C1168" t="s">
        <v>17</v>
      </c>
      <c r="D1168">
        <v>378.48</v>
      </c>
      <c r="E1168" t="s">
        <v>27</v>
      </c>
      <c r="F1168">
        <v>3253.22</v>
      </c>
      <c r="G1168">
        <f t="shared" si="20"/>
        <v>1231278.7056</v>
      </c>
      <c r="H1168" t="str">
        <f>IF(BOQ_Table[[#This Row],[Amount]]&gt;100000,"Over Budget","OK")</f>
        <v>Over Budget</v>
      </c>
      <c r="I1168" t="str">
        <f>IF(OR(BOQ_Table[[#This Row],[Quantity]]="",BOQ_Table[[#This Row],[Rate]]=""),"Missing","OK")</f>
        <v>OK</v>
      </c>
    </row>
    <row r="1169" spans="1:9" x14ac:dyDescent="0.35">
      <c r="A1169" t="s">
        <v>1193</v>
      </c>
      <c r="B1169" t="s">
        <v>42</v>
      </c>
      <c r="C1169" t="s">
        <v>21</v>
      </c>
      <c r="D1169">
        <v>374.33</v>
      </c>
      <c r="E1169" t="s">
        <v>9</v>
      </c>
      <c r="F1169">
        <v>4521.97</v>
      </c>
      <c r="G1169">
        <f t="shared" si="20"/>
        <v>1692709.0301000001</v>
      </c>
      <c r="H1169" t="str">
        <f>IF(BOQ_Table[[#This Row],[Amount]]&gt;100000,"Over Budget","OK")</f>
        <v>Over Budget</v>
      </c>
      <c r="I1169" t="str">
        <f>IF(OR(BOQ_Table[[#This Row],[Quantity]]="",BOQ_Table[[#This Row],[Rate]]=""),"Missing","OK")</f>
        <v>OK</v>
      </c>
    </row>
    <row r="1170" spans="1:9" x14ac:dyDescent="0.35">
      <c r="A1170" t="s">
        <v>1194</v>
      </c>
      <c r="B1170" t="s">
        <v>32</v>
      </c>
      <c r="C1170" t="s">
        <v>12</v>
      </c>
      <c r="D1170">
        <v>470.34</v>
      </c>
      <c r="E1170" t="s">
        <v>14</v>
      </c>
      <c r="F1170">
        <v>2187.9499999999998</v>
      </c>
      <c r="G1170">
        <f t="shared" si="20"/>
        <v>1029080.4029999998</v>
      </c>
      <c r="H1170" t="str">
        <f>IF(BOQ_Table[[#This Row],[Amount]]&gt;100000,"Over Budget","OK")</f>
        <v>Over Budget</v>
      </c>
      <c r="I1170" t="str">
        <f>IF(OR(BOQ_Table[[#This Row],[Quantity]]="",BOQ_Table[[#This Row],[Rate]]=""),"Missing","OK")</f>
        <v>OK</v>
      </c>
    </row>
    <row r="1171" spans="1:9" x14ac:dyDescent="0.35">
      <c r="A1171" t="s">
        <v>1195</v>
      </c>
      <c r="B1171" t="s">
        <v>42</v>
      </c>
      <c r="C1171" t="s">
        <v>12</v>
      </c>
      <c r="D1171">
        <v>442.14</v>
      </c>
      <c r="E1171" t="s">
        <v>14</v>
      </c>
      <c r="F1171">
        <v>2244.15</v>
      </c>
      <c r="G1171">
        <f t="shared" si="20"/>
        <v>992228.48100000003</v>
      </c>
      <c r="H1171" t="str">
        <f>IF(BOQ_Table[[#This Row],[Amount]]&gt;100000,"Over Budget","OK")</f>
        <v>Over Budget</v>
      </c>
      <c r="I1171" t="str">
        <f>IF(OR(BOQ_Table[[#This Row],[Quantity]]="",BOQ_Table[[#This Row],[Rate]]=""),"Missing","OK")</f>
        <v>OK</v>
      </c>
    </row>
    <row r="1172" spans="1:9" x14ac:dyDescent="0.35">
      <c r="A1172" t="s">
        <v>1196</v>
      </c>
      <c r="B1172" t="s">
        <v>7</v>
      </c>
      <c r="C1172" t="s">
        <v>12</v>
      </c>
      <c r="D1172">
        <v>401.81</v>
      </c>
      <c r="E1172" t="s">
        <v>27</v>
      </c>
      <c r="F1172">
        <v>3422.5</v>
      </c>
      <c r="G1172">
        <f t="shared" si="20"/>
        <v>1375194.7250000001</v>
      </c>
      <c r="H1172" t="str">
        <f>IF(BOQ_Table[[#This Row],[Amount]]&gt;100000,"Over Budget","OK")</f>
        <v>Over Budget</v>
      </c>
      <c r="I1172" t="str">
        <f>IF(OR(BOQ_Table[[#This Row],[Quantity]]="",BOQ_Table[[#This Row],[Rate]]=""),"Missing","OK")</f>
        <v>OK</v>
      </c>
    </row>
    <row r="1173" spans="1:9" x14ac:dyDescent="0.35">
      <c r="A1173" t="s">
        <v>1197</v>
      </c>
      <c r="B1173" t="s">
        <v>42</v>
      </c>
      <c r="C1173" t="s">
        <v>17</v>
      </c>
      <c r="D1173">
        <v>1.75</v>
      </c>
      <c r="E1173" t="s">
        <v>14</v>
      </c>
      <c r="F1173">
        <v>4922.0600000000004</v>
      </c>
      <c r="G1173">
        <f t="shared" si="20"/>
        <v>8613.6050000000014</v>
      </c>
      <c r="H1173" t="str">
        <f>IF(BOQ_Table[[#This Row],[Amount]]&gt;100000,"Over Budget","OK")</f>
        <v>OK</v>
      </c>
      <c r="I1173" t="str">
        <f>IF(OR(BOQ_Table[[#This Row],[Quantity]]="",BOQ_Table[[#This Row],[Rate]]=""),"Missing","OK")</f>
        <v>OK</v>
      </c>
    </row>
    <row r="1174" spans="1:9" x14ac:dyDescent="0.35">
      <c r="A1174" t="s">
        <v>1198</v>
      </c>
      <c r="B1174" t="s">
        <v>46</v>
      </c>
      <c r="C1174" t="s">
        <v>21</v>
      </c>
      <c r="D1174">
        <v>173.24</v>
      </c>
      <c r="E1174" t="s">
        <v>27</v>
      </c>
      <c r="F1174">
        <v>2148.39</v>
      </c>
      <c r="G1174">
        <f t="shared" si="20"/>
        <v>372187.08360000001</v>
      </c>
      <c r="H1174" t="str">
        <f>IF(BOQ_Table[[#This Row],[Amount]]&gt;100000,"Over Budget","OK")</f>
        <v>Over Budget</v>
      </c>
      <c r="I1174" t="str">
        <f>IF(OR(BOQ_Table[[#This Row],[Quantity]]="",BOQ_Table[[#This Row],[Rate]]=""),"Missing","OK")</f>
        <v>OK</v>
      </c>
    </row>
    <row r="1175" spans="1:9" x14ac:dyDescent="0.35">
      <c r="A1175" t="s">
        <v>1199</v>
      </c>
      <c r="B1175" t="s">
        <v>16</v>
      </c>
      <c r="C1175" t="s">
        <v>8</v>
      </c>
      <c r="D1175">
        <v>114.54</v>
      </c>
      <c r="E1175" t="s">
        <v>27</v>
      </c>
      <c r="F1175">
        <v>259.3</v>
      </c>
      <c r="G1175">
        <f t="shared" si="20"/>
        <v>29700.222000000002</v>
      </c>
      <c r="H1175" t="str">
        <f>IF(BOQ_Table[[#This Row],[Amount]]&gt;100000,"Over Budget","OK")</f>
        <v>OK</v>
      </c>
      <c r="I1175" t="str">
        <f>IF(OR(BOQ_Table[[#This Row],[Quantity]]="",BOQ_Table[[#This Row],[Rate]]=""),"Missing","OK")</f>
        <v>OK</v>
      </c>
    </row>
    <row r="1176" spans="1:9" x14ac:dyDescent="0.35">
      <c r="A1176" t="s">
        <v>1200</v>
      </c>
      <c r="B1176" t="s">
        <v>46</v>
      </c>
      <c r="C1176" t="s">
        <v>21</v>
      </c>
      <c r="D1176">
        <v>154.46</v>
      </c>
      <c r="E1176" t="s">
        <v>27</v>
      </c>
      <c r="F1176">
        <v>197.66</v>
      </c>
      <c r="G1176">
        <f t="shared" si="20"/>
        <v>30530.563600000001</v>
      </c>
      <c r="H1176" t="str">
        <f>IF(BOQ_Table[[#This Row],[Amount]]&gt;100000,"Over Budget","OK")</f>
        <v>OK</v>
      </c>
      <c r="I1176" t="str">
        <f>IF(OR(BOQ_Table[[#This Row],[Quantity]]="",BOQ_Table[[#This Row],[Rate]]=""),"Missing","OK")</f>
        <v>OK</v>
      </c>
    </row>
    <row r="1177" spans="1:9" x14ac:dyDescent="0.35">
      <c r="A1177" t="s">
        <v>1201</v>
      </c>
      <c r="B1177" t="s">
        <v>42</v>
      </c>
      <c r="C1177" t="s">
        <v>8</v>
      </c>
      <c r="D1177">
        <v>25.58</v>
      </c>
      <c r="E1177" t="s">
        <v>18</v>
      </c>
      <c r="F1177">
        <v>3905.77</v>
      </c>
      <c r="G1177">
        <f t="shared" si="20"/>
        <v>99909.59659999999</v>
      </c>
      <c r="H1177" t="str">
        <f>IF(BOQ_Table[[#This Row],[Amount]]&gt;100000,"Over Budget","OK")</f>
        <v>OK</v>
      </c>
      <c r="I1177" t="str">
        <f>IF(OR(BOQ_Table[[#This Row],[Quantity]]="",BOQ_Table[[#This Row],[Rate]]=""),"Missing","OK")</f>
        <v>OK</v>
      </c>
    </row>
    <row r="1178" spans="1:9" x14ac:dyDescent="0.35">
      <c r="A1178" t="s">
        <v>1202</v>
      </c>
      <c r="B1178" t="s">
        <v>56</v>
      </c>
      <c r="C1178" t="s">
        <v>12</v>
      </c>
      <c r="D1178">
        <v>252.38</v>
      </c>
      <c r="E1178" t="s">
        <v>18</v>
      </c>
      <c r="F1178">
        <v>234.27</v>
      </c>
      <c r="G1178">
        <f t="shared" si="20"/>
        <v>59125.062600000005</v>
      </c>
      <c r="H1178" t="str">
        <f>IF(BOQ_Table[[#This Row],[Amount]]&gt;100000,"Over Budget","OK")</f>
        <v>OK</v>
      </c>
      <c r="I1178" t="str">
        <f>IF(OR(BOQ_Table[[#This Row],[Quantity]]="",BOQ_Table[[#This Row],[Rate]]=""),"Missing","OK")</f>
        <v>OK</v>
      </c>
    </row>
    <row r="1179" spans="1:9" x14ac:dyDescent="0.35">
      <c r="A1179" t="s">
        <v>1203</v>
      </c>
      <c r="B1179" t="s">
        <v>56</v>
      </c>
      <c r="C1179" t="s">
        <v>12</v>
      </c>
      <c r="D1179">
        <v>131.61000000000001</v>
      </c>
      <c r="E1179" t="s">
        <v>14</v>
      </c>
      <c r="F1179">
        <v>2627.06</v>
      </c>
      <c r="G1179">
        <f t="shared" si="20"/>
        <v>345747.36660000001</v>
      </c>
      <c r="H1179" t="str">
        <f>IF(BOQ_Table[[#This Row],[Amount]]&gt;100000,"Over Budget","OK")</f>
        <v>Over Budget</v>
      </c>
      <c r="I1179" t="str">
        <f>IF(OR(BOQ_Table[[#This Row],[Quantity]]="",BOQ_Table[[#This Row],[Rate]]=""),"Missing","OK")</f>
        <v>OK</v>
      </c>
    </row>
    <row r="1180" spans="1:9" x14ac:dyDescent="0.35">
      <c r="A1180" t="s">
        <v>1204</v>
      </c>
      <c r="B1180" t="s">
        <v>20</v>
      </c>
      <c r="C1180" t="s">
        <v>38</v>
      </c>
      <c r="D1180">
        <v>326.45999999999998</v>
      </c>
      <c r="E1180" t="s">
        <v>9</v>
      </c>
      <c r="F1180">
        <v>3117.17</v>
      </c>
      <c r="G1180">
        <f t="shared" si="20"/>
        <v>1017631.3182</v>
      </c>
      <c r="H1180" t="str">
        <f>IF(BOQ_Table[[#This Row],[Amount]]&gt;100000,"Over Budget","OK")</f>
        <v>Over Budget</v>
      </c>
      <c r="I1180" t="str">
        <f>IF(OR(BOQ_Table[[#This Row],[Quantity]]="",BOQ_Table[[#This Row],[Rate]]=""),"Missing","OK")</f>
        <v>OK</v>
      </c>
    </row>
    <row r="1181" spans="1:9" x14ac:dyDescent="0.35">
      <c r="A1181" t="s">
        <v>1205</v>
      </c>
      <c r="B1181" t="s">
        <v>11</v>
      </c>
      <c r="C1181" t="s">
        <v>21</v>
      </c>
      <c r="D1181">
        <v>371.94</v>
      </c>
      <c r="E1181" t="s">
        <v>14</v>
      </c>
      <c r="F1181">
        <v>559.71</v>
      </c>
      <c r="G1181">
        <f t="shared" si="20"/>
        <v>208178.5374</v>
      </c>
      <c r="H1181" t="str">
        <f>IF(BOQ_Table[[#This Row],[Amount]]&gt;100000,"Over Budget","OK")</f>
        <v>Over Budget</v>
      </c>
      <c r="I1181" t="str">
        <f>IF(OR(BOQ_Table[[#This Row],[Quantity]]="",BOQ_Table[[#This Row],[Rate]]=""),"Missing","OK")</f>
        <v>OK</v>
      </c>
    </row>
    <row r="1182" spans="1:9" x14ac:dyDescent="0.35">
      <c r="A1182" t="s">
        <v>1206</v>
      </c>
      <c r="B1182" t="s">
        <v>56</v>
      </c>
      <c r="C1182" t="s">
        <v>38</v>
      </c>
      <c r="D1182">
        <v>112.79</v>
      </c>
      <c r="E1182" t="s">
        <v>18</v>
      </c>
      <c r="F1182">
        <v>1643.95</v>
      </c>
      <c r="G1182">
        <f t="shared" si="20"/>
        <v>185421.12050000002</v>
      </c>
      <c r="H1182" t="str">
        <f>IF(BOQ_Table[[#This Row],[Amount]]&gt;100000,"Over Budget","OK")</f>
        <v>Over Budget</v>
      </c>
      <c r="I1182" t="str">
        <f>IF(OR(BOQ_Table[[#This Row],[Quantity]]="",BOQ_Table[[#This Row],[Rate]]=""),"Missing","OK")</f>
        <v>OK</v>
      </c>
    </row>
    <row r="1183" spans="1:9" x14ac:dyDescent="0.35">
      <c r="A1183" t="s">
        <v>1207</v>
      </c>
      <c r="B1183" t="s">
        <v>30</v>
      </c>
      <c r="C1183" t="s">
        <v>21</v>
      </c>
      <c r="D1183">
        <v>174.56</v>
      </c>
      <c r="E1183" t="s">
        <v>14</v>
      </c>
      <c r="F1183">
        <v>3098.34</v>
      </c>
      <c r="G1183">
        <f t="shared" si="20"/>
        <v>540846.2304</v>
      </c>
      <c r="H1183" t="str">
        <f>IF(BOQ_Table[[#This Row],[Amount]]&gt;100000,"Over Budget","OK")</f>
        <v>Over Budget</v>
      </c>
      <c r="I1183" t="str">
        <f>IF(OR(BOQ_Table[[#This Row],[Quantity]]="",BOQ_Table[[#This Row],[Rate]]=""),"Missing","OK")</f>
        <v>OK</v>
      </c>
    </row>
    <row r="1184" spans="1:9" x14ac:dyDescent="0.35">
      <c r="A1184" t="s">
        <v>1208</v>
      </c>
      <c r="B1184" t="s">
        <v>11</v>
      </c>
      <c r="C1184" t="s">
        <v>8</v>
      </c>
      <c r="D1184">
        <v>159.91</v>
      </c>
      <c r="E1184" t="s">
        <v>27</v>
      </c>
      <c r="F1184">
        <v>157.87</v>
      </c>
      <c r="G1184">
        <f t="shared" si="20"/>
        <v>25244.991699999999</v>
      </c>
      <c r="H1184" t="str">
        <f>IF(BOQ_Table[[#This Row],[Amount]]&gt;100000,"Over Budget","OK")</f>
        <v>OK</v>
      </c>
      <c r="I1184" t="str">
        <f>IF(OR(BOQ_Table[[#This Row],[Quantity]]="",BOQ_Table[[#This Row],[Rate]]=""),"Missing","OK")</f>
        <v>OK</v>
      </c>
    </row>
    <row r="1185" spans="1:9" x14ac:dyDescent="0.35">
      <c r="A1185" t="s">
        <v>1209</v>
      </c>
      <c r="B1185" t="s">
        <v>32</v>
      </c>
      <c r="C1185" t="s">
        <v>8</v>
      </c>
      <c r="D1185">
        <v>162.37</v>
      </c>
      <c r="E1185" t="s">
        <v>27</v>
      </c>
      <c r="F1185">
        <v>4840.6000000000004</v>
      </c>
      <c r="G1185">
        <f t="shared" si="20"/>
        <v>785968.22200000007</v>
      </c>
      <c r="H1185" t="str">
        <f>IF(BOQ_Table[[#This Row],[Amount]]&gt;100000,"Over Budget","OK")</f>
        <v>Over Budget</v>
      </c>
      <c r="I1185" t="str">
        <f>IF(OR(BOQ_Table[[#This Row],[Quantity]]="",BOQ_Table[[#This Row],[Rate]]=""),"Missing","OK")</f>
        <v>OK</v>
      </c>
    </row>
    <row r="1186" spans="1:9" x14ac:dyDescent="0.35">
      <c r="A1186" t="s">
        <v>1210</v>
      </c>
      <c r="B1186" t="s">
        <v>20</v>
      </c>
      <c r="C1186" t="s">
        <v>21</v>
      </c>
      <c r="D1186">
        <v>168.08</v>
      </c>
      <c r="E1186" t="s">
        <v>27</v>
      </c>
      <c r="F1186">
        <v>2614.4699999999998</v>
      </c>
      <c r="G1186">
        <f t="shared" si="20"/>
        <v>439440.1176</v>
      </c>
      <c r="H1186" t="str">
        <f>IF(BOQ_Table[[#This Row],[Amount]]&gt;100000,"Over Budget","OK")</f>
        <v>Over Budget</v>
      </c>
      <c r="I1186" t="str">
        <f>IF(OR(BOQ_Table[[#This Row],[Quantity]]="",BOQ_Table[[#This Row],[Rate]]=""),"Missing","OK")</f>
        <v>OK</v>
      </c>
    </row>
    <row r="1187" spans="1:9" x14ac:dyDescent="0.35">
      <c r="A1187" t="s">
        <v>1211</v>
      </c>
      <c r="B1187" t="s">
        <v>56</v>
      </c>
      <c r="C1187" t="s">
        <v>8</v>
      </c>
      <c r="D1187">
        <v>77.17</v>
      </c>
      <c r="E1187" t="s">
        <v>27</v>
      </c>
      <c r="F1187">
        <v>4395.67</v>
      </c>
      <c r="G1187">
        <f t="shared" si="20"/>
        <v>339213.85389999999</v>
      </c>
      <c r="H1187" t="str">
        <f>IF(BOQ_Table[[#This Row],[Amount]]&gt;100000,"Over Budget","OK")</f>
        <v>Over Budget</v>
      </c>
      <c r="I1187" t="str">
        <f>IF(OR(BOQ_Table[[#This Row],[Quantity]]="",BOQ_Table[[#This Row],[Rate]]=""),"Missing","OK")</f>
        <v>OK</v>
      </c>
    </row>
    <row r="1188" spans="1:9" x14ac:dyDescent="0.35">
      <c r="A1188" t="s">
        <v>1212</v>
      </c>
      <c r="B1188" t="s">
        <v>11</v>
      </c>
      <c r="C1188" t="s">
        <v>17</v>
      </c>
      <c r="D1188">
        <v>92.57</v>
      </c>
      <c r="E1188" t="s">
        <v>18</v>
      </c>
      <c r="F1188">
        <v>2366.8000000000002</v>
      </c>
      <c r="G1188">
        <f t="shared" si="20"/>
        <v>219094.67600000001</v>
      </c>
      <c r="H1188" t="str">
        <f>IF(BOQ_Table[[#This Row],[Amount]]&gt;100000,"Over Budget","OK")</f>
        <v>Over Budget</v>
      </c>
      <c r="I1188" t="str">
        <f>IF(OR(BOQ_Table[[#This Row],[Quantity]]="",BOQ_Table[[#This Row],[Rate]]=""),"Missing","OK")</f>
        <v>OK</v>
      </c>
    </row>
    <row r="1189" spans="1:9" x14ac:dyDescent="0.35">
      <c r="A1189" t="s">
        <v>1213</v>
      </c>
      <c r="B1189" t="s">
        <v>7</v>
      </c>
      <c r="C1189" t="s">
        <v>38</v>
      </c>
      <c r="D1189">
        <v>208.57</v>
      </c>
      <c r="E1189" t="s">
        <v>9</v>
      </c>
      <c r="F1189">
        <v>3031.41</v>
      </c>
      <c r="G1189">
        <f t="shared" si="20"/>
        <v>632261.18369999994</v>
      </c>
      <c r="H1189" t="str">
        <f>IF(BOQ_Table[[#This Row],[Amount]]&gt;100000,"Over Budget","OK")</f>
        <v>Over Budget</v>
      </c>
      <c r="I1189" t="str">
        <f>IF(OR(BOQ_Table[[#This Row],[Quantity]]="",BOQ_Table[[#This Row],[Rate]]=""),"Missing","OK")</f>
        <v>OK</v>
      </c>
    </row>
    <row r="1190" spans="1:9" x14ac:dyDescent="0.35">
      <c r="A1190" t="s">
        <v>1214</v>
      </c>
      <c r="B1190" t="s">
        <v>11</v>
      </c>
      <c r="C1190" t="s">
        <v>12</v>
      </c>
      <c r="D1190">
        <v>450.49</v>
      </c>
      <c r="E1190" t="s">
        <v>9</v>
      </c>
      <c r="F1190">
        <v>2665.6</v>
      </c>
      <c r="G1190">
        <f t="shared" si="20"/>
        <v>1200826.1440000001</v>
      </c>
      <c r="H1190" t="str">
        <f>IF(BOQ_Table[[#This Row],[Amount]]&gt;100000,"Over Budget","OK")</f>
        <v>Over Budget</v>
      </c>
      <c r="I1190" t="str">
        <f>IF(OR(BOQ_Table[[#This Row],[Quantity]]="",BOQ_Table[[#This Row],[Rate]]=""),"Missing","OK")</f>
        <v>OK</v>
      </c>
    </row>
    <row r="1191" spans="1:9" x14ac:dyDescent="0.35">
      <c r="A1191" t="s">
        <v>1215</v>
      </c>
      <c r="B1191" t="s">
        <v>42</v>
      </c>
      <c r="C1191" t="s">
        <v>38</v>
      </c>
      <c r="D1191">
        <v>289.45999999999998</v>
      </c>
      <c r="E1191" t="s">
        <v>18</v>
      </c>
      <c r="F1191">
        <v>963.82</v>
      </c>
      <c r="G1191">
        <f t="shared" si="20"/>
        <v>278987.33720000001</v>
      </c>
      <c r="H1191" t="str">
        <f>IF(BOQ_Table[[#This Row],[Amount]]&gt;100000,"Over Budget","OK")</f>
        <v>Over Budget</v>
      </c>
      <c r="I1191" t="str">
        <f>IF(OR(BOQ_Table[[#This Row],[Quantity]]="",BOQ_Table[[#This Row],[Rate]]=""),"Missing","OK")</f>
        <v>OK</v>
      </c>
    </row>
    <row r="1192" spans="1:9" x14ac:dyDescent="0.35">
      <c r="A1192" t="s">
        <v>1216</v>
      </c>
      <c r="B1192" t="s">
        <v>46</v>
      </c>
      <c r="C1192" t="s">
        <v>8</v>
      </c>
      <c r="D1192">
        <v>243.03</v>
      </c>
      <c r="E1192" t="s">
        <v>14</v>
      </c>
      <c r="F1192">
        <v>798.48</v>
      </c>
      <c r="G1192">
        <f t="shared" si="20"/>
        <v>194054.5944</v>
      </c>
      <c r="H1192" t="str">
        <f>IF(BOQ_Table[[#This Row],[Amount]]&gt;100000,"Over Budget","OK")</f>
        <v>Over Budget</v>
      </c>
      <c r="I1192" t="str">
        <f>IF(OR(BOQ_Table[[#This Row],[Quantity]]="",BOQ_Table[[#This Row],[Rate]]=""),"Missing","OK")</f>
        <v>OK</v>
      </c>
    </row>
    <row r="1193" spans="1:9" x14ac:dyDescent="0.35">
      <c r="A1193" t="s">
        <v>1217</v>
      </c>
      <c r="B1193" t="s">
        <v>30</v>
      </c>
      <c r="C1193" t="s">
        <v>12</v>
      </c>
      <c r="D1193">
        <v>48.99</v>
      </c>
      <c r="E1193" t="s">
        <v>9</v>
      </c>
      <c r="F1193">
        <v>676.21</v>
      </c>
      <c r="G1193">
        <f t="shared" si="20"/>
        <v>33127.527900000001</v>
      </c>
      <c r="H1193" t="str">
        <f>IF(BOQ_Table[[#This Row],[Amount]]&gt;100000,"Over Budget","OK")</f>
        <v>OK</v>
      </c>
      <c r="I1193" t="str">
        <f>IF(OR(BOQ_Table[[#This Row],[Quantity]]="",BOQ_Table[[#This Row],[Rate]]=""),"Missing","OK")</f>
        <v>OK</v>
      </c>
    </row>
    <row r="1194" spans="1:9" x14ac:dyDescent="0.35">
      <c r="A1194" t="s">
        <v>1218</v>
      </c>
      <c r="B1194" t="s">
        <v>7</v>
      </c>
      <c r="C1194" t="s">
        <v>12</v>
      </c>
      <c r="D1194">
        <v>257.14999999999998</v>
      </c>
      <c r="E1194" t="s">
        <v>27</v>
      </c>
      <c r="F1194">
        <v>696.62</v>
      </c>
      <c r="G1194">
        <f t="shared" si="20"/>
        <v>179135.83299999998</v>
      </c>
      <c r="H1194" t="str">
        <f>IF(BOQ_Table[[#This Row],[Amount]]&gt;100000,"Over Budget","OK")</f>
        <v>Over Budget</v>
      </c>
      <c r="I1194" t="str">
        <f>IF(OR(BOQ_Table[[#This Row],[Quantity]]="",BOQ_Table[[#This Row],[Rate]]=""),"Missing","OK")</f>
        <v>OK</v>
      </c>
    </row>
    <row r="1195" spans="1:9" x14ac:dyDescent="0.35">
      <c r="A1195" t="s">
        <v>1219</v>
      </c>
      <c r="B1195" t="s">
        <v>46</v>
      </c>
      <c r="C1195" t="s">
        <v>38</v>
      </c>
      <c r="D1195">
        <v>420.73</v>
      </c>
      <c r="E1195" t="s">
        <v>18</v>
      </c>
      <c r="F1195">
        <v>2210.66</v>
      </c>
      <c r="G1195">
        <f t="shared" si="20"/>
        <v>930090.98179999995</v>
      </c>
      <c r="H1195" t="str">
        <f>IF(BOQ_Table[[#This Row],[Amount]]&gt;100000,"Over Budget","OK")</f>
        <v>Over Budget</v>
      </c>
      <c r="I1195" t="str">
        <f>IF(OR(BOQ_Table[[#This Row],[Quantity]]="",BOQ_Table[[#This Row],[Rate]]=""),"Missing","OK")</f>
        <v>OK</v>
      </c>
    </row>
    <row r="1196" spans="1:9" x14ac:dyDescent="0.35">
      <c r="A1196" t="s">
        <v>1220</v>
      </c>
      <c r="B1196" t="s">
        <v>46</v>
      </c>
      <c r="C1196" t="s">
        <v>38</v>
      </c>
      <c r="D1196">
        <v>174.12</v>
      </c>
      <c r="E1196" t="s">
        <v>14</v>
      </c>
      <c r="F1196">
        <v>3664.65</v>
      </c>
      <c r="G1196">
        <f t="shared" si="20"/>
        <v>638088.85800000001</v>
      </c>
      <c r="H1196" t="str">
        <f>IF(BOQ_Table[[#This Row],[Amount]]&gt;100000,"Over Budget","OK")</f>
        <v>Over Budget</v>
      </c>
      <c r="I1196" t="str">
        <f>IF(OR(BOQ_Table[[#This Row],[Quantity]]="",BOQ_Table[[#This Row],[Rate]]=""),"Missing","OK")</f>
        <v>OK</v>
      </c>
    </row>
    <row r="1197" spans="1:9" x14ac:dyDescent="0.35">
      <c r="A1197" t="s">
        <v>1221</v>
      </c>
      <c r="B1197" t="s">
        <v>56</v>
      </c>
      <c r="C1197" t="s">
        <v>38</v>
      </c>
      <c r="D1197">
        <v>384.22</v>
      </c>
      <c r="E1197" t="s">
        <v>9</v>
      </c>
      <c r="F1197">
        <v>2013.86</v>
      </c>
      <c r="G1197">
        <f t="shared" si="20"/>
        <v>773765.2892</v>
      </c>
      <c r="H1197" t="str">
        <f>IF(BOQ_Table[[#This Row],[Amount]]&gt;100000,"Over Budget","OK")</f>
        <v>Over Budget</v>
      </c>
      <c r="I1197" t="str">
        <f>IF(OR(BOQ_Table[[#This Row],[Quantity]]="",BOQ_Table[[#This Row],[Rate]]=""),"Missing","OK")</f>
        <v>OK</v>
      </c>
    </row>
    <row r="1198" spans="1:9" x14ac:dyDescent="0.35">
      <c r="A1198" t="s">
        <v>1222</v>
      </c>
      <c r="B1198" t="s">
        <v>56</v>
      </c>
      <c r="C1198" t="s">
        <v>12</v>
      </c>
      <c r="D1198">
        <v>356.26</v>
      </c>
      <c r="E1198" t="s">
        <v>27</v>
      </c>
      <c r="F1198">
        <v>1011.65</v>
      </c>
      <c r="G1198">
        <f t="shared" si="20"/>
        <v>360410.429</v>
      </c>
      <c r="H1198" t="str">
        <f>IF(BOQ_Table[[#This Row],[Amount]]&gt;100000,"Over Budget","OK")</f>
        <v>Over Budget</v>
      </c>
      <c r="I1198" t="str">
        <f>IF(OR(BOQ_Table[[#This Row],[Quantity]]="",BOQ_Table[[#This Row],[Rate]]=""),"Missing","OK")</f>
        <v>OK</v>
      </c>
    </row>
    <row r="1199" spans="1:9" x14ac:dyDescent="0.35">
      <c r="A1199" t="s">
        <v>1223</v>
      </c>
      <c r="B1199" t="s">
        <v>16</v>
      </c>
      <c r="C1199" t="s">
        <v>38</v>
      </c>
      <c r="D1199">
        <v>151.58000000000001</v>
      </c>
      <c r="E1199" t="s">
        <v>9</v>
      </c>
      <c r="F1199">
        <v>3945.18</v>
      </c>
      <c r="G1199">
        <f t="shared" si="20"/>
        <v>598010.38439999998</v>
      </c>
      <c r="H1199" t="str">
        <f>IF(BOQ_Table[[#This Row],[Amount]]&gt;100000,"Over Budget","OK")</f>
        <v>Over Budget</v>
      </c>
      <c r="I1199" t="str">
        <f>IF(OR(BOQ_Table[[#This Row],[Quantity]]="",BOQ_Table[[#This Row],[Rate]]=""),"Missing","OK")</f>
        <v>OK</v>
      </c>
    </row>
    <row r="1200" spans="1:9" x14ac:dyDescent="0.35">
      <c r="A1200" t="s">
        <v>1224</v>
      </c>
      <c r="B1200" t="s">
        <v>46</v>
      </c>
      <c r="C1200" t="s">
        <v>21</v>
      </c>
      <c r="D1200">
        <v>240.57</v>
      </c>
      <c r="E1200" t="s">
        <v>14</v>
      </c>
      <c r="F1200">
        <v>286.54000000000002</v>
      </c>
      <c r="G1200">
        <f t="shared" si="20"/>
        <v>68932.927800000005</v>
      </c>
      <c r="H1200" t="str">
        <f>IF(BOQ_Table[[#This Row],[Amount]]&gt;100000,"Over Budget","OK")</f>
        <v>OK</v>
      </c>
      <c r="I1200" t="str">
        <f>IF(OR(BOQ_Table[[#This Row],[Quantity]]="",BOQ_Table[[#This Row],[Rate]]=""),"Missing","OK")</f>
        <v>OK</v>
      </c>
    </row>
    <row r="1201" spans="1:9" x14ac:dyDescent="0.35">
      <c r="A1201" t="s">
        <v>1225</v>
      </c>
      <c r="B1201" t="s">
        <v>7</v>
      </c>
      <c r="C1201" t="s">
        <v>17</v>
      </c>
      <c r="D1201">
        <v>34.92</v>
      </c>
      <c r="E1201" t="s">
        <v>14</v>
      </c>
      <c r="F1201">
        <v>2456.91</v>
      </c>
      <c r="G1201">
        <f t="shared" si="20"/>
        <v>85795.297200000001</v>
      </c>
      <c r="H1201" t="str">
        <f>IF(BOQ_Table[[#This Row],[Amount]]&gt;100000,"Over Budget","OK")</f>
        <v>OK</v>
      </c>
      <c r="I1201" t="str">
        <f>IF(OR(BOQ_Table[[#This Row],[Quantity]]="",BOQ_Table[[#This Row],[Rate]]=""),"Missing","OK")</f>
        <v>OK</v>
      </c>
    </row>
    <row r="1202" spans="1:9" x14ac:dyDescent="0.35">
      <c r="A1202" t="s">
        <v>1226</v>
      </c>
      <c r="B1202" t="s">
        <v>46</v>
      </c>
      <c r="C1202" t="s">
        <v>38</v>
      </c>
      <c r="D1202">
        <v>480.95</v>
      </c>
      <c r="E1202" t="s">
        <v>27</v>
      </c>
      <c r="F1202">
        <v>3910.06</v>
      </c>
      <c r="G1202">
        <f t="shared" si="20"/>
        <v>1880543.3569999998</v>
      </c>
      <c r="H1202" t="str">
        <f>IF(BOQ_Table[[#This Row],[Amount]]&gt;100000,"Over Budget","OK")</f>
        <v>Over Budget</v>
      </c>
      <c r="I1202" t="str">
        <f>IF(OR(BOQ_Table[[#This Row],[Quantity]]="",BOQ_Table[[#This Row],[Rate]]=""),"Missing","OK")</f>
        <v>OK</v>
      </c>
    </row>
    <row r="1203" spans="1:9" x14ac:dyDescent="0.35">
      <c r="A1203" t="s">
        <v>1227</v>
      </c>
      <c r="B1203" t="s">
        <v>20</v>
      </c>
      <c r="C1203" t="s">
        <v>21</v>
      </c>
      <c r="D1203">
        <v>171.05</v>
      </c>
      <c r="E1203" t="s">
        <v>27</v>
      </c>
      <c r="F1203">
        <v>1878.87</v>
      </c>
      <c r="G1203">
        <f t="shared" si="20"/>
        <v>321380.71350000001</v>
      </c>
      <c r="H1203" t="str">
        <f>IF(BOQ_Table[[#This Row],[Amount]]&gt;100000,"Over Budget","OK")</f>
        <v>Over Budget</v>
      </c>
      <c r="I1203" t="str">
        <f>IF(OR(BOQ_Table[[#This Row],[Quantity]]="",BOQ_Table[[#This Row],[Rate]]=""),"Missing","OK")</f>
        <v>OK</v>
      </c>
    </row>
    <row r="1204" spans="1:9" x14ac:dyDescent="0.35">
      <c r="A1204" t="s">
        <v>1228</v>
      </c>
      <c r="B1204" t="s">
        <v>56</v>
      </c>
      <c r="C1204" t="s">
        <v>8</v>
      </c>
      <c r="D1204">
        <v>184.61</v>
      </c>
      <c r="E1204" t="s">
        <v>9</v>
      </c>
      <c r="F1204">
        <v>3916.47</v>
      </c>
      <c r="G1204">
        <f t="shared" si="20"/>
        <v>723019.52670000005</v>
      </c>
      <c r="H1204" t="str">
        <f>IF(BOQ_Table[[#This Row],[Amount]]&gt;100000,"Over Budget","OK")</f>
        <v>Over Budget</v>
      </c>
      <c r="I1204" t="str">
        <f>IF(OR(BOQ_Table[[#This Row],[Quantity]]="",BOQ_Table[[#This Row],[Rate]]=""),"Missing","OK")</f>
        <v>OK</v>
      </c>
    </row>
    <row r="1205" spans="1:9" x14ac:dyDescent="0.35">
      <c r="A1205" t="s">
        <v>1229</v>
      </c>
      <c r="B1205" t="s">
        <v>46</v>
      </c>
      <c r="C1205" t="s">
        <v>38</v>
      </c>
      <c r="D1205">
        <v>168.98</v>
      </c>
      <c r="E1205" t="s">
        <v>9</v>
      </c>
      <c r="F1205">
        <v>4505.8900000000003</v>
      </c>
      <c r="G1205">
        <f t="shared" si="20"/>
        <v>761405.29220000003</v>
      </c>
      <c r="H1205" t="str">
        <f>IF(BOQ_Table[[#This Row],[Amount]]&gt;100000,"Over Budget","OK")</f>
        <v>Over Budget</v>
      </c>
      <c r="I1205" t="str">
        <f>IF(OR(BOQ_Table[[#This Row],[Quantity]]="",BOQ_Table[[#This Row],[Rate]]=""),"Missing","OK")</f>
        <v>OK</v>
      </c>
    </row>
    <row r="1206" spans="1:9" x14ac:dyDescent="0.35">
      <c r="A1206" t="s">
        <v>1230</v>
      </c>
      <c r="B1206" t="s">
        <v>40</v>
      </c>
      <c r="C1206" t="s">
        <v>12</v>
      </c>
      <c r="D1206">
        <v>377.15</v>
      </c>
      <c r="E1206" t="s">
        <v>14</v>
      </c>
      <c r="F1206">
        <v>3947.8</v>
      </c>
      <c r="G1206">
        <f t="shared" si="20"/>
        <v>1488912.77</v>
      </c>
      <c r="H1206" t="str">
        <f>IF(BOQ_Table[[#This Row],[Amount]]&gt;100000,"Over Budget","OK")</f>
        <v>Over Budget</v>
      </c>
      <c r="I1206" t="str">
        <f>IF(OR(BOQ_Table[[#This Row],[Quantity]]="",BOQ_Table[[#This Row],[Rate]]=""),"Missing","OK")</f>
        <v>OK</v>
      </c>
    </row>
    <row r="1207" spans="1:9" x14ac:dyDescent="0.35">
      <c r="A1207" t="s">
        <v>1231</v>
      </c>
      <c r="B1207" t="s">
        <v>20</v>
      </c>
      <c r="C1207" t="s">
        <v>8</v>
      </c>
      <c r="D1207">
        <v>28.68</v>
      </c>
      <c r="E1207" t="s">
        <v>22</v>
      </c>
      <c r="F1207">
        <v>4815.45</v>
      </c>
      <c r="G1207">
        <f t="shared" si="20"/>
        <v>138107.106</v>
      </c>
      <c r="H1207" t="str">
        <f>IF(BOQ_Table[[#This Row],[Amount]]&gt;100000,"Over Budget","OK")</f>
        <v>Over Budget</v>
      </c>
      <c r="I1207" t="str">
        <f>IF(OR(BOQ_Table[[#This Row],[Quantity]]="",BOQ_Table[[#This Row],[Rate]]=""),"Missing","OK")</f>
        <v>OK</v>
      </c>
    </row>
    <row r="1208" spans="1:9" x14ac:dyDescent="0.35">
      <c r="A1208" t="s">
        <v>1232</v>
      </c>
      <c r="B1208" t="s">
        <v>30</v>
      </c>
      <c r="C1208" t="s">
        <v>17</v>
      </c>
      <c r="D1208">
        <v>452.17</v>
      </c>
      <c r="E1208" t="s">
        <v>27</v>
      </c>
      <c r="F1208">
        <v>2402.4699999999998</v>
      </c>
      <c r="G1208">
        <f t="shared" si="20"/>
        <v>1086324.8599</v>
      </c>
      <c r="H1208" t="str">
        <f>IF(BOQ_Table[[#This Row],[Amount]]&gt;100000,"Over Budget","OK")</f>
        <v>Over Budget</v>
      </c>
      <c r="I1208" t="str">
        <f>IF(OR(BOQ_Table[[#This Row],[Quantity]]="",BOQ_Table[[#This Row],[Rate]]=""),"Missing","OK")</f>
        <v>OK</v>
      </c>
    </row>
    <row r="1209" spans="1:9" x14ac:dyDescent="0.35">
      <c r="A1209" t="s">
        <v>1233</v>
      </c>
      <c r="B1209" t="s">
        <v>40</v>
      </c>
      <c r="C1209" t="s">
        <v>21</v>
      </c>
      <c r="D1209">
        <v>188.9</v>
      </c>
      <c r="E1209" t="s">
        <v>22</v>
      </c>
      <c r="F1209">
        <v>3189.81</v>
      </c>
      <c r="G1209">
        <f t="shared" si="20"/>
        <v>602555.10900000005</v>
      </c>
      <c r="H1209" t="str">
        <f>IF(BOQ_Table[[#This Row],[Amount]]&gt;100000,"Over Budget","OK")</f>
        <v>Over Budget</v>
      </c>
      <c r="I1209" t="str">
        <f>IF(OR(BOQ_Table[[#This Row],[Quantity]]="",BOQ_Table[[#This Row],[Rate]]=""),"Missing","OK")</f>
        <v>OK</v>
      </c>
    </row>
    <row r="1210" spans="1:9" x14ac:dyDescent="0.35">
      <c r="A1210" t="s">
        <v>1234</v>
      </c>
      <c r="B1210" t="s">
        <v>40</v>
      </c>
      <c r="C1210" t="s">
        <v>38</v>
      </c>
      <c r="D1210">
        <v>407.13</v>
      </c>
      <c r="E1210" t="s">
        <v>18</v>
      </c>
      <c r="F1210">
        <v>1706.93</v>
      </c>
      <c r="G1210">
        <f t="shared" si="20"/>
        <v>694942.41090000002</v>
      </c>
      <c r="H1210" t="str">
        <f>IF(BOQ_Table[[#This Row],[Amount]]&gt;100000,"Over Budget","OK")</f>
        <v>Over Budget</v>
      </c>
      <c r="I1210" t="str">
        <f>IF(OR(BOQ_Table[[#This Row],[Quantity]]="",BOQ_Table[[#This Row],[Rate]]=""),"Missing","OK")</f>
        <v>OK</v>
      </c>
    </row>
    <row r="1211" spans="1:9" x14ac:dyDescent="0.35">
      <c r="A1211" t="s">
        <v>1235</v>
      </c>
      <c r="B1211" t="s">
        <v>11</v>
      </c>
      <c r="C1211" t="s">
        <v>17</v>
      </c>
      <c r="D1211">
        <v>32.43</v>
      </c>
      <c r="E1211" t="s">
        <v>9</v>
      </c>
      <c r="F1211">
        <v>1438.17</v>
      </c>
      <c r="G1211">
        <f t="shared" si="20"/>
        <v>46639.8531</v>
      </c>
      <c r="H1211" t="str">
        <f>IF(BOQ_Table[[#This Row],[Amount]]&gt;100000,"Over Budget","OK")</f>
        <v>OK</v>
      </c>
      <c r="I1211" t="str">
        <f>IF(OR(BOQ_Table[[#This Row],[Quantity]]="",BOQ_Table[[#This Row],[Rate]]=""),"Missing","OK")</f>
        <v>OK</v>
      </c>
    </row>
    <row r="1212" spans="1:9" x14ac:dyDescent="0.35">
      <c r="A1212" t="s">
        <v>1236</v>
      </c>
      <c r="B1212" t="s">
        <v>56</v>
      </c>
      <c r="C1212" t="s">
        <v>38</v>
      </c>
      <c r="D1212">
        <v>30.45</v>
      </c>
      <c r="E1212" t="s">
        <v>14</v>
      </c>
      <c r="F1212">
        <v>532.16999999999996</v>
      </c>
      <c r="G1212">
        <f t="shared" si="20"/>
        <v>16204.576499999999</v>
      </c>
      <c r="H1212" t="str">
        <f>IF(BOQ_Table[[#This Row],[Amount]]&gt;100000,"Over Budget","OK")</f>
        <v>OK</v>
      </c>
      <c r="I1212" t="str">
        <f>IF(OR(BOQ_Table[[#This Row],[Quantity]]="",BOQ_Table[[#This Row],[Rate]]=""),"Missing","OK")</f>
        <v>OK</v>
      </c>
    </row>
    <row r="1213" spans="1:9" x14ac:dyDescent="0.35">
      <c r="A1213" t="s">
        <v>1237</v>
      </c>
      <c r="B1213" t="s">
        <v>20</v>
      </c>
      <c r="C1213" t="s">
        <v>12</v>
      </c>
      <c r="D1213">
        <v>93.6</v>
      </c>
      <c r="E1213" t="s">
        <v>9</v>
      </c>
      <c r="F1213">
        <v>2862.84</v>
      </c>
      <c r="G1213">
        <f t="shared" si="20"/>
        <v>267961.82400000002</v>
      </c>
      <c r="H1213" t="str">
        <f>IF(BOQ_Table[[#This Row],[Amount]]&gt;100000,"Over Budget","OK")</f>
        <v>Over Budget</v>
      </c>
      <c r="I1213" t="str">
        <f>IF(OR(BOQ_Table[[#This Row],[Quantity]]="",BOQ_Table[[#This Row],[Rate]]=""),"Missing","OK")</f>
        <v>OK</v>
      </c>
    </row>
    <row r="1214" spans="1:9" x14ac:dyDescent="0.35">
      <c r="A1214" t="s">
        <v>1238</v>
      </c>
      <c r="B1214" t="s">
        <v>30</v>
      </c>
      <c r="C1214" t="s">
        <v>21</v>
      </c>
      <c r="D1214">
        <v>444.83</v>
      </c>
      <c r="E1214" t="s">
        <v>9</v>
      </c>
      <c r="F1214">
        <v>4058.62</v>
      </c>
      <c r="G1214">
        <f t="shared" si="20"/>
        <v>1805395.9345999998</v>
      </c>
      <c r="H1214" t="str">
        <f>IF(BOQ_Table[[#This Row],[Amount]]&gt;100000,"Over Budget","OK")</f>
        <v>Over Budget</v>
      </c>
      <c r="I1214" t="str">
        <f>IF(OR(BOQ_Table[[#This Row],[Quantity]]="",BOQ_Table[[#This Row],[Rate]]=""),"Missing","OK")</f>
        <v>OK</v>
      </c>
    </row>
    <row r="1215" spans="1:9" x14ac:dyDescent="0.35">
      <c r="A1215" t="s">
        <v>1239</v>
      </c>
      <c r="B1215" t="s">
        <v>30</v>
      </c>
      <c r="C1215" t="s">
        <v>21</v>
      </c>
      <c r="D1215">
        <v>337.56</v>
      </c>
      <c r="E1215" t="s">
        <v>14</v>
      </c>
      <c r="F1215">
        <v>3844.29</v>
      </c>
      <c r="G1215">
        <f t="shared" si="20"/>
        <v>1297678.5323999999</v>
      </c>
      <c r="H1215" t="str">
        <f>IF(BOQ_Table[[#This Row],[Amount]]&gt;100000,"Over Budget","OK")</f>
        <v>Over Budget</v>
      </c>
      <c r="I1215" t="str">
        <f>IF(OR(BOQ_Table[[#This Row],[Quantity]]="",BOQ_Table[[#This Row],[Rate]]=""),"Missing","OK")</f>
        <v>OK</v>
      </c>
    </row>
    <row r="1216" spans="1:9" x14ac:dyDescent="0.35">
      <c r="A1216" t="s">
        <v>1240</v>
      </c>
      <c r="B1216" t="s">
        <v>20</v>
      </c>
      <c r="C1216" t="s">
        <v>38</v>
      </c>
      <c r="D1216">
        <v>165.87</v>
      </c>
      <c r="E1216" t="s">
        <v>27</v>
      </c>
      <c r="F1216">
        <v>2925.27</v>
      </c>
      <c r="G1216">
        <f t="shared" si="20"/>
        <v>485214.53490000003</v>
      </c>
      <c r="H1216" t="str">
        <f>IF(BOQ_Table[[#This Row],[Amount]]&gt;100000,"Over Budget","OK")</f>
        <v>Over Budget</v>
      </c>
      <c r="I1216" t="str">
        <f>IF(OR(BOQ_Table[[#This Row],[Quantity]]="",BOQ_Table[[#This Row],[Rate]]=""),"Missing","OK")</f>
        <v>OK</v>
      </c>
    </row>
    <row r="1217" spans="1:9" x14ac:dyDescent="0.35">
      <c r="A1217" t="s">
        <v>1241</v>
      </c>
      <c r="B1217" t="s">
        <v>42</v>
      </c>
      <c r="C1217" t="s">
        <v>17</v>
      </c>
      <c r="D1217">
        <v>268.98</v>
      </c>
      <c r="E1217" t="s">
        <v>22</v>
      </c>
      <c r="F1217">
        <v>1747.72</v>
      </c>
      <c r="G1217">
        <f t="shared" si="20"/>
        <v>470101.72560000006</v>
      </c>
      <c r="H1217" t="str">
        <f>IF(BOQ_Table[[#This Row],[Amount]]&gt;100000,"Over Budget","OK")</f>
        <v>Over Budget</v>
      </c>
      <c r="I1217" t="str">
        <f>IF(OR(BOQ_Table[[#This Row],[Quantity]]="",BOQ_Table[[#This Row],[Rate]]=""),"Missing","OK")</f>
        <v>OK</v>
      </c>
    </row>
    <row r="1218" spans="1:9" x14ac:dyDescent="0.35">
      <c r="A1218" t="s">
        <v>1242</v>
      </c>
      <c r="B1218" t="s">
        <v>16</v>
      </c>
      <c r="C1218" t="s">
        <v>8</v>
      </c>
      <c r="D1218">
        <v>198.92</v>
      </c>
      <c r="E1218" t="s">
        <v>18</v>
      </c>
      <c r="F1218">
        <v>957.07</v>
      </c>
      <c r="G1218">
        <f t="shared" ref="G1218:G1281" si="21">D1218*F1218</f>
        <v>190380.36439999999</v>
      </c>
      <c r="H1218" t="str">
        <f>IF(BOQ_Table[[#This Row],[Amount]]&gt;100000,"Over Budget","OK")</f>
        <v>Over Budget</v>
      </c>
      <c r="I1218" t="str">
        <f>IF(OR(BOQ_Table[[#This Row],[Quantity]]="",BOQ_Table[[#This Row],[Rate]]=""),"Missing","OK")</f>
        <v>OK</v>
      </c>
    </row>
    <row r="1219" spans="1:9" x14ac:dyDescent="0.35">
      <c r="A1219" t="s">
        <v>1243</v>
      </c>
      <c r="B1219" t="s">
        <v>40</v>
      </c>
      <c r="C1219" t="s">
        <v>12</v>
      </c>
      <c r="D1219">
        <v>132.61000000000001</v>
      </c>
      <c r="E1219" t="s">
        <v>22</v>
      </c>
      <c r="F1219">
        <v>965.49</v>
      </c>
      <c r="G1219">
        <f t="shared" si="21"/>
        <v>128033.62890000001</v>
      </c>
      <c r="H1219" t="str">
        <f>IF(BOQ_Table[[#This Row],[Amount]]&gt;100000,"Over Budget","OK")</f>
        <v>Over Budget</v>
      </c>
      <c r="I1219" t="str">
        <f>IF(OR(BOQ_Table[[#This Row],[Quantity]]="",BOQ_Table[[#This Row],[Rate]]=""),"Missing","OK")</f>
        <v>OK</v>
      </c>
    </row>
    <row r="1220" spans="1:9" x14ac:dyDescent="0.35">
      <c r="A1220" t="s">
        <v>1244</v>
      </c>
      <c r="B1220" t="s">
        <v>32</v>
      </c>
      <c r="C1220" t="s">
        <v>17</v>
      </c>
      <c r="D1220">
        <v>155.28</v>
      </c>
      <c r="E1220" t="s">
        <v>18</v>
      </c>
      <c r="F1220">
        <v>4119.75</v>
      </c>
      <c r="G1220">
        <f t="shared" si="21"/>
        <v>639714.78</v>
      </c>
      <c r="H1220" t="str">
        <f>IF(BOQ_Table[[#This Row],[Amount]]&gt;100000,"Over Budget","OK")</f>
        <v>Over Budget</v>
      </c>
      <c r="I1220" t="str">
        <f>IF(OR(BOQ_Table[[#This Row],[Quantity]]="",BOQ_Table[[#This Row],[Rate]]=""),"Missing","OK")</f>
        <v>OK</v>
      </c>
    </row>
    <row r="1221" spans="1:9" x14ac:dyDescent="0.35">
      <c r="A1221" t="s">
        <v>1245</v>
      </c>
      <c r="B1221" t="s">
        <v>46</v>
      </c>
      <c r="C1221" t="s">
        <v>38</v>
      </c>
      <c r="D1221">
        <v>278.98</v>
      </c>
      <c r="E1221" t="s">
        <v>9</v>
      </c>
      <c r="F1221">
        <v>1395.13</v>
      </c>
      <c r="G1221">
        <f t="shared" si="21"/>
        <v>389213.36740000005</v>
      </c>
      <c r="H1221" t="str">
        <f>IF(BOQ_Table[[#This Row],[Amount]]&gt;100000,"Over Budget","OK")</f>
        <v>Over Budget</v>
      </c>
      <c r="I1221" t="str">
        <f>IF(OR(BOQ_Table[[#This Row],[Quantity]]="",BOQ_Table[[#This Row],[Rate]]=""),"Missing","OK")</f>
        <v>OK</v>
      </c>
    </row>
    <row r="1222" spans="1:9" x14ac:dyDescent="0.35">
      <c r="A1222" t="s">
        <v>1246</v>
      </c>
      <c r="B1222" t="s">
        <v>30</v>
      </c>
      <c r="C1222" t="s">
        <v>12</v>
      </c>
      <c r="D1222">
        <v>496.71</v>
      </c>
      <c r="E1222" t="s">
        <v>22</v>
      </c>
      <c r="F1222">
        <v>3609.95</v>
      </c>
      <c r="G1222">
        <f t="shared" si="21"/>
        <v>1793098.2644999998</v>
      </c>
      <c r="H1222" t="str">
        <f>IF(BOQ_Table[[#This Row],[Amount]]&gt;100000,"Over Budget","OK")</f>
        <v>Over Budget</v>
      </c>
      <c r="I1222" t="str">
        <f>IF(OR(BOQ_Table[[#This Row],[Quantity]]="",BOQ_Table[[#This Row],[Rate]]=""),"Missing","OK")</f>
        <v>OK</v>
      </c>
    </row>
    <row r="1223" spans="1:9" x14ac:dyDescent="0.35">
      <c r="A1223" t="s">
        <v>1247</v>
      </c>
      <c r="B1223" t="s">
        <v>30</v>
      </c>
      <c r="C1223" t="s">
        <v>8</v>
      </c>
      <c r="D1223">
        <v>52.07</v>
      </c>
      <c r="E1223" t="s">
        <v>14</v>
      </c>
      <c r="F1223">
        <v>2517.04</v>
      </c>
      <c r="G1223">
        <f t="shared" si="21"/>
        <v>131062.27280000001</v>
      </c>
      <c r="H1223" t="str">
        <f>IF(BOQ_Table[[#This Row],[Amount]]&gt;100000,"Over Budget","OK")</f>
        <v>Over Budget</v>
      </c>
      <c r="I1223" t="str">
        <f>IF(OR(BOQ_Table[[#This Row],[Quantity]]="",BOQ_Table[[#This Row],[Rate]]=""),"Missing","OK")</f>
        <v>OK</v>
      </c>
    </row>
    <row r="1224" spans="1:9" x14ac:dyDescent="0.35">
      <c r="A1224" t="s">
        <v>1248</v>
      </c>
      <c r="B1224" t="s">
        <v>56</v>
      </c>
      <c r="C1224" t="s">
        <v>38</v>
      </c>
      <c r="D1224">
        <v>43.94</v>
      </c>
      <c r="E1224" t="s">
        <v>14</v>
      </c>
      <c r="F1224">
        <v>1180.92</v>
      </c>
      <c r="G1224">
        <f t="shared" si="21"/>
        <v>51889.624799999998</v>
      </c>
      <c r="H1224" t="str">
        <f>IF(BOQ_Table[[#This Row],[Amount]]&gt;100000,"Over Budget","OK")</f>
        <v>OK</v>
      </c>
      <c r="I1224" t="str">
        <f>IF(OR(BOQ_Table[[#This Row],[Quantity]]="",BOQ_Table[[#This Row],[Rate]]=""),"Missing","OK")</f>
        <v>OK</v>
      </c>
    </row>
    <row r="1225" spans="1:9" x14ac:dyDescent="0.35">
      <c r="A1225" t="s">
        <v>1249</v>
      </c>
      <c r="B1225" t="s">
        <v>32</v>
      </c>
      <c r="C1225" t="s">
        <v>38</v>
      </c>
      <c r="D1225">
        <v>388.81</v>
      </c>
      <c r="E1225" t="s">
        <v>18</v>
      </c>
      <c r="F1225">
        <v>187.05</v>
      </c>
      <c r="G1225">
        <f t="shared" si="21"/>
        <v>72726.910499999998</v>
      </c>
      <c r="H1225" t="str">
        <f>IF(BOQ_Table[[#This Row],[Amount]]&gt;100000,"Over Budget","OK")</f>
        <v>OK</v>
      </c>
      <c r="I1225" t="str">
        <f>IF(OR(BOQ_Table[[#This Row],[Quantity]]="",BOQ_Table[[#This Row],[Rate]]=""),"Missing","OK")</f>
        <v>OK</v>
      </c>
    </row>
    <row r="1226" spans="1:9" x14ac:dyDescent="0.35">
      <c r="A1226" t="s">
        <v>1250</v>
      </c>
      <c r="B1226" t="s">
        <v>7</v>
      </c>
      <c r="C1226" t="s">
        <v>12</v>
      </c>
      <c r="D1226">
        <v>19.05</v>
      </c>
      <c r="E1226" t="s">
        <v>14</v>
      </c>
      <c r="F1226">
        <v>852.96</v>
      </c>
      <c r="G1226">
        <f t="shared" si="21"/>
        <v>16248.888000000001</v>
      </c>
      <c r="H1226" t="str">
        <f>IF(BOQ_Table[[#This Row],[Amount]]&gt;100000,"Over Budget","OK")</f>
        <v>OK</v>
      </c>
      <c r="I1226" t="str">
        <f>IF(OR(BOQ_Table[[#This Row],[Quantity]]="",BOQ_Table[[#This Row],[Rate]]=""),"Missing","OK")</f>
        <v>OK</v>
      </c>
    </row>
    <row r="1227" spans="1:9" x14ac:dyDescent="0.35">
      <c r="A1227" t="s">
        <v>1251</v>
      </c>
      <c r="B1227" t="s">
        <v>16</v>
      </c>
      <c r="C1227" t="s">
        <v>38</v>
      </c>
      <c r="D1227">
        <v>360.32</v>
      </c>
      <c r="E1227" t="s">
        <v>22</v>
      </c>
      <c r="F1227">
        <v>3458.65</v>
      </c>
      <c r="G1227">
        <f t="shared" si="21"/>
        <v>1246220.7679999999</v>
      </c>
      <c r="H1227" t="str">
        <f>IF(BOQ_Table[[#This Row],[Amount]]&gt;100000,"Over Budget","OK")</f>
        <v>Over Budget</v>
      </c>
      <c r="I1227" t="str">
        <f>IF(OR(BOQ_Table[[#This Row],[Quantity]]="",BOQ_Table[[#This Row],[Rate]]=""),"Missing","OK")</f>
        <v>OK</v>
      </c>
    </row>
    <row r="1228" spans="1:9" x14ac:dyDescent="0.35">
      <c r="A1228" t="s">
        <v>1252</v>
      </c>
      <c r="B1228" t="s">
        <v>7</v>
      </c>
      <c r="C1228" t="s">
        <v>38</v>
      </c>
      <c r="D1228">
        <v>326.25</v>
      </c>
      <c r="E1228" t="s">
        <v>22</v>
      </c>
      <c r="F1228">
        <v>1116.0899999999999</v>
      </c>
      <c r="G1228">
        <f t="shared" si="21"/>
        <v>364124.36249999999</v>
      </c>
      <c r="H1228" t="str">
        <f>IF(BOQ_Table[[#This Row],[Amount]]&gt;100000,"Over Budget","OK")</f>
        <v>Over Budget</v>
      </c>
      <c r="I1228" t="str">
        <f>IF(OR(BOQ_Table[[#This Row],[Quantity]]="",BOQ_Table[[#This Row],[Rate]]=""),"Missing","OK")</f>
        <v>OK</v>
      </c>
    </row>
    <row r="1229" spans="1:9" x14ac:dyDescent="0.35">
      <c r="A1229" t="s">
        <v>1253</v>
      </c>
      <c r="B1229" t="s">
        <v>7</v>
      </c>
      <c r="C1229" t="s">
        <v>21</v>
      </c>
      <c r="D1229">
        <v>449.68</v>
      </c>
      <c r="E1229" t="s">
        <v>9</v>
      </c>
      <c r="F1229">
        <v>1769.84</v>
      </c>
      <c r="G1229">
        <f t="shared" si="21"/>
        <v>795861.65119999996</v>
      </c>
      <c r="H1229" t="str">
        <f>IF(BOQ_Table[[#This Row],[Amount]]&gt;100000,"Over Budget","OK")</f>
        <v>Over Budget</v>
      </c>
      <c r="I1229" t="str">
        <f>IF(OR(BOQ_Table[[#This Row],[Quantity]]="",BOQ_Table[[#This Row],[Rate]]=""),"Missing","OK")</f>
        <v>OK</v>
      </c>
    </row>
    <row r="1230" spans="1:9" x14ac:dyDescent="0.35">
      <c r="A1230" t="s">
        <v>1254</v>
      </c>
      <c r="B1230" t="s">
        <v>30</v>
      </c>
      <c r="C1230" t="s">
        <v>38</v>
      </c>
      <c r="D1230">
        <v>215.72</v>
      </c>
      <c r="E1230" t="s">
        <v>9</v>
      </c>
      <c r="F1230">
        <v>4798.68</v>
      </c>
      <c r="G1230">
        <f t="shared" si="21"/>
        <v>1035171.2496000001</v>
      </c>
      <c r="H1230" t="str">
        <f>IF(BOQ_Table[[#This Row],[Amount]]&gt;100000,"Over Budget","OK")</f>
        <v>Over Budget</v>
      </c>
      <c r="I1230" t="str">
        <f>IF(OR(BOQ_Table[[#This Row],[Quantity]]="",BOQ_Table[[#This Row],[Rate]]=""),"Missing","OK")</f>
        <v>OK</v>
      </c>
    </row>
    <row r="1231" spans="1:9" x14ac:dyDescent="0.35">
      <c r="A1231" t="s">
        <v>1255</v>
      </c>
      <c r="B1231" t="s">
        <v>42</v>
      </c>
      <c r="C1231" t="s">
        <v>12</v>
      </c>
      <c r="D1231">
        <v>251.96</v>
      </c>
      <c r="E1231" t="s">
        <v>18</v>
      </c>
      <c r="F1231">
        <v>3886.93</v>
      </c>
      <c r="G1231">
        <f t="shared" si="21"/>
        <v>979350.88280000002</v>
      </c>
      <c r="H1231" t="str">
        <f>IF(BOQ_Table[[#This Row],[Amount]]&gt;100000,"Over Budget","OK")</f>
        <v>Over Budget</v>
      </c>
      <c r="I1231" t="str">
        <f>IF(OR(BOQ_Table[[#This Row],[Quantity]]="",BOQ_Table[[#This Row],[Rate]]=""),"Missing","OK")</f>
        <v>OK</v>
      </c>
    </row>
    <row r="1232" spans="1:9" x14ac:dyDescent="0.35">
      <c r="A1232" t="s">
        <v>1256</v>
      </c>
      <c r="B1232" t="s">
        <v>32</v>
      </c>
      <c r="C1232" t="s">
        <v>38</v>
      </c>
      <c r="D1232">
        <v>487.13</v>
      </c>
      <c r="E1232" t="s">
        <v>22</v>
      </c>
      <c r="F1232">
        <v>1099.68</v>
      </c>
      <c r="G1232">
        <f t="shared" si="21"/>
        <v>535687.11840000004</v>
      </c>
      <c r="H1232" t="str">
        <f>IF(BOQ_Table[[#This Row],[Amount]]&gt;100000,"Over Budget","OK")</f>
        <v>Over Budget</v>
      </c>
      <c r="I1232" t="str">
        <f>IF(OR(BOQ_Table[[#This Row],[Quantity]]="",BOQ_Table[[#This Row],[Rate]]=""),"Missing","OK")</f>
        <v>OK</v>
      </c>
    </row>
    <row r="1233" spans="1:9" x14ac:dyDescent="0.35">
      <c r="A1233" t="s">
        <v>1257</v>
      </c>
      <c r="B1233" t="s">
        <v>30</v>
      </c>
      <c r="C1233" t="s">
        <v>8</v>
      </c>
      <c r="D1233">
        <v>404.15</v>
      </c>
      <c r="E1233" t="s">
        <v>9</v>
      </c>
      <c r="F1233">
        <v>1505.31</v>
      </c>
      <c r="G1233">
        <f t="shared" si="21"/>
        <v>608371.03649999993</v>
      </c>
      <c r="H1233" t="str">
        <f>IF(BOQ_Table[[#This Row],[Amount]]&gt;100000,"Over Budget","OK")</f>
        <v>Over Budget</v>
      </c>
      <c r="I1233" t="str">
        <f>IF(OR(BOQ_Table[[#This Row],[Quantity]]="",BOQ_Table[[#This Row],[Rate]]=""),"Missing","OK")</f>
        <v>OK</v>
      </c>
    </row>
    <row r="1234" spans="1:9" x14ac:dyDescent="0.35">
      <c r="A1234" t="s">
        <v>1258</v>
      </c>
      <c r="B1234" t="s">
        <v>7</v>
      </c>
      <c r="C1234" t="s">
        <v>38</v>
      </c>
      <c r="D1234">
        <v>91.29</v>
      </c>
      <c r="E1234" t="s">
        <v>18</v>
      </c>
      <c r="F1234">
        <v>337</v>
      </c>
      <c r="G1234">
        <f t="shared" si="21"/>
        <v>30764.730000000003</v>
      </c>
      <c r="H1234" t="str">
        <f>IF(BOQ_Table[[#This Row],[Amount]]&gt;100000,"Over Budget","OK")</f>
        <v>OK</v>
      </c>
      <c r="I1234" t="str">
        <f>IF(OR(BOQ_Table[[#This Row],[Quantity]]="",BOQ_Table[[#This Row],[Rate]]=""),"Missing","OK")</f>
        <v>OK</v>
      </c>
    </row>
    <row r="1235" spans="1:9" x14ac:dyDescent="0.35">
      <c r="A1235" t="s">
        <v>1259</v>
      </c>
      <c r="B1235" t="s">
        <v>20</v>
      </c>
      <c r="C1235" t="s">
        <v>12</v>
      </c>
      <c r="D1235">
        <v>377.31</v>
      </c>
      <c r="E1235" t="s">
        <v>27</v>
      </c>
      <c r="F1235">
        <v>795.64</v>
      </c>
      <c r="G1235">
        <f t="shared" si="21"/>
        <v>300202.92839999998</v>
      </c>
      <c r="H1235" t="str">
        <f>IF(BOQ_Table[[#This Row],[Amount]]&gt;100000,"Over Budget","OK")</f>
        <v>Over Budget</v>
      </c>
      <c r="I1235" t="str">
        <f>IF(OR(BOQ_Table[[#This Row],[Quantity]]="",BOQ_Table[[#This Row],[Rate]]=""),"Missing","OK")</f>
        <v>OK</v>
      </c>
    </row>
    <row r="1236" spans="1:9" x14ac:dyDescent="0.35">
      <c r="A1236" t="s">
        <v>1260</v>
      </c>
      <c r="B1236" t="s">
        <v>16</v>
      </c>
      <c r="C1236" t="s">
        <v>12</v>
      </c>
      <c r="D1236">
        <v>461.84</v>
      </c>
      <c r="E1236" t="s">
        <v>14</v>
      </c>
      <c r="F1236">
        <v>1772.41</v>
      </c>
      <c r="G1236">
        <f t="shared" si="21"/>
        <v>818569.83440000005</v>
      </c>
      <c r="H1236" t="str">
        <f>IF(BOQ_Table[[#This Row],[Amount]]&gt;100000,"Over Budget","OK")</f>
        <v>Over Budget</v>
      </c>
      <c r="I1236" t="str">
        <f>IF(OR(BOQ_Table[[#This Row],[Quantity]]="",BOQ_Table[[#This Row],[Rate]]=""),"Missing","OK")</f>
        <v>OK</v>
      </c>
    </row>
    <row r="1237" spans="1:9" x14ac:dyDescent="0.35">
      <c r="A1237" t="s">
        <v>1261</v>
      </c>
      <c r="B1237" t="s">
        <v>7</v>
      </c>
      <c r="C1237" t="s">
        <v>21</v>
      </c>
      <c r="D1237">
        <v>101.88</v>
      </c>
      <c r="E1237" t="s">
        <v>9</v>
      </c>
      <c r="F1237">
        <v>4451.78</v>
      </c>
      <c r="G1237">
        <f t="shared" si="21"/>
        <v>453547.34639999998</v>
      </c>
      <c r="H1237" t="str">
        <f>IF(BOQ_Table[[#This Row],[Amount]]&gt;100000,"Over Budget","OK")</f>
        <v>Over Budget</v>
      </c>
      <c r="I1237" t="str">
        <f>IF(OR(BOQ_Table[[#This Row],[Quantity]]="",BOQ_Table[[#This Row],[Rate]]=""),"Missing","OK")</f>
        <v>OK</v>
      </c>
    </row>
    <row r="1238" spans="1:9" x14ac:dyDescent="0.35">
      <c r="A1238" t="s">
        <v>1262</v>
      </c>
      <c r="B1238" t="s">
        <v>7</v>
      </c>
      <c r="C1238" t="s">
        <v>38</v>
      </c>
      <c r="D1238">
        <v>261.76</v>
      </c>
      <c r="E1238" t="s">
        <v>14</v>
      </c>
      <c r="F1238">
        <v>3743.91</v>
      </c>
      <c r="G1238">
        <f t="shared" si="21"/>
        <v>980005.88159999996</v>
      </c>
      <c r="H1238" t="str">
        <f>IF(BOQ_Table[[#This Row],[Amount]]&gt;100000,"Over Budget","OK")</f>
        <v>Over Budget</v>
      </c>
      <c r="I1238" t="str">
        <f>IF(OR(BOQ_Table[[#This Row],[Quantity]]="",BOQ_Table[[#This Row],[Rate]]=""),"Missing","OK")</f>
        <v>OK</v>
      </c>
    </row>
    <row r="1239" spans="1:9" x14ac:dyDescent="0.35">
      <c r="A1239" t="s">
        <v>1263</v>
      </c>
      <c r="B1239" t="s">
        <v>42</v>
      </c>
      <c r="C1239" t="s">
        <v>21</v>
      </c>
      <c r="D1239">
        <v>450.65</v>
      </c>
      <c r="E1239" t="s">
        <v>18</v>
      </c>
      <c r="F1239">
        <v>202.73</v>
      </c>
      <c r="G1239">
        <f t="shared" si="21"/>
        <v>91360.274499999985</v>
      </c>
      <c r="H1239" t="str">
        <f>IF(BOQ_Table[[#This Row],[Amount]]&gt;100000,"Over Budget","OK")</f>
        <v>OK</v>
      </c>
      <c r="I1239" t="str">
        <f>IF(OR(BOQ_Table[[#This Row],[Quantity]]="",BOQ_Table[[#This Row],[Rate]]=""),"Missing","OK")</f>
        <v>OK</v>
      </c>
    </row>
    <row r="1240" spans="1:9" x14ac:dyDescent="0.35">
      <c r="A1240" t="s">
        <v>1264</v>
      </c>
      <c r="B1240" t="s">
        <v>32</v>
      </c>
      <c r="C1240" t="s">
        <v>38</v>
      </c>
      <c r="D1240">
        <v>176.99</v>
      </c>
      <c r="E1240" t="s">
        <v>14</v>
      </c>
      <c r="F1240">
        <v>1779.72</v>
      </c>
      <c r="G1240">
        <f t="shared" si="21"/>
        <v>314992.64280000003</v>
      </c>
      <c r="H1240" t="str">
        <f>IF(BOQ_Table[[#This Row],[Amount]]&gt;100000,"Over Budget","OK")</f>
        <v>Over Budget</v>
      </c>
      <c r="I1240" t="str">
        <f>IF(OR(BOQ_Table[[#This Row],[Quantity]]="",BOQ_Table[[#This Row],[Rate]]=""),"Missing","OK")</f>
        <v>OK</v>
      </c>
    </row>
    <row r="1241" spans="1:9" x14ac:dyDescent="0.35">
      <c r="A1241" t="s">
        <v>1265</v>
      </c>
      <c r="B1241" t="s">
        <v>46</v>
      </c>
      <c r="C1241" t="s">
        <v>21</v>
      </c>
      <c r="D1241">
        <v>383.58</v>
      </c>
      <c r="E1241" t="s">
        <v>14</v>
      </c>
      <c r="F1241">
        <v>3279.56</v>
      </c>
      <c r="G1241">
        <f t="shared" si="21"/>
        <v>1257973.6247999999</v>
      </c>
      <c r="H1241" t="str">
        <f>IF(BOQ_Table[[#This Row],[Amount]]&gt;100000,"Over Budget","OK")</f>
        <v>Over Budget</v>
      </c>
      <c r="I1241" t="str">
        <f>IF(OR(BOQ_Table[[#This Row],[Quantity]]="",BOQ_Table[[#This Row],[Rate]]=""),"Missing","OK")</f>
        <v>OK</v>
      </c>
    </row>
    <row r="1242" spans="1:9" x14ac:dyDescent="0.35">
      <c r="A1242" t="s">
        <v>1266</v>
      </c>
      <c r="B1242" t="s">
        <v>20</v>
      </c>
      <c r="C1242" t="s">
        <v>8</v>
      </c>
      <c r="D1242">
        <v>28.98</v>
      </c>
      <c r="E1242" t="s">
        <v>18</v>
      </c>
      <c r="F1242">
        <v>4366.8500000000004</v>
      </c>
      <c r="G1242">
        <f t="shared" si="21"/>
        <v>126551.31300000001</v>
      </c>
      <c r="H1242" t="str">
        <f>IF(BOQ_Table[[#This Row],[Amount]]&gt;100000,"Over Budget","OK")</f>
        <v>Over Budget</v>
      </c>
      <c r="I1242" t="str">
        <f>IF(OR(BOQ_Table[[#This Row],[Quantity]]="",BOQ_Table[[#This Row],[Rate]]=""),"Missing","OK")</f>
        <v>OK</v>
      </c>
    </row>
    <row r="1243" spans="1:9" x14ac:dyDescent="0.35">
      <c r="A1243" t="s">
        <v>1267</v>
      </c>
      <c r="B1243" t="s">
        <v>7</v>
      </c>
      <c r="C1243" t="s">
        <v>38</v>
      </c>
      <c r="D1243">
        <v>87.79</v>
      </c>
      <c r="E1243" t="s">
        <v>22</v>
      </c>
      <c r="F1243">
        <v>3885.27</v>
      </c>
      <c r="G1243">
        <f t="shared" si="21"/>
        <v>341087.85330000002</v>
      </c>
      <c r="H1243" t="str">
        <f>IF(BOQ_Table[[#This Row],[Amount]]&gt;100000,"Over Budget","OK")</f>
        <v>Over Budget</v>
      </c>
      <c r="I1243" t="str">
        <f>IF(OR(BOQ_Table[[#This Row],[Quantity]]="",BOQ_Table[[#This Row],[Rate]]=""),"Missing","OK")</f>
        <v>OK</v>
      </c>
    </row>
    <row r="1244" spans="1:9" x14ac:dyDescent="0.35">
      <c r="A1244" t="s">
        <v>1268</v>
      </c>
      <c r="B1244" t="s">
        <v>56</v>
      </c>
      <c r="C1244" t="s">
        <v>38</v>
      </c>
      <c r="D1244">
        <v>121.37</v>
      </c>
      <c r="E1244" t="s">
        <v>18</v>
      </c>
      <c r="F1244">
        <v>3587.51</v>
      </c>
      <c r="G1244">
        <f t="shared" si="21"/>
        <v>435416.08870000002</v>
      </c>
      <c r="H1244" t="str">
        <f>IF(BOQ_Table[[#This Row],[Amount]]&gt;100000,"Over Budget","OK")</f>
        <v>Over Budget</v>
      </c>
      <c r="I1244" t="str">
        <f>IF(OR(BOQ_Table[[#This Row],[Quantity]]="",BOQ_Table[[#This Row],[Rate]]=""),"Missing","OK")</f>
        <v>OK</v>
      </c>
    </row>
    <row r="1245" spans="1:9" x14ac:dyDescent="0.35">
      <c r="A1245" t="s">
        <v>1269</v>
      </c>
      <c r="B1245" t="s">
        <v>7</v>
      </c>
      <c r="C1245" t="s">
        <v>8</v>
      </c>
      <c r="D1245">
        <v>425.5</v>
      </c>
      <c r="E1245" t="s">
        <v>22</v>
      </c>
      <c r="F1245">
        <v>3611.43</v>
      </c>
      <c r="G1245">
        <f t="shared" si="21"/>
        <v>1536663.4649999999</v>
      </c>
      <c r="H1245" t="str">
        <f>IF(BOQ_Table[[#This Row],[Amount]]&gt;100000,"Over Budget","OK")</f>
        <v>Over Budget</v>
      </c>
      <c r="I1245" t="str">
        <f>IF(OR(BOQ_Table[[#This Row],[Quantity]]="",BOQ_Table[[#This Row],[Rate]]=""),"Missing","OK")</f>
        <v>OK</v>
      </c>
    </row>
    <row r="1246" spans="1:9" x14ac:dyDescent="0.35">
      <c r="A1246" t="s">
        <v>1270</v>
      </c>
      <c r="B1246" t="s">
        <v>20</v>
      </c>
      <c r="C1246" t="s">
        <v>8</v>
      </c>
      <c r="D1246">
        <v>113.87</v>
      </c>
      <c r="E1246" t="s">
        <v>9</v>
      </c>
      <c r="F1246">
        <v>4113.82</v>
      </c>
      <c r="G1246">
        <f t="shared" si="21"/>
        <v>468440.68339999998</v>
      </c>
      <c r="H1246" t="str">
        <f>IF(BOQ_Table[[#This Row],[Amount]]&gt;100000,"Over Budget","OK")</f>
        <v>Over Budget</v>
      </c>
      <c r="I1246" t="str">
        <f>IF(OR(BOQ_Table[[#This Row],[Quantity]]="",BOQ_Table[[#This Row],[Rate]]=""),"Missing","OK")</f>
        <v>OK</v>
      </c>
    </row>
    <row r="1247" spans="1:9" x14ac:dyDescent="0.35">
      <c r="A1247" t="s">
        <v>1271</v>
      </c>
      <c r="B1247" t="s">
        <v>56</v>
      </c>
      <c r="C1247" t="s">
        <v>17</v>
      </c>
      <c r="D1247">
        <v>59.78</v>
      </c>
      <c r="E1247" t="s">
        <v>9</v>
      </c>
      <c r="F1247">
        <v>1795.89</v>
      </c>
      <c r="G1247">
        <f t="shared" si="21"/>
        <v>107358.30420000001</v>
      </c>
      <c r="H1247" t="str">
        <f>IF(BOQ_Table[[#This Row],[Amount]]&gt;100000,"Over Budget","OK")</f>
        <v>Over Budget</v>
      </c>
      <c r="I1247" t="str">
        <f>IF(OR(BOQ_Table[[#This Row],[Quantity]]="",BOQ_Table[[#This Row],[Rate]]=""),"Missing","OK")</f>
        <v>OK</v>
      </c>
    </row>
    <row r="1248" spans="1:9" x14ac:dyDescent="0.35">
      <c r="A1248" t="s">
        <v>1272</v>
      </c>
      <c r="B1248" t="s">
        <v>56</v>
      </c>
      <c r="C1248" t="s">
        <v>21</v>
      </c>
      <c r="D1248">
        <v>387.57</v>
      </c>
      <c r="E1248" t="s">
        <v>22</v>
      </c>
      <c r="F1248">
        <v>2564.35</v>
      </c>
      <c r="G1248">
        <f t="shared" si="21"/>
        <v>993865.12949999992</v>
      </c>
      <c r="H1248" t="str">
        <f>IF(BOQ_Table[[#This Row],[Amount]]&gt;100000,"Over Budget","OK")</f>
        <v>Over Budget</v>
      </c>
      <c r="I1248" t="str">
        <f>IF(OR(BOQ_Table[[#This Row],[Quantity]]="",BOQ_Table[[#This Row],[Rate]]=""),"Missing","OK")</f>
        <v>OK</v>
      </c>
    </row>
    <row r="1249" spans="1:9" x14ac:dyDescent="0.35">
      <c r="A1249" t="s">
        <v>1273</v>
      </c>
      <c r="B1249" t="s">
        <v>46</v>
      </c>
      <c r="C1249" t="s">
        <v>12</v>
      </c>
      <c r="D1249">
        <v>192.46</v>
      </c>
      <c r="E1249" t="s">
        <v>27</v>
      </c>
      <c r="F1249">
        <v>4506.59</v>
      </c>
      <c r="G1249">
        <f t="shared" si="21"/>
        <v>867338.31140000001</v>
      </c>
      <c r="H1249" t="str">
        <f>IF(BOQ_Table[[#This Row],[Amount]]&gt;100000,"Over Budget","OK")</f>
        <v>Over Budget</v>
      </c>
      <c r="I1249" t="str">
        <f>IF(OR(BOQ_Table[[#This Row],[Quantity]]="",BOQ_Table[[#This Row],[Rate]]=""),"Missing","OK")</f>
        <v>OK</v>
      </c>
    </row>
    <row r="1250" spans="1:9" x14ac:dyDescent="0.35">
      <c r="A1250" t="s">
        <v>1274</v>
      </c>
      <c r="B1250" t="s">
        <v>30</v>
      </c>
      <c r="C1250" t="s">
        <v>21</v>
      </c>
      <c r="D1250">
        <v>47.82</v>
      </c>
      <c r="E1250" t="s">
        <v>14</v>
      </c>
      <c r="F1250">
        <v>4304.21</v>
      </c>
      <c r="G1250">
        <f t="shared" si="21"/>
        <v>205827.3222</v>
      </c>
      <c r="H1250" t="str">
        <f>IF(BOQ_Table[[#This Row],[Amount]]&gt;100000,"Over Budget","OK")</f>
        <v>Over Budget</v>
      </c>
      <c r="I1250" t="str">
        <f>IF(OR(BOQ_Table[[#This Row],[Quantity]]="",BOQ_Table[[#This Row],[Rate]]=""),"Missing","OK")</f>
        <v>OK</v>
      </c>
    </row>
    <row r="1251" spans="1:9" x14ac:dyDescent="0.35">
      <c r="A1251" t="s">
        <v>1275</v>
      </c>
      <c r="B1251" t="s">
        <v>42</v>
      </c>
      <c r="C1251" t="s">
        <v>12</v>
      </c>
      <c r="D1251">
        <v>353.29</v>
      </c>
      <c r="E1251" t="s">
        <v>27</v>
      </c>
      <c r="F1251">
        <v>4026.61</v>
      </c>
      <c r="G1251">
        <f t="shared" si="21"/>
        <v>1422561.0469000002</v>
      </c>
      <c r="H1251" t="str">
        <f>IF(BOQ_Table[[#This Row],[Amount]]&gt;100000,"Over Budget","OK")</f>
        <v>Over Budget</v>
      </c>
      <c r="I1251" t="str">
        <f>IF(OR(BOQ_Table[[#This Row],[Quantity]]="",BOQ_Table[[#This Row],[Rate]]=""),"Missing","OK")</f>
        <v>OK</v>
      </c>
    </row>
    <row r="1252" spans="1:9" x14ac:dyDescent="0.35">
      <c r="A1252" t="s">
        <v>1276</v>
      </c>
      <c r="B1252" t="s">
        <v>20</v>
      </c>
      <c r="C1252" t="s">
        <v>38</v>
      </c>
      <c r="D1252">
        <v>243.77</v>
      </c>
      <c r="E1252" t="s">
        <v>27</v>
      </c>
      <c r="F1252">
        <v>1009.49</v>
      </c>
      <c r="G1252">
        <f t="shared" si="21"/>
        <v>246083.37730000002</v>
      </c>
      <c r="H1252" t="str">
        <f>IF(BOQ_Table[[#This Row],[Amount]]&gt;100000,"Over Budget","OK")</f>
        <v>Over Budget</v>
      </c>
      <c r="I1252" t="str">
        <f>IF(OR(BOQ_Table[[#This Row],[Quantity]]="",BOQ_Table[[#This Row],[Rate]]=""),"Missing","OK")</f>
        <v>OK</v>
      </c>
    </row>
    <row r="1253" spans="1:9" x14ac:dyDescent="0.35">
      <c r="A1253" t="s">
        <v>1277</v>
      </c>
      <c r="B1253" t="s">
        <v>7</v>
      </c>
      <c r="C1253" t="s">
        <v>21</v>
      </c>
      <c r="D1253">
        <v>293.08</v>
      </c>
      <c r="E1253" t="s">
        <v>9</v>
      </c>
      <c r="F1253">
        <v>1531.67</v>
      </c>
      <c r="G1253">
        <f t="shared" si="21"/>
        <v>448901.84360000002</v>
      </c>
      <c r="H1253" t="str">
        <f>IF(BOQ_Table[[#This Row],[Amount]]&gt;100000,"Over Budget","OK")</f>
        <v>Over Budget</v>
      </c>
      <c r="I1253" t="str">
        <f>IF(OR(BOQ_Table[[#This Row],[Quantity]]="",BOQ_Table[[#This Row],[Rate]]=""),"Missing","OK")</f>
        <v>OK</v>
      </c>
    </row>
    <row r="1254" spans="1:9" x14ac:dyDescent="0.35">
      <c r="A1254" t="s">
        <v>1278</v>
      </c>
      <c r="B1254" t="s">
        <v>20</v>
      </c>
      <c r="C1254" t="s">
        <v>21</v>
      </c>
      <c r="D1254">
        <v>386.27</v>
      </c>
      <c r="E1254" t="s">
        <v>14</v>
      </c>
      <c r="F1254">
        <v>1280.5899999999999</v>
      </c>
      <c r="G1254">
        <f t="shared" si="21"/>
        <v>494653.49929999997</v>
      </c>
      <c r="H1254" t="str">
        <f>IF(BOQ_Table[[#This Row],[Amount]]&gt;100000,"Over Budget","OK")</f>
        <v>Over Budget</v>
      </c>
      <c r="I1254" t="str">
        <f>IF(OR(BOQ_Table[[#This Row],[Quantity]]="",BOQ_Table[[#This Row],[Rate]]=""),"Missing","OK")</f>
        <v>OK</v>
      </c>
    </row>
    <row r="1255" spans="1:9" x14ac:dyDescent="0.35">
      <c r="A1255" t="s">
        <v>1279</v>
      </c>
      <c r="B1255" t="s">
        <v>30</v>
      </c>
      <c r="C1255" t="s">
        <v>8</v>
      </c>
      <c r="D1255">
        <v>122.02</v>
      </c>
      <c r="E1255" t="s">
        <v>18</v>
      </c>
      <c r="F1255">
        <v>2505.6</v>
      </c>
      <c r="G1255">
        <f t="shared" si="21"/>
        <v>305733.31199999998</v>
      </c>
      <c r="H1255" t="str">
        <f>IF(BOQ_Table[[#This Row],[Amount]]&gt;100000,"Over Budget","OK")</f>
        <v>Over Budget</v>
      </c>
      <c r="I1255" t="str">
        <f>IF(OR(BOQ_Table[[#This Row],[Quantity]]="",BOQ_Table[[#This Row],[Rate]]=""),"Missing","OK")</f>
        <v>OK</v>
      </c>
    </row>
    <row r="1256" spans="1:9" x14ac:dyDescent="0.35">
      <c r="A1256" t="s">
        <v>1280</v>
      </c>
      <c r="B1256" t="s">
        <v>56</v>
      </c>
      <c r="C1256" t="s">
        <v>21</v>
      </c>
      <c r="D1256">
        <v>439.48</v>
      </c>
      <c r="E1256" t="s">
        <v>9</v>
      </c>
      <c r="F1256">
        <v>2509.7399999999998</v>
      </c>
      <c r="G1256">
        <f t="shared" si="21"/>
        <v>1102980.5352</v>
      </c>
      <c r="H1256" t="str">
        <f>IF(BOQ_Table[[#This Row],[Amount]]&gt;100000,"Over Budget","OK")</f>
        <v>Over Budget</v>
      </c>
      <c r="I1256" t="str">
        <f>IF(OR(BOQ_Table[[#This Row],[Quantity]]="",BOQ_Table[[#This Row],[Rate]]=""),"Missing","OK")</f>
        <v>OK</v>
      </c>
    </row>
    <row r="1257" spans="1:9" x14ac:dyDescent="0.35">
      <c r="A1257" t="s">
        <v>1281</v>
      </c>
      <c r="B1257" t="s">
        <v>40</v>
      </c>
      <c r="C1257" t="s">
        <v>8</v>
      </c>
      <c r="D1257">
        <v>215.05</v>
      </c>
      <c r="E1257" t="s">
        <v>22</v>
      </c>
      <c r="F1257">
        <v>3474.35</v>
      </c>
      <c r="G1257">
        <f t="shared" si="21"/>
        <v>747158.96750000003</v>
      </c>
      <c r="H1257" t="str">
        <f>IF(BOQ_Table[[#This Row],[Amount]]&gt;100000,"Over Budget","OK")</f>
        <v>Over Budget</v>
      </c>
      <c r="I1257" t="str">
        <f>IF(OR(BOQ_Table[[#This Row],[Quantity]]="",BOQ_Table[[#This Row],[Rate]]=""),"Missing","OK")</f>
        <v>OK</v>
      </c>
    </row>
    <row r="1258" spans="1:9" x14ac:dyDescent="0.35">
      <c r="A1258" t="s">
        <v>1282</v>
      </c>
      <c r="B1258" t="s">
        <v>32</v>
      </c>
      <c r="C1258" t="s">
        <v>12</v>
      </c>
      <c r="D1258">
        <v>130.37</v>
      </c>
      <c r="E1258" t="s">
        <v>27</v>
      </c>
      <c r="F1258">
        <v>114.96</v>
      </c>
      <c r="G1258">
        <f t="shared" si="21"/>
        <v>14987.3352</v>
      </c>
      <c r="H1258" t="str">
        <f>IF(BOQ_Table[[#This Row],[Amount]]&gt;100000,"Over Budget","OK")</f>
        <v>OK</v>
      </c>
      <c r="I1258" t="str">
        <f>IF(OR(BOQ_Table[[#This Row],[Quantity]]="",BOQ_Table[[#This Row],[Rate]]=""),"Missing","OK")</f>
        <v>OK</v>
      </c>
    </row>
    <row r="1259" spans="1:9" x14ac:dyDescent="0.35">
      <c r="A1259" t="s">
        <v>1283</v>
      </c>
      <c r="B1259" t="s">
        <v>7</v>
      </c>
      <c r="C1259" t="s">
        <v>17</v>
      </c>
      <c r="D1259">
        <v>75.569999999999993</v>
      </c>
      <c r="E1259" t="s">
        <v>18</v>
      </c>
      <c r="F1259">
        <v>1986.8</v>
      </c>
      <c r="G1259">
        <f t="shared" si="21"/>
        <v>150142.476</v>
      </c>
      <c r="H1259" t="str">
        <f>IF(BOQ_Table[[#This Row],[Amount]]&gt;100000,"Over Budget","OK")</f>
        <v>Over Budget</v>
      </c>
      <c r="I1259" t="str">
        <f>IF(OR(BOQ_Table[[#This Row],[Quantity]]="",BOQ_Table[[#This Row],[Rate]]=""),"Missing","OK")</f>
        <v>OK</v>
      </c>
    </row>
    <row r="1260" spans="1:9" x14ac:dyDescent="0.35">
      <c r="A1260" t="s">
        <v>1284</v>
      </c>
      <c r="B1260" t="s">
        <v>30</v>
      </c>
      <c r="C1260" t="s">
        <v>21</v>
      </c>
      <c r="D1260">
        <v>160.25</v>
      </c>
      <c r="E1260" t="s">
        <v>14</v>
      </c>
      <c r="F1260">
        <v>4166.28</v>
      </c>
      <c r="G1260">
        <f t="shared" si="21"/>
        <v>667646.37</v>
      </c>
      <c r="H1260" t="str">
        <f>IF(BOQ_Table[[#This Row],[Amount]]&gt;100000,"Over Budget","OK")</f>
        <v>Over Budget</v>
      </c>
      <c r="I1260" t="str">
        <f>IF(OR(BOQ_Table[[#This Row],[Quantity]]="",BOQ_Table[[#This Row],[Rate]]=""),"Missing","OK")</f>
        <v>OK</v>
      </c>
    </row>
    <row r="1261" spans="1:9" x14ac:dyDescent="0.35">
      <c r="A1261" t="s">
        <v>1285</v>
      </c>
      <c r="B1261" t="s">
        <v>46</v>
      </c>
      <c r="C1261" t="s">
        <v>38</v>
      </c>
      <c r="D1261">
        <v>161.96</v>
      </c>
      <c r="E1261" t="s">
        <v>14</v>
      </c>
      <c r="F1261">
        <v>4550.07</v>
      </c>
      <c r="G1261">
        <f t="shared" si="21"/>
        <v>736929.33719999995</v>
      </c>
      <c r="H1261" t="str">
        <f>IF(BOQ_Table[[#This Row],[Amount]]&gt;100000,"Over Budget","OK")</f>
        <v>Over Budget</v>
      </c>
      <c r="I1261" t="str">
        <f>IF(OR(BOQ_Table[[#This Row],[Quantity]]="",BOQ_Table[[#This Row],[Rate]]=""),"Missing","OK")</f>
        <v>OK</v>
      </c>
    </row>
    <row r="1262" spans="1:9" x14ac:dyDescent="0.35">
      <c r="A1262" t="s">
        <v>1286</v>
      </c>
      <c r="B1262" t="s">
        <v>16</v>
      </c>
      <c r="C1262" t="s">
        <v>12</v>
      </c>
      <c r="D1262">
        <v>61.31</v>
      </c>
      <c r="E1262" t="s">
        <v>14</v>
      </c>
      <c r="F1262">
        <v>4155.01</v>
      </c>
      <c r="G1262">
        <f t="shared" si="21"/>
        <v>254743.66310000003</v>
      </c>
      <c r="H1262" t="str">
        <f>IF(BOQ_Table[[#This Row],[Amount]]&gt;100000,"Over Budget","OK")</f>
        <v>Over Budget</v>
      </c>
      <c r="I1262" t="str">
        <f>IF(OR(BOQ_Table[[#This Row],[Quantity]]="",BOQ_Table[[#This Row],[Rate]]=""),"Missing","OK")</f>
        <v>OK</v>
      </c>
    </row>
    <row r="1263" spans="1:9" x14ac:dyDescent="0.35">
      <c r="A1263" t="s">
        <v>1287</v>
      </c>
      <c r="B1263" t="s">
        <v>20</v>
      </c>
      <c r="C1263" t="s">
        <v>21</v>
      </c>
      <c r="D1263">
        <v>327.61</v>
      </c>
      <c r="E1263" t="s">
        <v>9</v>
      </c>
      <c r="F1263">
        <v>914.4</v>
      </c>
      <c r="G1263">
        <f t="shared" si="21"/>
        <v>299566.58400000003</v>
      </c>
      <c r="H1263" t="str">
        <f>IF(BOQ_Table[[#This Row],[Amount]]&gt;100000,"Over Budget","OK")</f>
        <v>Over Budget</v>
      </c>
      <c r="I1263" t="str">
        <f>IF(OR(BOQ_Table[[#This Row],[Quantity]]="",BOQ_Table[[#This Row],[Rate]]=""),"Missing","OK")</f>
        <v>OK</v>
      </c>
    </row>
    <row r="1264" spans="1:9" x14ac:dyDescent="0.35">
      <c r="A1264" t="s">
        <v>1288</v>
      </c>
      <c r="B1264" t="s">
        <v>46</v>
      </c>
      <c r="C1264" t="s">
        <v>8</v>
      </c>
      <c r="D1264">
        <v>152.62</v>
      </c>
      <c r="E1264" t="s">
        <v>22</v>
      </c>
      <c r="F1264">
        <v>4569.9799999999996</v>
      </c>
      <c r="G1264">
        <f t="shared" si="21"/>
        <v>697470.34759999998</v>
      </c>
      <c r="H1264" t="str">
        <f>IF(BOQ_Table[[#This Row],[Amount]]&gt;100000,"Over Budget","OK")</f>
        <v>Over Budget</v>
      </c>
      <c r="I1264" t="str">
        <f>IF(OR(BOQ_Table[[#This Row],[Quantity]]="",BOQ_Table[[#This Row],[Rate]]=""),"Missing","OK")</f>
        <v>OK</v>
      </c>
    </row>
    <row r="1265" spans="1:9" x14ac:dyDescent="0.35">
      <c r="A1265" t="s">
        <v>1289</v>
      </c>
      <c r="B1265" t="s">
        <v>32</v>
      </c>
      <c r="C1265" t="s">
        <v>12</v>
      </c>
      <c r="D1265">
        <v>331.84</v>
      </c>
      <c r="E1265" t="s">
        <v>27</v>
      </c>
      <c r="F1265">
        <v>2012.99</v>
      </c>
      <c r="G1265">
        <f t="shared" si="21"/>
        <v>667990.60159999994</v>
      </c>
      <c r="H1265" t="str">
        <f>IF(BOQ_Table[[#This Row],[Amount]]&gt;100000,"Over Budget","OK")</f>
        <v>Over Budget</v>
      </c>
      <c r="I1265" t="str">
        <f>IF(OR(BOQ_Table[[#This Row],[Quantity]]="",BOQ_Table[[#This Row],[Rate]]=""),"Missing","OK")</f>
        <v>OK</v>
      </c>
    </row>
    <row r="1266" spans="1:9" x14ac:dyDescent="0.35">
      <c r="A1266" t="s">
        <v>1290</v>
      </c>
      <c r="B1266" t="s">
        <v>30</v>
      </c>
      <c r="C1266" t="s">
        <v>12</v>
      </c>
      <c r="D1266">
        <v>86.71</v>
      </c>
      <c r="E1266" t="s">
        <v>22</v>
      </c>
      <c r="F1266">
        <v>4916.55</v>
      </c>
      <c r="G1266">
        <f t="shared" si="21"/>
        <v>426314.05050000001</v>
      </c>
      <c r="H1266" t="str">
        <f>IF(BOQ_Table[[#This Row],[Amount]]&gt;100000,"Over Budget","OK")</f>
        <v>Over Budget</v>
      </c>
      <c r="I1266" t="str">
        <f>IF(OR(BOQ_Table[[#This Row],[Quantity]]="",BOQ_Table[[#This Row],[Rate]]=""),"Missing","OK")</f>
        <v>OK</v>
      </c>
    </row>
    <row r="1267" spans="1:9" x14ac:dyDescent="0.35">
      <c r="A1267" t="s">
        <v>1291</v>
      </c>
      <c r="B1267" t="s">
        <v>11</v>
      </c>
      <c r="C1267" t="s">
        <v>38</v>
      </c>
      <c r="D1267">
        <v>132.06</v>
      </c>
      <c r="E1267" t="s">
        <v>14</v>
      </c>
      <c r="F1267">
        <v>4887.49</v>
      </c>
      <c r="G1267">
        <f t="shared" si="21"/>
        <v>645441.92940000002</v>
      </c>
      <c r="H1267" t="str">
        <f>IF(BOQ_Table[[#This Row],[Amount]]&gt;100000,"Over Budget","OK")</f>
        <v>Over Budget</v>
      </c>
      <c r="I1267" t="str">
        <f>IF(OR(BOQ_Table[[#This Row],[Quantity]]="",BOQ_Table[[#This Row],[Rate]]=""),"Missing","OK")</f>
        <v>OK</v>
      </c>
    </row>
    <row r="1268" spans="1:9" x14ac:dyDescent="0.35">
      <c r="A1268" t="s">
        <v>1292</v>
      </c>
      <c r="B1268" t="s">
        <v>56</v>
      </c>
      <c r="C1268" t="s">
        <v>38</v>
      </c>
      <c r="D1268">
        <v>41.7</v>
      </c>
      <c r="E1268" t="s">
        <v>22</v>
      </c>
      <c r="F1268">
        <v>4144.2700000000004</v>
      </c>
      <c r="G1268">
        <f t="shared" si="21"/>
        <v>172816.05900000004</v>
      </c>
      <c r="H1268" t="str">
        <f>IF(BOQ_Table[[#This Row],[Amount]]&gt;100000,"Over Budget","OK")</f>
        <v>Over Budget</v>
      </c>
      <c r="I1268" t="str">
        <f>IF(OR(BOQ_Table[[#This Row],[Quantity]]="",BOQ_Table[[#This Row],[Rate]]=""),"Missing","OK")</f>
        <v>OK</v>
      </c>
    </row>
    <row r="1269" spans="1:9" x14ac:dyDescent="0.35">
      <c r="A1269" t="s">
        <v>1293</v>
      </c>
      <c r="B1269" t="s">
        <v>20</v>
      </c>
      <c r="C1269" t="s">
        <v>8</v>
      </c>
      <c r="D1269">
        <v>86.59</v>
      </c>
      <c r="E1269" t="s">
        <v>27</v>
      </c>
      <c r="F1269">
        <v>2013.43</v>
      </c>
      <c r="G1269">
        <f t="shared" si="21"/>
        <v>174342.90370000002</v>
      </c>
      <c r="H1269" t="str">
        <f>IF(BOQ_Table[[#This Row],[Amount]]&gt;100000,"Over Budget","OK")</f>
        <v>Over Budget</v>
      </c>
      <c r="I1269" t="str">
        <f>IF(OR(BOQ_Table[[#This Row],[Quantity]]="",BOQ_Table[[#This Row],[Rate]]=""),"Missing","OK")</f>
        <v>OK</v>
      </c>
    </row>
    <row r="1270" spans="1:9" x14ac:dyDescent="0.35">
      <c r="A1270" t="s">
        <v>1294</v>
      </c>
      <c r="B1270" t="s">
        <v>56</v>
      </c>
      <c r="C1270" t="s">
        <v>21</v>
      </c>
      <c r="D1270">
        <v>74.34</v>
      </c>
      <c r="E1270" t="s">
        <v>27</v>
      </c>
      <c r="F1270">
        <v>1365.19</v>
      </c>
      <c r="G1270">
        <f t="shared" si="21"/>
        <v>101488.22460000002</v>
      </c>
      <c r="H1270" t="str">
        <f>IF(BOQ_Table[[#This Row],[Amount]]&gt;100000,"Over Budget","OK")</f>
        <v>Over Budget</v>
      </c>
      <c r="I1270" t="str">
        <f>IF(OR(BOQ_Table[[#This Row],[Quantity]]="",BOQ_Table[[#This Row],[Rate]]=""),"Missing","OK")</f>
        <v>OK</v>
      </c>
    </row>
    <row r="1271" spans="1:9" x14ac:dyDescent="0.35">
      <c r="A1271" t="s">
        <v>1295</v>
      </c>
      <c r="B1271" t="s">
        <v>40</v>
      </c>
      <c r="C1271" t="s">
        <v>17</v>
      </c>
      <c r="D1271">
        <v>18.09</v>
      </c>
      <c r="E1271" t="s">
        <v>9</v>
      </c>
      <c r="F1271">
        <v>800.87</v>
      </c>
      <c r="G1271">
        <f t="shared" si="21"/>
        <v>14487.738299999999</v>
      </c>
      <c r="H1271" t="str">
        <f>IF(BOQ_Table[[#This Row],[Amount]]&gt;100000,"Over Budget","OK")</f>
        <v>OK</v>
      </c>
      <c r="I1271" t="str">
        <f>IF(OR(BOQ_Table[[#This Row],[Quantity]]="",BOQ_Table[[#This Row],[Rate]]=""),"Missing","OK")</f>
        <v>OK</v>
      </c>
    </row>
    <row r="1272" spans="1:9" x14ac:dyDescent="0.35">
      <c r="A1272" t="s">
        <v>1296</v>
      </c>
      <c r="B1272" t="s">
        <v>11</v>
      </c>
      <c r="C1272" t="s">
        <v>12</v>
      </c>
      <c r="D1272">
        <v>368.58</v>
      </c>
      <c r="E1272" t="s">
        <v>9</v>
      </c>
      <c r="F1272">
        <v>3724.11</v>
      </c>
      <c r="G1272">
        <f t="shared" si="21"/>
        <v>1372632.4638</v>
      </c>
      <c r="H1272" t="str">
        <f>IF(BOQ_Table[[#This Row],[Amount]]&gt;100000,"Over Budget","OK")</f>
        <v>Over Budget</v>
      </c>
      <c r="I1272" t="str">
        <f>IF(OR(BOQ_Table[[#This Row],[Quantity]]="",BOQ_Table[[#This Row],[Rate]]=""),"Missing","OK")</f>
        <v>OK</v>
      </c>
    </row>
    <row r="1273" spans="1:9" x14ac:dyDescent="0.35">
      <c r="A1273" t="s">
        <v>1297</v>
      </c>
      <c r="B1273" t="s">
        <v>20</v>
      </c>
      <c r="C1273" t="s">
        <v>12</v>
      </c>
      <c r="D1273">
        <v>36.090000000000003</v>
      </c>
      <c r="E1273" t="s">
        <v>18</v>
      </c>
      <c r="F1273">
        <v>1784.17</v>
      </c>
      <c r="G1273">
        <f t="shared" si="21"/>
        <v>64390.695300000007</v>
      </c>
      <c r="H1273" t="str">
        <f>IF(BOQ_Table[[#This Row],[Amount]]&gt;100000,"Over Budget","OK")</f>
        <v>OK</v>
      </c>
      <c r="I1273" t="str">
        <f>IF(OR(BOQ_Table[[#This Row],[Quantity]]="",BOQ_Table[[#This Row],[Rate]]=""),"Missing","OK")</f>
        <v>OK</v>
      </c>
    </row>
    <row r="1274" spans="1:9" x14ac:dyDescent="0.35">
      <c r="A1274" t="s">
        <v>1298</v>
      </c>
      <c r="B1274" t="s">
        <v>11</v>
      </c>
      <c r="C1274" t="s">
        <v>12</v>
      </c>
      <c r="D1274">
        <v>316.60000000000002</v>
      </c>
      <c r="E1274" t="s">
        <v>18</v>
      </c>
      <c r="F1274">
        <v>970.4</v>
      </c>
      <c r="G1274">
        <f t="shared" si="21"/>
        <v>307228.64</v>
      </c>
      <c r="H1274" t="str">
        <f>IF(BOQ_Table[[#This Row],[Amount]]&gt;100000,"Over Budget","OK")</f>
        <v>Over Budget</v>
      </c>
      <c r="I1274" t="str">
        <f>IF(OR(BOQ_Table[[#This Row],[Quantity]]="",BOQ_Table[[#This Row],[Rate]]=""),"Missing","OK")</f>
        <v>OK</v>
      </c>
    </row>
    <row r="1275" spans="1:9" x14ac:dyDescent="0.35">
      <c r="A1275" t="s">
        <v>1299</v>
      </c>
      <c r="B1275" t="s">
        <v>16</v>
      </c>
      <c r="C1275" t="s">
        <v>21</v>
      </c>
      <c r="D1275">
        <v>234.86</v>
      </c>
      <c r="E1275" t="s">
        <v>18</v>
      </c>
      <c r="F1275">
        <v>2977.02</v>
      </c>
      <c r="G1275">
        <f t="shared" si="21"/>
        <v>699182.91720000003</v>
      </c>
      <c r="H1275" t="str">
        <f>IF(BOQ_Table[[#This Row],[Amount]]&gt;100000,"Over Budget","OK")</f>
        <v>Over Budget</v>
      </c>
      <c r="I1275" t="str">
        <f>IF(OR(BOQ_Table[[#This Row],[Quantity]]="",BOQ_Table[[#This Row],[Rate]]=""),"Missing","OK")</f>
        <v>OK</v>
      </c>
    </row>
    <row r="1276" spans="1:9" x14ac:dyDescent="0.35">
      <c r="A1276" t="s">
        <v>1300</v>
      </c>
      <c r="B1276" t="s">
        <v>7</v>
      </c>
      <c r="C1276" t="s">
        <v>17</v>
      </c>
      <c r="D1276">
        <v>30.5</v>
      </c>
      <c r="E1276" t="s">
        <v>9</v>
      </c>
      <c r="F1276">
        <v>4781.5</v>
      </c>
      <c r="G1276">
        <f t="shared" si="21"/>
        <v>145835.75</v>
      </c>
      <c r="H1276" t="str">
        <f>IF(BOQ_Table[[#This Row],[Amount]]&gt;100000,"Over Budget","OK")</f>
        <v>Over Budget</v>
      </c>
      <c r="I1276" t="str">
        <f>IF(OR(BOQ_Table[[#This Row],[Quantity]]="",BOQ_Table[[#This Row],[Rate]]=""),"Missing","OK")</f>
        <v>OK</v>
      </c>
    </row>
    <row r="1277" spans="1:9" x14ac:dyDescent="0.35">
      <c r="A1277" t="s">
        <v>1301</v>
      </c>
      <c r="B1277" t="s">
        <v>42</v>
      </c>
      <c r="C1277" t="s">
        <v>17</v>
      </c>
      <c r="D1277">
        <v>167.62</v>
      </c>
      <c r="E1277" t="s">
        <v>22</v>
      </c>
      <c r="F1277">
        <v>4507.37</v>
      </c>
      <c r="G1277">
        <f t="shared" si="21"/>
        <v>755525.35939999996</v>
      </c>
      <c r="H1277" t="str">
        <f>IF(BOQ_Table[[#This Row],[Amount]]&gt;100000,"Over Budget","OK")</f>
        <v>Over Budget</v>
      </c>
      <c r="I1277" t="str">
        <f>IF(OR(BOQ_Table[[#This Row],[Quantity]]="",BOQ_Table[[#This Row],[Rate]]=""),"Missing","OK")</f>
        <v>OK</v>
      </c>
    </row>
    <row r="1278" spans="1:9" x14ac:dyDescent="0.35">
      <c r="A1278" t="s">
        <v>1302</v>
      </c>
      <c r="B1278" t="s">
        <v>40</v>
      </c>
      <c r="C1278" t="s">
        <v>17</v>
      </c>
      <c r="D1278">
        <v>198.96</v>
      </c>
      <c r="E1278" t="s">
        <v>22</v>
      </c>
      <c r="F1278">
        <v>2166.85</v>
      </c>
      <c r="G1278">
        <f t="shared" si="21"/>
        <v>431116.47600000002</v>
      </c>
      <c r="H1278" t="str">
        <f>IF(BOQ_Table[[#This Row],[Amount]]&gt;100000,"Over Budget","OK")</f>
        <v>Over Budget</v>
      </c>
      <c r="I1278" t="str">
        <f>IF(OR(BOQ_Table[[#This Row],[Quantity]]="",BOQ_Table[[#This Row],[Rate]]=""),"Missing","OK")</f>
        <v>OK</v>
      </c>
    </row>
    <row r="1279" spans="1:9" x14ac:dyDescent="0.35">
      <c r="A1279" t="s">
        <v>1303</v>
      </c>
      <c r="B1279" t="s">
        <v>46</v>
      </c>
      <c r="C1279" t="s">
        <v>21</v>
      </c>
      <c r="D1279">
        <v>129.16</v>
      </c>
      <c r="E1279" t="s">
        <v>9</v>
      </c>
      <c r="F1279">
        <v>2863.97</v>
      </c>
      <c r="G1279">
        <f t="shared" si="21"/>
        <v>369910.36519999994</v>
      </c>
      <c r="H1279" t="str">
        <f>IF(BOQ_Table[[#This Row],[Amount]]&gt;100000,"Over Budget","OK")</f>
        <v>Over Budget</v>
      </c>
      <c r="I1279" t="str">
        <f>IF(OR(BOQ_Table[[#This Row],[Quantity]]="",BOQ_Table[[#This Row],[Rate]]=""),"Missing","OK")</f>
        <v>OK</v>
      </c>
    </row>
    <row r="1280" spans="1:9" x14ac:dyDescent="0.35">
      <c r="A1280" t="s">
        <v>1304</v>
      </c>
      <c r="B1280" t="s">
        <v>40</v>
      </c>
      <c r="C1280" t="s">
        <v>38</v>
      </c>
      <c r="D1280">
        <v>327.71</v>
      </c>
      <c r="E1280" t="s">
        <v>22</v>
      </c>
      <c r="F1280">
        <v>2667.62</v>
      </c>
      <c r="G1280">
        <f t="shared" si="21"/>
        <v>874205.75019999989</v>
      </c>
      <c r="H1280" t="str">
        <f>IF(BOQ_Table[[#This Row],[Amount]]&gt;100000,"Over Budget","OK")</f>
        <v>Over Budget</v>
      </c>
      <c r="I1280" t="str">
        <f>IF(OR(BOQ_Table[[#This Row],[Quantity]]="",BOQ_Table[[#This Row],[Rate]]=""),"Missing","OK")</f>
        <v>OK</v>
      </c>
    </row>
    <row r="1281" spans="1:9" x14ac:dyDescent="0.35">
      <c r="A1281" t="s">
        <v>1305</v>
      </c>
      <c r="B1281" t="s">
        <v>11</v>
      </c>
      <c r="C1281" t="s">
        <v>8</v>
      </c>
      <c r="D1281">
        <v>149.02000000000001</v>
      </c>
      <c r="E1281" t="s">
        <v>22</v>
      </c>
      <c r="F1281">
        <v>1475.38</v>
      </c>
      <c r="G1281">
        <f t="shared" si="21"/>
        <v>219861.12760000004</v>
      </c>
      <c r="H1281" t="str">
        <f>IF(BOQ_Table[[#This Row],[Amount]]&gt;100000,"Over Budget","OK")</f>
        <v>Over Budget</v>
      </c>
      <c r="I1281" t="str">
        <f>IF(OR(BOQ_Table[[#This Row],[Quantity]]="",BOQ_Table[[#This Row],[Rate]]=""),"Missing","OK")</f>
        <v>OK</v>
      </c>
    </row>
    <row r="1282" spans="1:9" x14ac:dyDescent="0.35">
      <c r="A1282" t="s">
        <v>1306</v>
      </c>
      <c r="B1282" t="s">
        <v>42</v>
      </c>
      <c r="C1282" t="s">
        <v>8</v>
      </c>
      <c r="D1282">
        <v>138.9</v>
      </c>
      <c r="E1282" t="s">
        <v>14</v>
      </c>
      <c r="F1282">
        <v>220.85</v>
      </c>
      <c r="G1282">
        <f t="shared" ref="G1282:G1345" si="22">D1282*F1282</f>
        <v>30676.064999999999</v>
      </c>
      <c r="H1282" t="str">
        <f>IF(BOQ_Table[[#This Row],[Amount]]&gt;100000,"Over Budget","OK")</f>
        <v>OK</v>
      </c>
      <c r="I1282" t="str">
        <f>IF(OR(BOQ_Table[[#This Row],[Quantity]]="",BOQ_Table[[#This Row],[Rate]]=""),"Missing","OK")</f>
        <v>OK</v>
      </c>
    </row>
    <row r="1283" spans="1:9" x14ac:dyDescent="0.35">
      <c r="A1283" t="s">
        <v>1307</v>
      </c>
      <c r="B1283" t="s">
        <v>32</v>
      </c>
      <c r="C1283" t="s">
        <v>12</v>
      </c>
      <c r="D1283">
        <v>194.8</v>
      </c>
      <c r="E1283" t="s">
        <v>18</v>
      </c>
      <c r="F1283">
        <v>3293.48</v>
      </c>
      <c r="G1283">
        <f t="shared" si="22"/>
        <v>641569.9040000001</v>
      </c>
      <c r="H1283" t="str">
        <f>IF(BOQ_Table[[#This Row],[Amount]]&gt;100000,"Over Budget","OK")</f>
        <v>Over Budget</v>
      </c>
      <c r="I1283" t="str">
        <f>IF(OR(BOQ_Table[[#This Row],[Quantity]]="",BOQ_Table[[#This Row],[Rate]]=""),"Missing","OK")</f>
        <v>OK</v>
      </c>
    </row>
    <row r="1284" spans="1:9" x14ac:dyDescent="0.35">
      <c r="A1284" t="s">
        <v>1308</v>
      </c>
      <c r="B1284" t="s">
        <v>42</v>
      </c>
      <c r="C1284" t="s">
        <v>21</v>
      </c>
      <c r="D1284">
        <v>158.69</v>
      </c>
      <c r="E1284" t="s">
        <v>14</v>
      </c>
      <c r="F1284">
        <v>3800.49</v>
      </c>
      <c r="G1284">
        <f t="shared" si="22"/>
        <v>603099.75809999998</v>
      </c>
      <c r="H1284" t="str">
        <f>IF(BOQ_Table[[#This Row],[Amount]]&gt;100000,"Over Budget","OK")</f>
        <v>Over Budget</v>
      </c>
      <c r="I1284" t="str">
        <f>IF(OR(BOQ_Table[[#This Row],[Quantity]]="",BOQ_Table[[#This Row],[Rate]]=""),"Missing","OK")</f>
        <v>OK</v>
      </c>
    </row>
    <row r="1285" spans="1:9" x14ac:dyDescent="0.35">
      <c r="A1285" t="s">
        <v>1309</v>
      </c>
      <c r="B1285" t="s">
        <v>46</v>
      </c>
      <c r="C1285" t="s">
        <v>17</v>
      </c>
      <c r="D1285">
        <v>346.29</v>
      </c>
      <c r="E1285" t="s">
        <v>9</v>
      </c>
      <c r="F1285">
        <v>2021.65</v>
      </c>
      <c r="G1285">
        <f t="shared" si="22"/>
        <v>700077.17850000004</v>
      </c>
      <c r="H1285" t="str">
        <f>IF(BOQ_Table[[#This Row],[Amount]]&gt;100000,"Over Budget","OK")</f>
        <v>Over Budget</v>
      </c>
      <c r="I1285" t="str">
        <f>IF(OR(BOQ_Table[[#This Row],[Quantity]]="",BOQ_Table[[#This Row],[Rate]]=""),"Missing","OK")</f>
        <v>OK</v>
      </c>
    </row>
    <row r="1286" spans="1:9" x14ac:dyDescent="0.35">
      <c r="A1286" t="s">
        <v>1310</v>
      </c>
      <c r="B1286" t="s">
        <v>20</v>
      </c>
      <c r="C1286" t="s">
        <v>21</v>
      </c>
      <c r="D1286">
        <v>18.100000000000001</v>
      </c>
      <c r="E1286" t="s">
        <v>18</v>
      </c>
      <c r="F1286">
        <v>1033.07</v>
      </c>
      <c r="G1286">
        <f t="shared" si="22"/>
        <v>18698.566999999999</v>
      </c>
      <c r="H1286" t="str">
        <f>IF(BOQ_Table[[#This Row],[Amount]]&gt;100000,"Over Budget","OK")</f>
        <v>OK</v>
      </c>
      <c r="I1286" t="str">
        <f>IF(OR(BOQ_Table[[#This Row],[Quantity]]="",BOQ_Table[[#This Row],[Rate]]=""),"Missing","OK")</f>
        <v>OK</v>
      </c>
    </row>
    <row r="1287" spans="1:9" x14ac:dyDescent="0.35">
      <c r="A1287" t="s">
        <v>1311</v>
      </c>
      <c r="B1287" t="s">
        <v>40</v>
      </c>
      <c r="C1287" t="s">
        <v>8</v>
      </c>
      <c r="D1287">
        <v>170.09</v>
      </c>
      <c r="E1287" t="s">
        <v>22</v>
      </c>
      <c r="F1287">
        <v>4597.63</v>
      </c>
      <c r="G1287">
        <f t="shared" si="22"/>
        <v>782010.88670000003</v>
      </c>
      <c r="H1287" t="str">
        <f>IF(BOQ_Table[[#This Row],[Amount]]&gt;100000,"Over Budget","OK")</f>
        <v>Over Budget</v>
      </c>
      <c r="I1287" t="str">
        <f>IF(OR(BOQ_Table[[#This Row],[Quantity]]="",BOQ_Table[[#This Row],[Rate]]=""),"Missing","OK")</f>
        <v>OK</v>
      </c>
    </row>
    <row r="1288" spans="1:9" x14ac:dyDescent="0.35">
      <c r="A1288" t="s">
        <v>1312</v>
      </c>
      <c r="B1288" t="s">
        <v>11</v>
      </c>
      <c r="C1288" t="s">
        <v>38</v>
      </c>
      <c r="D1288">
        <v>89.63</v>
      </c>
      <c r="E1288" t="s">
        <v>22</v>
      </c>
      <c r="F1288">
        <v>1647.39</v>
      </c>
      <c r="G1288">
        <f t="shared" si="22"/>
        <v>147655.56570000001</v>
      </c>
      <c r="H1288" t="str">
        <f>IF(BOQ_Table[[#This Row],[Amount]]&gt;100000,"Over Budget","OK")</f>
        <v>Over Budget</v>
      </c>
      <c r="I1288" t="str">
        <f>IF(OR(BOQ_Table[[#This Row],[Quantity]]="",BOQ_Table[[#This Row],[Rate]]=""),"Missing","OK")</f>
        <v>OK</v>
      </c>
    </row>
    <row r="1289" spans="1:9" x14ac:dyDescent="0.35">
      <c r="A1289" t="s">
        <v>1313</v>
      </c>
      <c r="B1289" t="s">
        <v>20</v>
      </c>
      <c r="C1289" t="s">
        <v>17</v>
      </c>
      <c r="D1289">
        <v>72.17</v>
      </c>
      <c r="E1289" t="s">
        <v>22</v>
      </c>
      <c r="F1289">
        <v>4473.2700000000004</v>
      </c>
      <c r="G1289">
        <f t="shared" si="22"/>
        <v>322835.89590000006</v>
      </c>
      <c r="H1289" t="str">
        <f>IF(BOQ_Table[[#This Row],[Amount]]&gt;100000,"Over Budget","OK")</f>
        <v>Over Budget</v>
      </c>
      <c r="I1289" t="str">
        <f>IF(OR(BOQ_Table[[#This Row],[Quantity]]="",BOQ_Table[[#This Row],[Rate]]=""),"Missing","OK")</f>
        <v>OK</v>
      </c>
    </row>
    <row r="1290" spans="1:9" x14ac:dyDescent="0.35">
      <c r="A1290" t="s">
        <v>1314</v>
      </c>
      <c r="B1290" t="s">
        <v>16</v>
      </c>
      <c r="C1290" t="s">
        <v>8</v>
      </c>
      <c r="D1290">
        <v>91.17</v>
      </c>
      <c r="E1290" t="s">
        <v>9</v>
      </c>
      <c r="F1290">
        <v>1052.28</v>
      </c>
      <c r="G1290">
        <f t="shared" si="22"/>
        <v>95936.367599999998</v>
      </c>
      <c r="H1290" t="str">
        <f>IF(BOQ_Table[[#This Row],[Amount]]&gt;100000,"Over Budget","OK")</f>
        <v>OK</v>
      </c>
      <c r="I1290" t="str">
        <f>IF(OR(BOQ_Table[[#This Row],[Quantity]]="",BOQ_Table[[#This Row],[Rate]]=""),"Missing","OK")</f>
        <v>OK</v>
      </c>
    </row>
    <row r="1291" spans="1:9" x14ac:dyDescent="0.35">
      <c r="A1291" t="s">
        <v>1315</v>
      </c>
      <c r="B1291" t="s">
        <v>20</v>
      </c>
      <c r="C1291" t="s">
        <v>12</v>
      </c>
      <c r="D1291">
        <v>449.98</v>
      </c>
      <c r="E1291" t="s">
        <v>14</v>
      </c>
      <c r="F1291">
        <v>2225.59</v>
      </c>
      <c r="G1291">
        <f t="shared" si="22"/>
        <v>1001470.9882000001</v>
      </c>
      <c r="H1291" t="str">
        <f>IF(BOQ_Table[[#This Row],[Amount]]&gt;100000,"Over Budget","OK")</f>
        <v>Over Budget</v>
      </c>
      <c r="I1291" t="str">
        <f>IF(OR(BOQ_Table[[#This Row],[Quantity]]="",BOQ_Table[[#This Row],[Rate]]=""),"Missing","OK")</f>
        <v>OK</v>
      </c>
    </row>
    <row r="1292" spans="1:9" x14ac:dyDescent="0.35">
      <c r="A1292" t="s">
        <v>1316</v>
      </c>
      <c r="B1292" t="s">
        <v>16</v>
      </c>
      <c r="C1292" t="s">
        <v>8</v>
      </c>
      <c r="D1292">
        <v>300.99</v>
      </c>
      <c r="E1292" t="s">
        <v>22</v>
      </c>
      <c r="F1292">
        <v>4844.3100000000004</v>
      </c>
      <c r="G1292">
        <f t="shared" si="22"/>
        <v>1458088.8669000003</v>
      </c>
      <c r="H1292" t="str">
        <f>IF(BOQ_Table[[#This Row],[Amount]]&gt;100000,"Over Budget","OK")</f>
        <v>Over Budget</v>
      </c>
      <c r="I1292" t="str">
        <f>IF(OR(BOQ_Table[[#This Row],[Quantity]]="",BOQ_Table[[#This Row],[Rate]]=""),"Missing","OK")</f>
        <v>OK</v>
      </c>
    </row>
    <row r="1293" spans="1:9" x14ac:dyDescent="0.35">
      <c r="A1293" t="s">
        <v>1317</v>
      </c>
      <c r="B1293" t="s">
        <v>20</v>
      </c>
      <c r="C1293" t="s">
        <v>21</v>
      </c>
      <c r="D1293">
        <v>336.73</v>
      </c>
      <c r="E1293" t="s">
        <v>22</v>
      </c>
      <c r="F1293">
        <v>3215.5</v>
      </c>
      <c r="G1293">
        <f t="shared" si="22"/>
        <v>1082755.3149999999</v>
      </c>
      <c r="H1293" t="str">
        <f>IF(BOQ_Table[[#This Row],[Amount]]&gt;100000,"Over Budget","OK")</f>
        <v>Over Budget</v>
      </c>
      <c r="I1293" t="str">
        <f>IF(OR(BOQ_Table[[#This Row],[Quantity]]="",BOQ_Table[[#This Row],[Rate]]=""),"Missing","OK")</f>
        <v>OK</v>
      </c>
    </row>
    <row r="1294" spans="1:9" x14ac:dyDescent="0.35">
      <c r="A1294" t="s">
        <v>1318</v>
      </c>
      <c r="B1294" t="s">
        <v>11</v>
      </c>
      <c r="C1294" t="s">
        <v>17</v>
      </c>
      <c r="D1294">
        <v>264.67</v>
      </c>
      <c r="E1294" t="s">
        <v>22</v>
      </c>
      <c r="F1294">
        <v>1088.96</v>
      </c>
      <c r="G1294">
        <f t="shared" si="22"/>
        <v>288215.04320000001</v>
      </c>
      <c r="H1294" t="str">
        <f>IF(BOQ_Table[[#This Row],[Amount]]&gt;100000,"Over Budget","OK")</f>
        <v>Over Budget</v>
      </c>
      <c r="I1294" t="str">
        <f>IF(OR(BOQ_Table[[#This Row],[Quantity]]="",BOQ_Table[[#This Row],[Rate]]=""),"Missing","OK")</f>
        <v>OK</v>
      </c>
    </row>
    <row r="1295" spans="1:9" x14ac:dyDescent="0.35">
      <c r="A1295" t="s">
        <v>1319</v>
      </c>
      <c r="B1295" t="s">
        <v>7</v>
      </c>
      <c r="C1295" t="s">
        <v>38</v>
      </c>
      <c r="D1295">
        <v>305.83999999999997</v>
      </c>
      <c r="E1295" t="s">
        <v>27</v>
      </c>
      <c r="F1295">
        <v>212.97</v>
      </c>
      <c r="G1295">
        <f t="shared" si="22"/>
        <v>65134.744799999993</v>
      </c>
      <c r="H1295" t="str">
        <f>IF(BOQ_Table[[#This Row],[Amount]]&gt;100000,"Over Budget","OK")</f>
        <v>OK</v>
      </c>
      <c r="I1295" t="str">
        <f>IF(OR(BOQ_Table[[#This Row],[Quantity]]="",BOQ_Table[[#This Row],[Rate]]=""),"Missing","OK")</f>
        <v>OK</v>
      </c>
    </row>
    <row r="1296" spans="1:9" x14ac:dyDescent="0.35">
      <c r="A1296" t="s">
        <v>1320</v>
      </c>
      <c r="B1296" t="s">
        <v>30</v>
      </c>
      <c r="C1296" t="s">
        <v>8</v>
      </c>
      <c r="D1296">
        <v>269.02</v>
      </c>
      <c r="E1296" t="s">
        <v>14</v>
      </c>
      <c r="F1296">
        <v>4791.3500000000004</v>
      </c>
      <c r="G1296">
        <f t="shared" si="22"/>
        <v>1288968.977</v>
      </c>
      <c r="H1296" t="str">
        <f>IF(BOQ_Table[[#This Row],[Amount]]&gt;100000,"Over Budget","OK")</f>
        <v>Over Budget</v>
      </c>
      <c r="I1296" t="str">
        <f>IF(OR(BOQ_Table[[#This Row],[Quantity]]="",BOQ_Table[[#This Row],[Rate]]=""),"Missing","OK")</f>
        <v>OK</v>
      </c>
    </row>
    <row r="1297" spans="1:9" x14ac:dyDescent="0.35">
      <c r="A1297" t="s">
        <v>1321</v>
      </c>
      <c r="B1297" t="s">
        <v>56</v>
      </c>
      <c r="C1297" t="s">
        <v>12</v>
      </c>
      <c r="D1297">
        <v>372.19</v>
      </c>
      <c r="E1297" t="s">
        <v>27</v>
      </c>
      <c r="F1297">
        <v>4479.43</v>
      </c>
      <c r="G1297">
        <f t="shared" si="22"/>
        <v>1667199.0517000002</v>
      </c>
      <c r="H1297" t="str">
        <f>IF(BOQ_Table[[#This Row],[Amount]]&gt;100000,"Over Budget","OK")</f>
        <v>Over Budget</v>
      </c>
      <c r="I1297" t="str">
        <f>IF(OR(BOQ_Table[[#This Row],[Quantity]]="",BOQ_Table[[#This Row],[Rate]]=""),"Missing","OK")</f>
        <v>OK</v>
      </c>
    </row>
    <row r="1298" spans="1:9" x14ac:dyDescent="0.35">
      <c r="A1298" t="s">
        <v>1322</v>
      </c>
      <c r="B1298" t="s">
        <v>16</v>
      </c>
      <c r="C1298" t="s">
        <v>21</v>
      </c>
      <c r="D1298">
        <v>156.94999999999999</v>
      </c>
      <c r="E1298" t="s">
        <v>27</v>
      </c>
      <c r="F1298">
        <v>1300.1300000000001</v>
      </c>
      <c r="G1298">
        <f t="shared" si="22"/>
        <v>204055.40350000001</v>
      </c>
      <c r="H1298" t="str">
        <f>IF(BOQ_Table[[#This Row],[Amount]]&gt;100000,"Over Budget","OK")</f>
        <v>Over Budget</v>
      </c>
      <c r="I1298" t="str">
        <f>IF(OR(BOQ_Table[[#This Row],[Quantity]]="",BOQ_Table[[#This Row],[Rate]]=""),"Missing","OK")</f>
        <v>OK</v>
      </c>
    </row>
    <row r="1299" spans="1:9" x14ac:dyDescent="0.35">
      <c r="A1299" t="s">
        <v>1323</v>
      </c>
      <c r="B1299" t="s">
        <v>56</v>
      </c>
      <c r="C1299" t="s">
        <v>17</v>
      </c>
      <c r="D1299">
        <v>347.61</v>
      </c>
      <c r="E1299" t="s">
        <v>14</v>
      </c>
      <c r="F1299">
        <v>4848.88</v>
      </c>
      <c r="G1299">
        <f t="shared" si="22"/>
        <v>1685519.1768</v>
      </c>
      <c r="H1299" t="str">
        <f>IF(BOQ_Table[[#This Row],[Amount]]&gt;100000,"Over Budget","OK")</f>
        <v>Over Budget</v>
      </c>
      <c r="I1299" t="str">
        <f>IF(OR(BOQ_Table[[#This Row],[Quantity]]="",BOQ_Table[[#This Row],[Rate]]=""),"Missing","OK")</f>
        <v>OK</v>
      </c>
    </row>
    <row r="1300" spans="1:9" x14ac:dyDescent="0.35">
      <c r="A1300" t="s">
        <v>1324</v>
      </c>
      <c r="B1300" t="s">
        <v>20</v>
      </c>
      <c r="C1300" t="s">
        <v>12</v>
      </c>
      <c r="D1300">
        <v>8.0299999999999994</v>
      </c>
      <c r="E1300" t="s">
        <v>22</v>
      </c>
      <c r="F1300">
        <v>2427.75</v>
      </c>
      <c r="G1300">
        <f t="shared" si="22"/>
        <v>19494.832499999997</v>
      </c>
      <c r="H1300" t="str">
        <f>IF(BOQ_Table[[#This Row],[Amount]]&gt;100000,"Over Budget","OK")</f>
        <v>OK</v>
      </c>
      <c r="I1300" t="str">
        <f>IF(OR(BOQ_Table[[#This Row],[Quantity]]="",BOQ_Table[[#This Row],[Rate]]=""),"Missing","OK")</f>
        <v>OK</v>
      </c>
    </row>
    <row r="1301" spans="1:9" x14ac:dyDescent="0.35">
      <c r="A1301" t="s">
        <v>1325</v>
      </c>
      <c r="B1301" t="s">
        <v>16</v>
      </c>
      <c r="C1301" t="s">
        <v>38</v>
      </c>
      <c r="D1301">
        <v>16.239999999999998</v>
      </c>
      <c r="E1301" t="s">
        <v>22</v>
      </c>
      <c r="F1301">
        <v>4556.49</v>
      </c>
      <c r="G1301">
        <f t="shared" si="22"/>
        <v>73997.397599999997</v>
      </c>
      <c r="H1301" t="str">
        <f>IF(BOQ_Table[[#This Row],[Amount]]&gt;100000,"Over Budget","OK")</f>
        <v>OK</v>
      </c>
      <c r="I1301" t="str">
        <f>IF(OR(BOQ_Table[[#This Row],[Quantity]]="",BOQ_Table[[#This Row],[Rate]]=""),"Missing","OK")</f>
        <v>OK</v>
      </c>
    </row>
    <row r="1302" spans="1:9" x14ac:dyDescent="0.35">
      <c r="A1302" t="s">
        <v>1326</v>
      </c>
      <c r="B1302" t="s">
        <v>20</v>
      </c>
      <c r="C1302" t="s">
        <v>21</v>
      </c>
      <c r="D1302">
        <v>288.85000000000002</v>
      </c>
      <c r="E1302" t="s">
        <v>27</v>
      </c>
      <c r="F1302">
        <v>1023.34</v>
      </c>
      <c r="G1302">
        <f t="shared" si="22"/>
        <v>295591.75900000002</v>
      </c>
      <c r="H1302" t="str">
        <f>IF(BOQ_Table[[#This Row],[Amount]]&gt;100000,"Over Budget","OK")</f>
        <v>Over Budget</v>
      </c>
      <c r="I1302" t="str">
        <f>IF(OR(BOQ_Table[[#This Row],[Quantity]]="",BOQ_Table[[#This Row],[Rate]]=""),"Missing","OK")</f>
        <v>OK</v>
      </c>
    </row>
    <row r="1303" spans="1:9" x14ac:dyDescent="0.35">
      <c r="A1303" t="s">
        <v>1327</v>
      </c>
      <c r="B1303" t="s">
        <v>7</v>
      </c>
      <c r="C1303" t="s">
        <v>38</v>
      </c>
      <c r="D1303">
        <v>331.03</v>
      </c>
      <c r="E1303" t="s">
        <v>18</v>
      </c>
      <c r="F1303">
        <v>2648.8</v>
      </c>
      <c r="G1303">
        <f t="shared" si="22"/>
        <v>876832.26399999997</v>
      </c>
      <c r="H1303" t="str">
        <f>IF(BOQ_Table[[#This Row],[Amount]]&gt;100000,"Over Budget","OK")</f>
        <v>Over Budget</v>
      </c>
      <c r="I1303" t="str">
        <f>IF(OR(BOQ_Table[[#This Row],[Quantity]]="",BOQ_Table[[#This Row],[Rate]]=""),"Missing","OK")</f>
        <v>OK</v>
      </c>
    </row>
    <row r="1304" spans="1:9" x14ac:dyDescent="0.35">
      <c r="A1304" t="s">
        <v>1328</v>
      </c>
      <c r="B1304" t="s">
        <v>30</v>
      </c>
      <c r="C1304" t="s">
        <v>21</v>
      </c>
      <c r="D1304">
        <v>230.19</v>
      </c>
      <c r="E1304" t="s">
        <v>9</v>
      </c>
      <c r="F1304">
        <v>4339.84</v>
      </c>
      <c r="G1304">
        <f t="shared" si="22"/>
        <v>998987.7696</v>
      </c>
      <c r="H1304" t="str">
        <f>IF(BOQ_Table[[#This Row],[Amount]]&gt;100000,"Over Budget","OK")</f>
        <v>Over Budget</v>
      </c>
      <c r="I1304" t="str">
        <f>IF(OR(BOQ_Table[[#This Row],[Quantity]]="",BOQ_Table[[#This Row],[Rate]]=""),"Missing","OK")</f>
        <v>OK</v>
      </c>
    </row>
    <row r="1305" spans="1:9" x14ac:dyDescent="0.35">
      <c r="A1305" t="s">
        <v>1329</v>
      </c>
      <c r="B1305" t="s">
        <v>56</v>
      </c>
      <c r="C1305" t="s">
        <v>12</v>
      </c>
      <c r="D1305">
        <v>262.31</v>
      </c>
      <c r="E1305" t="s">
        <v>18</v>
      </c>
      <c r="F1305">
        <v>1559.99</v>
      </c>
      <c r="G1305">
        <f t="shared" si="22"/>
        <v>409200.97690000001</v>
      </c>
      <c r="H1305" t="str">
        <f>IF(BOQ_Table[[#This Row],[Amount]]&gt;100000,"Over Budget","OK")</f>
        <v>Over Budget</v>
      </c>
      <c r="I1305" t="str">
        <f>IF(OR(BOQ_Table[[#This Row],[Quantity]]="",BOQ_Table[[#This Row],[Rate]]=""),"Missing","OK")</f>
        <v>OK</v>
      </c>
    </row>
    <row r="1306" spans="1:9" x14ac:dyDescent="0.35">
      <c r="A1306" t="s">
        <v>1330</v>
      </c>
      <c r="B1306" t="s">
        <v>42</v>
      </c>
      <c r="C1306" t="s">
        <v>12</v>
      </c>
      <c r="D1306">
        <v>8.65</v>
      </c>
      <c r="E1306" t="s">
        <v>14</v>
      </c>
      <c r="F1306">
        <v>2976.08</v>
      </c>
      <c r="G1306">
        <f t="shared" si="22"/>
        <v>25743.092000000001</v>
      </c>
      <c r="H1306" t="str">
        <f>IF(BOQ_Table[[#This Row],[Amount]]&gt;100000,"Over Budget","OK")</f>
        <v>OK</v>
      </c>
      <c r="I1306" t="str">
        <f>IF(OR(BOQ_Table[[#This Row],[Quantity]]="",BOQ_Table[[#This Row],[Rate]]=""),"Missing","OK")</f>
        <v>OK</v>
      </c>
    </row>
    <row r="1307" spans="1:9" x14ac:dyDescent="0.35">
      <c r="A1307" t="s">
        <v>1331</v>
      </c>
      <c r="B1307" t="s">
        <v>46</v>
      </c>
      <c r="C1307" t="s">
        <v>12</v>
      </c>
      <c r="D1307">
        <v>129.85</v>
      </c>
      <c r="E1307" t="s">
        <v>9</v>
      </c>
      <c r="F1307">
        <v>4552.33</v>
      </c>
      <c r="G1307">
        <f t="shared" si="22"/>
        <v>591120.05050000001</v>
      </c>
      <c r="H1307" t="str">
        <f>IF(BOQ_Table[[#This Row],[Amount]]&gt;100000,"Over Budget","OK")</f>
        <v>Over Budget</v>
      </c>
      <c r="I1307" t="str">
        <f>IF(OR(BOQ_Table[[#This Row],[Quantity]]="",BOQ_Table[[#This Row],[Rate]]=""),"Missing","OK")</f>
        <v>OK</v>
      </c>
    </row>
    <row r="1308" spans="1:9" x14ac:dyDescent="0.35">
      <c r="A1308" t="s">
        <v>1332</v>
      </c>
      <c r="B1308" t="s">
        <v>16</v>
      </c>
      <c r="C1308" t="s">
        <v>8</v>
      </c>
      <c r="D1308">
        <v>123.95</v>
      </c>
      <c r="E1308" t="s">
        <v>27</v>
      </c>
      <c r="F1308">
        <v>3532.57</v>
      </c>
      <c r="G1308">
        <f t="shared" si="22"/>
        <v>437862.0515</v>
      </c>
      <c r="H1308" t="str">
        <f>IF(BOQ_Table[[#This Row],[Amount]]&gt;100000,"Over Budget","OK")</f>
        <v>Over Budget</v>
      </c>
      <c r="I1308" t="str">
        <f>IF(OR(BOQ_Table[[#This Row],[Quantity]]="",BOQ_Table[[#This Row],[Rate]]=""),"Missing","OK")</f>
        <v>OK</v>
      </c>
    </row>
    <row r="1309" spans="1:9" x14ac:dyDescent="0.35">
      <c r="A1309" t="s">
        <v>1333</v>
      </c>
      <c r="B1309" t="s">
        <v>32</v>
      </c>
      <c r="C1309" t="s">
        <v>8</v>
      </c>
      <c r="D1309">
        <v>95.59</v>
      </c>
      <c r="E1309" t="s">
        <v>22</v>
      </c>
      <c r="F1309">
        <v>4467.5</v>
      </c>
      <c r="G1309">
        <f t="shared" si="22"/>
        <v>427048.32500000001</v>
      </c>
      <c r="H1309" t="str">
        <f>IF(BOQ_Table[[#This Row],[Amount]]&gt;100000,"Over Budget","OK")</f>
        <v>Over Budget</v>
      </c>
      <c r="I1309" t="str">
        <f>IF(OR(BOQ_Table[[#This Row],[Quantity]]="",BOQ_Table[[#This Row],[Rate]]=""),"Missing","OK")</f>
        <v>OK</v>
      </c>
    </row>
    <row r="1310" spans="1:9" x14ac:dyDescent="0.35">
      <c r="A1310" t="s">
        <v>1334</v>
      </c>
      <c r="B1310" t="s">
        <v>40</v>
      </c>
      <c r="C1310" t="s">
        <v>12</v>
      </c>
      <c r="D1310">
        <v>212.8</v>
      </c>
      <c r="E1310" t="s">
        <v>14</v>
      </c>
      <c r="F1310">
        <v>3350.75</v>
      </c>
      <c r="G1310">
        <f t="shared" si="22"/>
        <v>713039.60000000009</v>
      </c>
      <c r="H1310" t="str">
        <f>IF(BOQ_Table[[#This Row],[Amount]]&gt;100000,"Over Budget","OK")</f>
        <v>Over Budget</v>
      </c>
      <c r="I1310" t="str">
        <f>IF(OR(BOQ_Table[[#This Row],[Quantity]]="",BOQ_Table[[#This Row],[Rate]]=""),"Missing","OK")</f>
        <v>OK</v>
      </c>
    </row>
    <row r="1311" spans="1:9" x14ac:dyDescent="0.35">
      <c r="A1311" t="s">
        <v>1335</v>
      </c>
      <c r="B1311" t="s">
        <v>11</v>
      </c>
      <c r="C1311" t="s">
        <v>38</v>
      </c>
      <c r="D1311">
        <v>233.42</v>
      </c>
      <c r="E1311" t="s">
        <v>22</v>
      </c>
      <c r="F1311">
        <v>2045.38</v>
      </c>
      <c r="G1311">
        <f t="shared" si="22"/>
        <v>477432.59960000002</v>
      </c>
      <c r="H1311" t="str">
        <f>IF(BOQ_Table[[#This Row],[Amount]]&gt;100000,"Over Budget","OK")</f>
        <v>Over Budget</v>
      </c>
      <c r="I1311" t="str">
        <f>IF(OR(BOQ_Table[[#This Row],[Quantity]]="",BOQ_Table[[#This Row],[Rate]]=""),"Missing","OK")</f>
        <v>OK</v>
      </c>
    </row>
    <row r="1312" spans="1:9" x14ac:dyDescent="0.35">
      <c r="A1312" t="s">
        <v>1336</v>
      </c>
      <c r="B1312" t="s">
        <v>40</v>
      </c>
      <c r="C1312" t="s">
        <v>38</v>
      </c>
      <c r="D1312">
        <v>225.11</v>
      </c>
      <c r="E1312" t="s">
        <v>22</v>
      </c>
      <c r="F1312">
        <v>3070.69</v>
      </c>
      <c r="G1312">
        <f t="shared" si="22"/>
        <v>691243.02590000001</v>
      </c>
      <c r="H1312" t="str">
        <f>IF(BOQ_Table[[#This Row],[Amount]]&gt;100000,"Over Budget","OK")</f>
        <v>Over Budget</v>
      </c>
      <c r="I1312" t="str">
        <f>IF(OR(BOQ_Table[[#This Row],[Quantity]]="",BOQ_Table[[#This Row],[Rate]]=""),"Missing","OK")</f>
        <v>OK</v>
      </c>
    </row>
    <row r="1313" spans="1:9" x14ac:dyDescent="0.35">
      <c r="A1313" t="s">
        <v>1337</v>
      </c>
      <c r="B1313" t="s">
        <v>32</v>
      </c>
      <c r="C1313" t="s">
        <v>8</v>
      </c>
      <c r="D1313">
        <v>154.44</v>
      </c>
      <c r="E1313" t="s">
        <v>22</v>
      </c>
      <c r="F1313">
        <v>3750.78</v>
      </c>
      <c r="G1313">
        <f t="shared" si="22"/>
        <v>579270.4632</v>
      </c>
      <c r="H1313" t="str">
        <f>IF(BOQ_Table[[#This Row],[Amount]]&gt;100000,"Over Budget","OK")</f>
        <v>Over Budget</v>
      </c>
      <c r="I1313" t="str">
        <f>IF(OR(BOQ_Table[[#This Row],[Quantity]]="",BOQ_Table[[#This Row],[Rate]]=""),"Missing","OK")</f>
        <v>OK</v>
      </c>
    </row>
    <row r="1314" spans="1:9" x14ac:dyDescent="0.35">
      <c r="A1314" t="s">
        <v>1338</v>
      </c>
      <c r="B1314" t="s">
        <v>46</v>
      </c>
      <c r="C1314" t="s">
        <v>21</v>
      </c>
      <c r="D1314">
        <v>56.65</v>
      </c>
      <c r="E1314" t="s">
        <v>22</v>
      </c>
      <c r="F1314">
        <v>3390.51</v>
      </c>
      <c r="G1314">
        <f t="shared" si="22"/>
        <v>192072.3915</v>
      </c>
      <c r="H1314" t="str">
        <f>IF(BOQ_Table[[#This Row],[Amount]]&gt;100000,"Over Budget","OK")</f>
        <v>Over Budget</v>
      </c>
      <c r="I1314" t="str">
        <f>IF(OR(BOQ_Table[[#This Row],[Quantity]]="",BOQ_Table[[#This Row],[Rate]]=""),"Missing","OK")</f>
        <v>OK</v>
      </c>
    </row>
    <row r="1315" spans="1:9" x14ac:dyDescent="0.35">
      <c r="A1315" t="s">
        <v>1339</v>
      </c>
      <c r="B1315" t="s">
        <v>46</v>
      </c>
      <c r="C1315" t="s">
        <v>12</v>
      </c>
      <c r="D1315">
        <v>132.09</v>
      </c>
      <c r="E1315" t="s">
        <v>22</v>
      </c>
      <c r="F1315">
        <v>1712.63</v>
      </c>
      <c r="G1315">
        <f t="shared" si="22"/>
        <v>226221.29670000001</v>
      </c>
      <c r="H1315" t="str">
        <f>IF(BOQ_Table[[#This Row],[Amount]]&gt;100000,"Over Budget","OK")</f>
        <v>Over Budget</v>
      </c>
      <c r="I1315" t="str">
        <f>IF(OR(BOQ_Table[[#This Row],[Quantity]]="",BOQ_Table[[#This Row],[Rate]]=""),"Missing","OK")</f>
        <v>OK</v>
      </c>
    </row>
    <row r="1316" spans="1:9" x14ac:dyDescent="0.35">
      <c r="A1316" t="s">
        <v>1340</v>
      </c>
      <c r="B1316" t="s">
        <v>42</v>
      </c>
      <c r="C1316" t="s">
        <v>8</v>
      </c>
      <c r="D1316">
        <v>239.56</v>
      </c>
      <c r="E1316" t="s">
        <v>14</v>
      </c>
      <c r="F1316">
        <v>1768.84</v>
      </c>
      <c r="G1316">
        <f t="shared" si="22"/>
        <v>423743.31039999996</v>
      </c>
      <c r="H1316" t="str">
        <f>IF(BOQ_Table[[#This Row],[Amount]]&gt;100000,"Over Budget","OK")</f>
        <v>Over Budget</v>
      </c>
      <c r="I1316" t="str">
        <f>IF(OR(BOQ_Table[[#This Row],[Quantity]]="",BOQ_Table[[#This Row],[Rate]]=""),"Missing","OK")</f>
        <v>OK</v>
      </c>
    </row>
    <row r="1317" spans="1:9" x14ac:dyDescent="0.35">
      <c r="A1317" t="s">
        <v>1341</v>
      </c>
      <c r="B1317" t="s">
        <v>42</v>
      </c>
      <c r="C1317" t="s">
        <v>12</v>
      </c>
      <c r="D1317">
        <v>214.68</v>
      </c>
      <c r="E1317" t="s">
        <v>14</v>
      </c>
      <c r="F1317">
        <v>3089.27</v>
      </c>
      <c r="G1317">
        <f t="shared" si="22"/>
        <v>663204.48360000004</v>
      </c>
      <c r="H1317" t="str">
        <f>IF(BOQ_Table[[#This Row],[Amount]]&gt;100000,"Over Budget","OK")</f>
        <v>Over Budget</v>
      </c>
      <c r="I1317" t="str">
        <f>IF(OR(BOQ_Table[[#This Row],[Quantity]]="",BOQ_Table[[#This Row],[Rate]]=""),"Missing","OK")</f>
        <v>OK</v>
      </c>
    </row>
    <row r="1318" spans="1:9" x14ac:dyDescent="0.35">
      <c r="A1318" t="s">
        <v>1342</v>
      </c>
      <c r="B1318" t="s">
        <v>20</v>
      </c>
      <c r="C1318" t="s">
        <v>8</v>
      </c>
      <c r="D1318">
        <v>83.66</v>
      </c>
      <c r="E1318" t="s">
        <v>9</v>
      </c>
      <c r="F1318">
        <v>1589.1</v>
      </c>
      <c r="G1318">
        <f t="shared" si="22"/>
        <v>132944.106</v>
      </c>
      <c r="H1318" t="str">
        <f>IF(BOQ_Table[[#This Row],[Amount]]&gt;100000,"Over Budget","OK")</f>
        <v>Over Budget</v>
      </c>
      <c r="I1318" t="str">
        <f>IF(OR(BOQ_Table[[#This Row],[Quantity]]="",BOQ_Table[[#This Row],[Rate]]=""),"Missing","OK")</f>
        <v>OK</v>
      </c>
    </row>
    <row r="1319" spans="1:9" x14ac:dyDescent="0.35">
      <c r="A1319" t="s">
        <v>1343</v>
      </c>
      <c r="B1319" t="s">
        <v>30</v>
      </c>
      <c r="C1319" t="s">
        <v>17</v>
      </c>
      <c r="D1319">
        <v>345.06</v>
      </c>
      <c r="E1319" t="s">
        <v>22</v>
      </c>
      <c r="F1319">
        <v>1752.44</v>
      </c>
      <c r="G1319">
        <f t="shared" si="22"/>
        <v>604696.94640000002</v>
      </c>
      <c r="H1319" t="str">
        <f>IF(BOQ_Table[[#This Row],[Amount]]&gt;100000,"Over Budget","OK")</f>
        <v>Over Budget</v>
      </c>
      <c r="I1319" t="str">
        <f>IF(OR(BOQ_Table[[#This Row],[Quantity]]="",BOQ_Table[[#This Row],[Rate]]=""),"Missing","OK")</f>
        <v>OK</v>
      </c>
    </row>
    <row r="1320" spans="1:9" x14ac:dyDescent="0.35">
      <c r="A1320" t="s">
        <v>1344</v>
      </c>
      <c r="B1320" t="s">
        <v>56</v>
      </c>
      <c r="C1320" t="s">
        <v>8</v>
      </c>
      <c r="D1320">
        <v>458</v>
      </c>
      <c r="E1320" t="s">
        <v>27</v>
      </c>
      <c r="F1320">
        <v>2515.2199999999998</v>
      </c>
      <c r="G1320">
        <f t="shared" si="22"/>
        <v>1151970.76</v>
      </c>
      <c r="H1320" t="str">
        <f>IF(BOQ_Table[[#This Row],[Amount]]&gt;100000,"Over Budget","OK")</f>
        <v>Over Budget</v>
      </c>
      <c r="I1320" t="str">
        <f>IF(OR(BOQ_Table[[#This Row],[Quantity]]="",BOQ_Table[[#This Row],[Rate]]=""),"Missing","OK")</f>
        <v>OK</v>
      </c>
    </row>
    <row r="1321" spans="1:9" x14ac:dyDescent="0.35">
      <c r="A1321" t="s">
        <v>1345</v>
      </c>
      <c r="B1321" t="s">
        <v>40</v>
      </c>
      <c r="C1321" t="s">
        <v>12</v>
      </c>
      <c r="D1321">
        <v>214.63</v>
      </c>
      <c r="E1321" t="s">
        <v>27</v>
      </c>
      <c r="F1321">
        <v>3231.38</v>
      </c>
      <c r="G1321">
        <f t="shared" si="22"/>
        <v>693551.08940000006</v>
      </c>
      <c r="H1321" t="str">
        <f>IF(BOQ_Table[[#This Row],[Amount]]&gt;100000,"Over Budget","OK")</f>
        <v>Over Budget</v>
      </c>
      <c r="I1321" t="str">
        <f>IF(OR(BOQ_Table[[#This Row],[Quantity]]="",BOQ_Table[[#This Row],[Rate]]=""),"Missing","OK")</f>
        <v>OK</v>
      </c>
    </row>
    <row r="1322" spans="1:9" x14ac:dyDescent="0.35">
      <c r="A1322" t="s">
        <v>1346</v>
      </c>
      <c r="B1322" t="s">
        <v>40</v>
      </c>
      <c r="C1322" t="s">
        <v>21</v>
      </c>
      <c r="D1322">
        <v>373.35</v>
      </c>
      <c r="E1322" t="s">
        <v>14</v>
      </c>
      <c r="F1322">
        <v>2473.15</v>
      </c>
      <c r="G1322">
        <f t="shared" si="22"/>
        <v>923350.55250000011</v>
      </c>
      <c r="H1322" t="str">
        <f>IF(BOQ_Table[[#This Row],[Amount]]&gt;100000,"Over Budget","OK")</f>
        <v>Over Budget</v>
      </c>
      <c r="I1322" t="str">
        <f>IF(OR(BOQ_Table[[#This Row],[Quantity]]="",BOQ_Table[[#This Row],[Rate]]=""),"Missing","OK")</f>
        <v>OK</v>
      </c>
    </row>
    <row r="1323" spans="1:9" x14ac:dyDescent="0.35">
      <c r="A1323" t="s">
        <v>1347</v>
      </c>
      <c r="B1323" t="s">
        <v>40</v>
      </c>
      <c r="C1323" t="s">
        <v>21</v>
      </c>
      <c r="D1323">
        <v>44.24</v>
      </c>
      <c r="E1323" t="s">
        <v>22</v>
      </c>
      <c r="F1323">
        <v>3854.67</v>
      </c>
      <c r="G1323">
        <f t="shared" si="22"/>
        <v>170530.60080000001</v>
      </c>
      <c r="H1323" t="str">
        <f>IF(BOQ_Table[[#This Row],[Amount]]&gt;100000,"Over Budget","OK")</f>
        <v>Over Budget</v>
      </c>
      <c r="I1323" t="str">
        <f>IF(OR(BOQ_Table[[#This Row],[Quantity]]="",BOQ_Table[[#This Row],[Rate]]=""),"Missing","OK")</f>
        <v>OK</v>
      </c>
    </row>
    <row r="1324" spans="1:9" x14ac:dyDescent="0.35">
      <c r="A1324" t="s">
        <v>1348</v>
      </c>
      <c r="B1324" t="s">
        <v>20</v>
      </c>
      <c r="C1324" t="s">
        <v>12</v>
      </c>
      <c r="D1324">
        <v>447.46</v>
      </c>
      <c r="E1324" t="s">
        <v>18</v>
      </c>
      <c r="F1324">
        <v>279.02</v>
      </c>
      <c r="G1324">
        <f t="shared" si="22"/>
        <v>124850.28919999998</v>
      </c>
      <c r="H1324" t="str">
        <f>IF(BOQ_Table[[#This Row],[Amount]]&gt;100000,"Over Budget","OK")</f>
        <v>Over Budget</v>
      </c>
      <c r="I1324" t="str">
        <f>IF(OR(BOQ_Table[[#This Row],[Quantity]]="",BOQ_Table[[#This Row],[Rate]]=""),"Missing","OK")</f>
        <v>OK</v>
      </c>
    </row>
    <row r="1325" spans="1:9" x14ac:dyDescent="0.35">
      <c r="A1325" t="s">
        <v>1349</v>
      </c>
      <c r="B1325" t="s">
        <v>20</v>
      </c>
      <c r="C1325" t="s">
        <v>21</v>
      </c>
      <c r="D1325">
        <v>262.64999999999998</v>
      </c>
      <c r="E1325" t="s">
        <v>22</v>
      </c>
      <c r="F1325">
        <v>4769.91</v>
      </c>
      <c r="G1325">
        <f t="shared" si="22"/>
        <v>1252816.8614999999</v>
      </c>
      <c r="H1325" t="str">
        <f>IF(BOQ_Table[[#This Row],[Amount]]&gt;100000,"Over Budget","OK")</f>
        <v>Over Budget</v>
      </c>
      <c r="I1325" t="str">
        <f>IF(OR(BOQ_Table[[#This Row],[Quantity]]="",BOQ_Table[[#This Row],[Rate]]=""),"Missing","OK")</f>
        <v>OK</v>
      </c>
    </row>
    <row r="1326" spans="1:9" x14ac:dyDescent="0.35">
      <c r="A1326" t="s">
        <v>1350</v>
      </c>
      <c r="B1326" t="s">
        <v>42</v>
      </c>
      <c r="C1326" t="s">
        <v>38</v>
      </c>
      <c r="D1326">
        <v>267.33</v>
      </c>
      <c r="E1326" t="s">
        <v>9</v>
      </c>
      <c r="F1326">
        <v>4786.91</v>
      </c>
      <c r="G1326">
        <f t="shared" si="22"/>
        <v>1279684.6502999999</v>
      </c>
      <c r="H1326" t="str">
        <f>IF(BOQ_Table[[#This Row],[Amount]]&gt;100000,"Over Budget","OK")</f>
        <v>Over Budget</v>
      </c>
      <c r="I1326" t="str">
        <f>IF(OR(BOQ_Table[[#This Row],[Quantity]]="",BOQ_Table[[#This Row],[Rate]]=""),"Missing","OK")</f>
        <v>OK</v>
      </c>
    </row>
    <row r="1327" spans="1:9" x14ac:dyDescent="0.35">
      <c r="A1327" t="s">
        <v>1351</v>
      </c>
      <c r="B1327" t="s">
        <v>20</v>
      </c>
      <c r="C1327" t="s">
        <v>8</v>
      </c>
      <c r="D1327">
        <v>498.9</v>
      </c>
      <c r="E1327" t="s">
        <v>9</v>
      </c>
      <c r="F1327">
        <v>2411.1</v>
      </c>
      <c r="G1327">
        <f t="shared" si="22"/>
        <v>1202897.7899999998</v>
      </c>
      <c r="H1327" t="str">
        <f>IF(BOQ_Table[[#This Row],[Amount]]&gt;100000,"Over Budget","OK")</f>
        <v>Over Budget</v>
      </c>
      <c r="I1327" t="str">
        <f>IF(OR(BOQ_Table[[#This Row],[Quantity]]="",BOQ_Table[[#This Row],[Rate]]=""),"Missing","OK")</f>
        <v>OK</v>
      </c>
    </row>
    <row r="1328" spans="1:9" x14ac:dyDescent="0.35">
      <c r="A1328" t="s">
        <v>1352</v>
      </c>
      <c r="B1328" t="s">
        <v>40</v>
      </c>
      <c r="C1328" t="s">
        <v>12</v>
      </c>
      <c r="D1328">
        <v>167.99</v>
      </c>
      <c r="E1328" t="s">
        <v>22</v>
      </c>
      <c r="F1328">
        <v>3310.05</v>
      </c>
      <c r="G1328">
        <f t="shared" si="22"/>
        <v>556055.29950000008</v>
      </c>
      <c r="H1328" t="str">
        <f>IF(BOQ_Table[[#This Row],[Amount]]&gt;100000,"Over Budget","OK")</f>
        <v>Over Budget</v>
      </c>
      <c r="I1328" t="str">
        <f>IF(OR(BOQ_Table[[#This Row],[Quantity]]="",BOQ_Table[[#This Row],[Rate]]=""),"Missing","OK")</f>
        <v>OK</v>
      </c>
    </row>
    <row r="1329" spans="1:9" x14ac:dyDescent="0.35">
      <c r="A1329" t="s">
        <v>1353</v>
      </c>
      <c r="B1329" t="s">
        <v>30</v>
      </c>
      <c r="C1329" t="s">
        <v>8</v>
      </c>
      <c r="D1329">
        <v>222.98</v>
      </c>
      <c r="E1329" t="s">
        <v>9</v>
      </c>
      <c r="F1329">
        <v>3888.29</v>
      </c>
      <c r="G1329">
        <f t="shared" si="22"/>
        <v>867010.90419999999</v>
      </c>
      <c r="H1329" t="str">
        <f>IF(BOQ_Table[[#This Row],[Amount]]&gt;100000,"Over Budget","OK")</f>
        <v>Over Budget</v>
      </c>
      <c r="I1329" t="str">
        <f>IF(OR(BOQ_Table[[#This Row],[Quantity]]="",BOQ_Table[[#This Row],[Rate]]=""),"Missing","OK")</f>
        <v>OK</v>
      </c>
    </row>
    <row r="1330" spans="1:9" x14ac:dyDescent="0.35">
      <c r="A1330" t="s">
        <v>1354</v>
      </c>
      <c r="B1330" t="s">
        <v>7</v>
      </c>
      <c r="C1330" t="s">
        <v>8</v>
      </c>
      <c r="D1330">
        <v>68.02</v>
      </c>
      <c r="E1330" t="s">
        <v>18</v>
      </c>
      <c r="F1330">
        <v>4256.6400000000003</v>
      </c>
      <c r="G1330">
        <f t="shared" si="22"/>
        <v>289536.65279999998</v>
      </c>
      <c r="H1330" t="str">
        <f>IF(BOQ_Table[[#This Row],[Amount]]&gt;100000,"Over Budget","OK")</f>
        <v>Over Budget</v>
      </c>
      <c r="I1330" t="str">
        <f>IF(OR(BOQ_Table[[#This Row],[Quantity]]="",BOQ_Table[[#This Row],[Rate]]=""),"Missing","OK")</f>
        <v>OK</v>
      </c>
    </row>
    <row r="1331" spans="1:9" x14ac:dyDescent="0.35">
      <c r="A1331" t="s">
        <v>1355</v>
      </c>
      <c r="B1331" t="s">
        <v>32</v>
      </c>
      <c r="C1331" t="s">
        <v>38</v>
      </c>
      <c r="D1331">
        <v>468.46</v>
      </c>
      <c r="E1331" t="s">
        <v>22</v>
      </c>
      <c r="F1331">
        <v>2095.2199999999998</v>
      </c>
      <c r="G1331">
        <f t="shared" si="22"/>
        <v>981526.76119999983</v>
      </c>
      <c r="H1331" t="str">
        <f>IF(BOQ_Table[[#This Row],[Amount]]&gt;100000,"Over Budget","OK")</f>
        <v>Over Budget</v>
      </c>
      <c r="I1331" t="str">
        <f>IF(OR(BOQ_Table[[#This Row],[Quantity]]="",BOQ_Table[[#This Row],[Rate]]=""),"Missing","OK")</f>
        <v>OK</v>
      </c>
    </row>
    <row r="1332" spans="1:9" x14ac:dyDescent="0.35">
      <c r="A1332" t="s">
        <v>1356</v>
      </c>
      <c r="B1332" t="s">
        <v>40</v>
      </c>
      <c r="C1332" t="s">
        <v>21</v>
      </c>
      <c r="D1332">
        <v>181.89</v>
      </c>
      <c r="E1332" t="s">
        <v>18</v>
      </c>
      <c r="F1332">
        <v>4713.66</v>
      </c>
      <c r="G1332">
        <f t="shared" si="22"/>
        <v>857367.61739999987</v>
      </c>
      <c r="H1332" t="str">
        <f>IF(BOQ_Table[[#This Row],[Amount]]&gt;100000,"Over Budget","OK")</f>
        <v>Over Budget</v>
      </c>
      <c r="I1332" t="str">
        <f>IF(OR(BOQ_Table[[#This Row],[Quantity]]="",BOQ_Table[[#This Row],[Rate]]=""),"Missing","OK")</f>
        <v>OK</v>
      </c>
    </row>
    <row r="1333" spans="1:9" x14ac:dyDescent="0.35">
      <c r="A1333" t="s">
        <v>1357</v>
      </c>
      <c r="B1333" t="s">
        <v>16</v>
      </c>
      <c r="C1333" t="s">
        <v>17</v>
      </c>
      <c r="D1333">
        <v>331.53</v>
      </c>
      <c r="E1333" t="s">
        <v>18</v>
      </c>
      <c r="F1333">
        <v>1910.29</v>
      </c>
      <c r="G1333">
        <f t="shared" si="22"/>
        <v>633318.44369999995</v>
      </c>
      <c r="H1333" t="str">
        <f>IF(BOQ_Table[[#This Row],[Amount]]&gt;100000,"Over Budget","OK")</f>
        <v>Over Budget</v>
      </c>
      <c r="I1333" t="str">
        <f>IF(OR(BOQ_Table[[#This Row],[Quantity]]="",BOQ_Table[[#This Row],[Rate]]=""),"Missing","OK")</f>
        <v>OK</v>
      </c>
    </row>
    <row r="1334" spans="1:9" x14ac:dyDescent="0.35">
      <c r="A1334" t="s">
        <v>1358</v>
      </c>
      <c r="B1334" t="s">
        <v>32</v>
      </c>
      <c r="C1334" t="s">
        <v>8</v>
      </c>
      <c r="D1334">
        <v>164.3</v>
      </c>
      <c r="E1334" t="s">
        <v>14</v>
      </c>
      <c r="F1334">
        <v>1322.07</v>
      </c>
      <c r="G1334">
        <f t="shared" si="22"/>
        <v>217216.101</v>
      </c>
      <c r="H1334" t="str">
        <f>IF(BOQ_Table[[#This Row],[Amount]]&gt;100000,"Over Budget","OK")</f>
        <v>Over Budget</v>
      </c>
      <c r="I1334" t="str">
        <f>IF(OR(BOQ_Table[[#This Row],[Quantity]]="",BOQ_Table[[#This Row],[Rate]]=""),"Missing","OK")</f>
        <v>OK</v>
      </c>
    </row>
    <row r="1335" spans="1:9" x14ac:dyDescent="0.35">
      <c r="A1335" t="s">
        <v>1359</v>
      </c>
      <c r="B1335" t="s">
        <v>56</v>
      </c>
      <c r="C1335" t="s">
        <v>8</v>
      </c>
      <c r="D1335">
        <v>391.01</v>
      </c>
      <c r="E1335" t="s">
        <v>9</v>
      </c>
      <c r="F1335">
        <v>1327.76</v>
      </c>
      <c r="G1335">
        <f t="shared" si="22"/>
        <v>519167.4376</v>
      </c>
      <c r="H1335" t="str">
        <f>IF(BOQ_Table[[#This Row],[Amount]]&gt;100000,"Over Budget","OK")</f>
        <v>Over Budget</v>
      </c>
      <c r="I1335" t="str">
        <f>IF(OR(BOQ_Table[[#This Row],[Quantity]]="",BOQ_Table[[#This Row],[Rate]]=""),"Missing","OK")</f>
        <v>OK</v>
      </c>
    </row>
    <row r="1336" spans="1:9" x14ac:dyDescent="0.35">
      <c r="A1336" t="s">
        <v>1360</v>
      </c>
      <c r="B1336" t="s">
        <v>20</v>
      </c>
      <c r="C1336" t="s">
        <v>21</v>
      </c>
      <c r="D1336">
        <v>19.29</v>
      </c>
      <c r="E1336" t="s">
        <v>14</v>
      </c>
      <c r="F1336">
        <v>2675.06</v>
      </c>
      <c r="G1336">
        <f t="shared" si="22"/>
        <v>51601.907399999996</v>
      </c>
      <c r="H1336" t="str">
        <f>IF(BOQ_Table[[#This Row],[Amount]]&gt;100000,"Over Budget","OK")</f>
        <v>OK</v>
      </c>
      <c r="I1336" t="str">
        <f>IF(OR(BOQ_Table[[#This Row],[Quantity]]="",BOQ_Table[[#This Row],[Rate]]=""),"Missing","OK")</f>
        <v>OK</v>
      </c>
    </row>
    <row r="1337" spans="1:9" x14ac:dyDescent="0.35">
      <c r="A1337" t="s">
        <v>1361</v>
      </c>
      <c r="B1337" t="s">
        <v>56</v>
      </c>
      <c r="C1337" t="s">
        <v>38</v>
      </c>
      <c r="D1337">
        <v>470.77</v>
      </c>
      <c r="E1337" t="s">
        <v>22</v>
      </c>
      <c r="F1337">
        <v>510.26</v>
      </c>
      <c r="G1337">
        <f t="shared" si="22"/>
        <v>240215.10019999999</v>
      </c>
      <c r="H1337" t="str">
        <f>IF(BOQ_Table[[#This Row],[Amount]]&gt;100000,"Over Budget","OK")</f>
        <v>Over Budget</v>
      </c>
      <c r="I1337" t="str">
        <f>IF(OR(BOQ_Table[[#This Row],[Quantity]]="",BOQ_Table[[#This Row],[Rate]]=""),"Missing","OK")</f>
        <v>OK</v>
      </c>
    </row>
    <row r="1338" spans="1:9" x14ac:dyDescent="0.35">
      <c r="A1338" t="s">
        <v>1362</v>
      </c>
      <c r="B1338" t="s">
        <v>42</v>
      </c>
      <c r="C1338" t="s">
        <v>8</v>
      </c>
      <c r="D1338">
        <v>84.46</v>
      </c>
      <c r="E1338" t="s">
        <v>14</v>
      </c>
      <c r="F1338">
        <v>4852.3999999999996</v>
      </c>
      <c r="G1338">
        <f t="shared" si="22"/>
        <v>409833.70399999991</v>
      </c>
      <c r="H1338" t="str">
        <f>IF(BOQ_Table[[#This Row],[Amount]]&gt;100000,"Over Budget","OK")</f>
        <v>Over Budget</v>
      </c>
      <c r="I1338" t="str">
        <f>IF(OR(BOQ_Table[[#This Row],[Quantity]]="",BOQ_Table[[#This Row],[Rate]]=""),"Missing","OK")</f>
        <v>OK</v>
      </c>
    </row>
    <row r="1339" spans="1:9" x14ac:dyDescent="0.35">
      <c r="A1339" t="s">
        <v>1363</v>
      </c>
      <c r="B1339" t="s">
        <v>42</v>
      </c>
      <c r="C1339" t="s">
        <v>12</v>
      </c>
      <c r="D1339">
        <v>164.64</v>
      </c>
      <c r="E1339" t="s">
        <v>27</v>
      </c>
      <c r="F1339">
        <v>139.13</v>
      </c>
      <c r="G1339">
        <f t="shared" si="22"/>
        <v>22906.363199999996</v>
      </c>
      <c r="H1339" t="str">
        <f>IF(BOQ_Table[[#This Row],[Amount]]&gt;100000,"Over Budget","OK")</f>
        <v>OK</v>
      </c>
      <c r="I1339" t="str">
        <f>IF(OR(BOQ_Table[[#This Row],[Quantity]]="",BOQ_Table[[#This Row],[Rate]]=""),"Missing","OK")</f>
        <v>OK</v>
      </c>
    </row>
    <row r="1340" spans="1:9" x14ac:dyDescent="0.35">
      <c r="A1340" t="s">
        <v>1364</v>
      </c>
      <c r="B1340" t="s">
        <v>30</v>
      </c>
      <c r="C1340" t="s">
        <v>21</v>
      </c>
      <c r="D1340">
        <v>184.17</v>
      </c>
      <c r="E1340" t="s">
        <v>27</v>
      </c>
      <c r="F1340">
        <v>326.86</v>
      </c>
      <c r="G1340">
        <f t="shared" si="22"/>
        <v>60197.806199999999</v>
      </c>
      <c r="H1340" t="str">
        <f>IF(BOQ_Table[[#This Row],[Amount]]&gt;100000,"Over Budget","OK")</f>
        <v>OK</v>
      </c>
      <c r="I1340" t="str">
        <f>IF(OR(BOQ_Table[[#This Row],[Quantity]]="",BOQ_Table[[#This Row],[Rate]]=""),"Missing","OK")</f>
        <v>OK</v>
      </c>
    </row>
    <row r="1341" spans="1:9" x14ac:dyDescent="0.35">
      <c r="A1341" t="s">
        <v>1365</v>
      </c>
      <c r="B1341" t="s">
        <v>32</v>
      </c>
      <c r="C1341" t="s">
        <v>21</v>
      </c>
      <c r="D1341">
        <v>71.510000000000005</v>
      </c>
      <c r="E1341" t="s">
        <v>22</v>
      </c>
      <c r="F1341">
        <v>1480.08</v>
      </c>
      <c r="G1341">
        <f t="shared" si="22"/>
        <v>105840.5208</v>
      </c>
      <c r="H1341" t="str">
        <f>IF(BOQ_Table[[#This Row],[Amount]]&gt;100000,"Over Budget","OK")</f>
        <v>Over Budget</v>
      </c>
      <c r="I1341" t="str">
        <f>IF(OR(BOQ_Table[[#This Row],[Quantity]]="",BOQ_Table[[#This Row],[Rate]]=""),"Missing","OK")</f>
        <v>OK</v>
      </c>
    </row>
    <row r="1342" spans="1:9" x14ac:dyDescent="0.35">
      <c r="A1342" t="s">
        <v>1366</v>
      </c>
      <c r="B1342" t="s">
        <v>30</v>
      </c>
      <c r="C1342" t="s">
        <v>17</v>
      </c>
      <c r="D1342">
        <v>346.86</v>
      </c>
      <c r="E1342" t="s">
        <v>18</v>
      </c>
      <c r="F1342">
        <v>1133.43</v>
      </c>
      <c r="G1342">
        <f t="shared" si="22"/>
        <v>393141.52980000002</v>
      </c>
      <c r="H1342" t="str">
        <f>IF(BOQ_Table[[#This Row],[Amount]]&gt;100000,"Over Budget","OK")</f>
        <v>Over Budget</v>
      </c>
      <c r="I1342" t="str">
        <f>IF(OR(BOQ_Table[[#This Row],[Quantity]]="",BOQ_Table[[#This Row],[Rate]]=""),"Missing","OK")</f>
        <v>OK</v>
      </c>
    </row>
    <row r="1343" spans="1:9" x14ac:dyDescent="0.35">
      <c r="A1343" t="s">
        <v>1367</v>
      </c>
      <c r="B1343" t="s">
        <v>16</v>
      </c>
      <c r="C1343" t="s">
        <v>38</v>
      </c>
      <c r="D1343">
        <v>200.48</v>
      </c>
      <c r="E1343" t="s">
        <v>27</v>
      </c>
      <c r="F1343">
        <v>1593.99</v>
      </c>
      <c r="G1343">
        <f t="shared" si="22"/>
        <v>319563.1152</v>
      </c>
      <c r="H1343" t="str">
        <f>IF(BOQ_Table[[#This Row],[Amount]]&gt;100000,"Over Budget","OK")</f>
        <v>Over Budget</v>
      </c>
      <c r="I1343" t="str">
        <f>IF(OR(BOQ_Table[[#This Row],[Quantity]]="",BOQ_Table[[#This Row],[Rate]]=""),"Missing","OK")</f>
        <v>OK</v>
      </c>
    </row>
    <row r="1344" spans="1:9" x14ac:dyDescent="0.35">
      <c r="A1344" t="s">
        <v>1368</v>
      </c>
      <c r="B1344" t="s">
        <v>32</v>
      </c>
      <c r="C1344" t="s">
        <v>12</v>
      </c>
      <c r="D1344">
        <v>287.98</v>
      </c>
      <c r="E1344" t="s">
        <v>14</v>
      </c>
      <c r="F1344">
        <v>894.76</v>
      </c>
      <c r="G1344">
        <f t="shared" si="22"/>
        <v>257672.98480000001</v>
      </c>
      <c r="H1344" t="str">
        <f>IF(BOQ_Table[[#This Row],[Amount]]&gt;100000,"Over Budget","OK")</f>
        <v>Over Budget</v>
      </c>
      <c r="I1344" t="str">
        <f>IF(OR(BOQ_Table[[#This Row],[Quantity]]="",BOQ_Table[[#This Row],[Rate]]=""),"Missing","OK")</f>
        <v>OK</v>
      </c>
    </row>
    <row r="1345" spans="1:9" x14ac:dyDescent="0.35">
      <c r="A1345" t="s">
        <v>1369</v>
      </c>
      <c r="B1345" t="s">
        <v>7</v>
      </c>
      <c r="C1345" t="s">
        <v>8</v>
      </c>
      <c r="D1345">
        <v>451.47</v>
      </c>
      <c r="E1345" t="s">
        <v>18</v>
      </c>
      <c r="F1345">
        <v>4415.08</v>
      </c>
      <c r="G1345">
        <f t="shared" si="22"/>
        <v>1993276.1676</v>
      </c>
      <c r="H1345" t="str">
        <f>IF(BOQ_Table[[#This Row],[Amount]]&gt;100000,"Over Budget","OK")</f>
        <v>Over Budget</v>
      </c>
      <c r="I1345" t="str">
        <f>IF(OR(BOQ_Table[[#This Row],[Quantity]]="",BOQ_Table[[#This Row],[Rate]]=""),"Missing","OK")</f>
        <v>OK</v>
      </c>
    </row>
    <row r="1346" spans="1:9" x14ac:dyDescent="0.35">
      <c r="A1346" t="s">
        <v>1370</v>
      </c>
      <c r="B1346" t="s">
        <v>32</v>
      </c>
      <c r="C1346" t="s">
        <v>12</v>
      </c>
      <c r="D1346">
        <v>361.75</v>
      </c>
      <c r="E1346" t="s">
        <v>14</v>
      </c>
      <c r="F1346">
        <v>4932.68</v>
      </c>
      <c r="G1346">
        <f t="shared" ref="G1346:G1409" si="23">D1346*F1346</f>
        <v>1784396.99</v>
      </c>
      <c r="H1346" t="str">
        <f>IF(BOQ_Table[[#This Row],[Amount]]&gt;100000,"Over Budget","OK")</f>
        <v>Over Budget</v>
      </c>
      <c r="I1346" t="str">
        <f>IF(OR(BOQ_Table[[#This Row],[Quantity]]="",BOQ_Table[[#This Row],[Rate]]=""),"Missing","OK")</f>
        <v>OK</v>
      </c>
    </row>
    <row r="1347" spans="1:9" x14ac:dyDescent="0.35">
      <c r="A1347" t="s">
        <v>1371</v>
      </c>
      <c r="B1347" t="s">
        <v>20</v>
      </c>
      <c r="C1347" t="s">
        <v>38</v>
      </c>
      <c r="D1347">
        <v>83.22</v>
      </c>
      <c r="E1347" t="s">
        <v>18</v>
      </c>
      <c r="F1347">
        <v>1673.13</v>
      </c>
      <c r="G1347">
        <f t="shared" si="23"/>
        <v>139237.8786</v>
      </c>
      <c r="H1347" t="str">
        <f>IF(BOQ_Table[[#This Row],[Amount]]&gt;100000,"Over Budget","OK")</f>
        <v>Over Budget</v>
      </c>
      <c r="I1347" t="str">
        <f>IF(OR(BOQ_Table[[#This Row],[Quantity]]="",BOQ_Table[[#This Row],[Rate]]=""),"Missing","OK")</f>
        <v>OK</v>
      </c>
    </row>
    <row r="1348" spans="1:9" x14ac:dyDescent="0.35">
      <c r="A1348" t="s">
        <v>1372</v>
      </c>
      <c r="B1348" t="s">
        <v>56</v>
      </c>
      <c r="C1348" t="s">
        <v>17</v>
      </c>
      <c r="D1348">
        <v>44.42</v>
      </c>
      <c r="E1348" t="s">
        <v>9</v>
      </c>
      <c r="F1348">
        <v>4966.92</v>
      </c>
      <c r="G1348">
        <f t="shared" si="23"/>
        <v>220630.5864</v>
      </c>
      <c r="H1348" t="str">
        <f>IF(BOQ_Table[[#This Row],[Amount]]&gt;100000,"Over Budget","OK")</f>
        <v>Over Budget</v>
      </c>
      <c r="I1348" t="str">
        <f>IF(OR(BOQ_Table[[#This Row],[Quantity]]="",BOQ_Table[[#This Row],[Rate]]=""),"Missing","OK")</f>
        <v>OK</v>
      </c>
    </row>
    <row r="1349" spans="1:9" x14ac:dyDescent="0.35">
      <c r="A1349" t="s">
        <v>1373</v>
      </c>
      <c r="B1349" t="s">
        <v>16</v>
      </c>
      <c r="C1349" t="s">
        <v>21</v>
      </c>
      <c r="D1349">
        <v>154.75</v>
      </c>
      <c r="E1349" t="s">
        <v>27</v>
      </c>
      <c r="F1349">
        <v>4945.1899999999996</v>
      </c>
      <c r="G1349">
        <f t="shared" si="23"/>
        <v>765268.15249999997</v>
      </c>
      <c r="H1349" t="str">
        <f>IF(BOQ_Table[[#This Row],[Amount]]&gt;100000,"Over Budget","OK")</f>
        <v>Over Budget</v>
      </c>
      <c r="I1349" t="str">
        <f>IF(OR(BOQ_Table[[#This Row],[Quantity]]="",BOQ_Table[[#This Row],[Rate]]=""),"Missing","OK")</f>
        <v>OK</v>
      </c>
    </row>
    <row r="1350" spans="1:9" x14ac:dyDescent="0.35">
      <c r="A1350" t="s">
        <v>1374</v>
      </c>
      <c r="B1350" t="s">
        <v>30</v>
      </c>
      <c r="C1350" t="s">
        <v>17</v>
      </c>
      <c r="D1350">
        <v>325.72000000000003</v>
      </c>
      <c r="E1350" t="s">
        <v>18</v>
      </c>
      <c r="F1350">
        <v>2344.11</v>
      </c>
      <c r="G1350">
        <f t="shared" si="23"/>
        <v>763523.50920000009</v>
      </c>
      <c r="H1350" t="str">
        <f>IF(BOQ_Table[[#This Row],[Amount]]&gt;100000,"Over Budget","OK")</f>
        <v>Over Budget</v>
      </c>
      <c r="I1350" t="str">
        <f>IF(OR(BOQ_Table[[#This Row],[Quantity]]="",BOQ_Table[[#This Row],[Rate]]=""),"Missing","OK")</f>
        <v>OK</v>
      </c>
    </row>
    <row r="1351" spans="1:9" x14ac:dyDescent="0.35">
      <c r="A1351" t="s">
        <v>1375</v>
      </c>
      <c r="B1351" t="s">
        <v>56</v>
      </c>
      <c r="C1351" t="s">
        <v>8</v>
      </c>
      <c r="D1351">
        <v>171.15</v>
      </c>
      <c r="E1351" t="s">
        <v>18</v>
      </c>
      <c r="F1351">
        <v>70.95</v>
      </c>
      <c r="G1351">
        <f t="shared" si="23"/>
        <v>12143.092500000001</v>
      </c>
      <c r="H1351" t="str">
        <f>IF(BOQ_Table[[#This Row],[Amount]]&gt;100000,"Over Budget","OK")</f>
        <v>OK</v>
      </c>
      <c r="I1351" t="str">
        <f>IF(OR(BOQ_Table[[#This Row],[Quantity]]="",BOQ_Table[[#This Row],[Rate]]=""),"Missing","OK")</f>
        <v>OK</v>
      </c>
    </row>
    <row r="1352" spans="1:9" x14ac:dyDescent="0.35">
      <c r="A1352" t="s">
        <v>1376</v>
      </c>
      <c r="B1352" t="s">
        <v>16</v>
      </c>
      <c r="C1352" t="s">
        <v>8</v>
      </c>
      <c r="D1352">
        <v>183.75</v>
      </c>
      <c r="E1352" t="s">
        <v>9</v>
      </c>
      <c r="F1352">
        <v>859.14</v>
      </c>
      <c r="G1352">
        <f t="shared" si="23"/>
        <v>157866.97500000001</v>
      </c>
      <c r="H1352" t="str">
        <f>IF(BOQ_Table[[#This Row],[Amount]]&gt;100000,"Over Budget","OK")</f>
        <v>Over Budget</v>
      </c>
      <c r="I1352" t="str">
        <f>IF(OR(BOQ_Table[[#This Row],[Quantity]]="",BOQ_Table[[#This Row],[Rate]]=""),"Missing","OK")</f>
        <v>OK</v>
      </c>
    </row>
    <row r="1353" spans="1:9" x14ac:dyDescent="0.35">
      <c r="A1353" t="s">
        <v>1377</v>
      </c>
      <c r="B1353" t="s">
        <v>7</v>
      </c>
      <c r="C1353" t="s">
        <v>12</v>
      </c>
      <c r="D1353">
        <v>2.41</v>
      </c>
      <c r="E1353" t="s">
        <v>14</v>
      </c>
      <c r="F1353">
        <v>83.32</v>
      </c>
      <c r="G1353">
        <f t="shared" si="23"/>
        <v>200.80119999999999</v>
      </c>
      <c r="H1353" t="str">
        <f>IF(BOQ_Table[[#This Row],[Amount]]&gt;100000,"Over Budget","OK")</f>
        <v>OK</v>
      </c>
      <c r="I1353" t="str">
        <f>IF(OR(BOQ_Table[[#This Row],[Quantity]]="",BOQ_Table[[#This Row],[Rate]]=""),"Missing","OK")</f>
        <v>OK</v>
      </c>
    </row>
    <row r="1354" spans="1:9" x14ac:dyDescent="0.35">
      <c r="A1354" t="s">
        <v>1378</v>
      </c>
      <c r="B1354" t="s">
        <v>32</v>
      </c>
      <c r="C1354" t="s">
        <v>8</v>
      </c>
      <c r="D1354">
        <v>166.96</v>
      </c>
      <c r="E1354" t="s">
        <v>18</v>
      </c>
      <c r="F1354">
        <v>3079.51</v>
      </c>
      <c r="G1354">
        <f t="shared" si="23"/>
        <v>514154.98960000009</v>
      </c>
      <c r="H1354" t="str">
        <f>IF(BOQ_Table[[#This Row],[Amount]]&gt;100000,"Over Budget","OK")</f>
        <v>Over Budget</v>
      </c>
      <c r="I1354" t="str">
        <f>IF(OR(BOQ_Table[[#This Row],[Quantity]]="",BOQ_Table[[#This Row],[Rate]]=""),"Missing","OK")</f>
        <v>OK</v>
      </c>
    </row>
    <row r="1355" spans="1:9" x14ac:dyDescent="0.35">
      <c r="A1355" t="s">
        <v>1379</v>
      </c>
      <c r="B1355" t="s">
        <v>7</v>
      </c>
      <c r="C1355" t="s">
        <v>38</v>
      </c>
      <c r="D1355">
        <v>259.88</v>
      </c>
      <c r="E1355" t="s">
        <v>9</v>
      </c>
      <c r="F1355">
        <v>1039.58</v>
      </c>
      <c r="G1355">
        <f t="shared" si="23"/>
        <v>270166.05039999995</v>
      </c>
      <c r="H1355" t="str">
        <f>IF(BOQ_Table[[#This Row],[Amount]]&gt;100000,"Over Budget","OK")</f>
        <v>Over Budget</v>
      </c>
      <c r="I1355" t="str">
        <f>IF(OR(BOQ_Table[[#This Row],[Quantity]]="",BOQ_Table[[#This Row],[Rate]]=""),"Missing","OK")</f>
        <v>OK</v>
      </c>
    </row>
    <row r="1356" spans="1:9" x14ac:dyDescent="0.35">
      <c r="A1356" t="s">
        <v>1380</v>
      </c>
      <c r="B1356" t="s">
        <v>20</v>
      </c>
      <c r="C1356" t="s">
        <v>21</v>
      </c>
      <c r="D1356">
        <v>53.46</v>
      </c>
      <c r="E1356" t="s">
        <v>14</v>
      </c>
      <c r="F1356">
        <v>3027.07</v>
      </c>
      <c r="G1356">
        <f t="shared" si="23"/>
        <v>161827.16220000002</v>
      </c>
      <c r="H1356" t="str">
        <f>IF(BOQ_Table[[#This Row],[Amount]]&gt;100000,"Over Budget","OK")</f>
        <v>Over Budget</v>
      </c>
      <c r="I1356" t="str">
        <f>IF(OR(BOQ_Table[[#This Row],[Quantity]]="",BOQ_Table[[#This Row],[Rate]]=""),"Missing","OK")</f>
        <v>OK</v>
      </c>
    </row>
    <row r="1357" spans="1:9" x14ac:dyDescent="0.35">
      <c r="A1357" t="s">
        <v>1381</v>
      </c>
      <c r="B1357" t="s">
        <v>42</v>
      </c>
      <c r="C1357" t="s">
        <v>12</v>
      </c>
      <c r="D1357">
        <v>341.71</v>
      </c>
      <c r="E1357" t="s">
        <v>18</v>
      </c>
      <c r="F1357">
        <v>4323.79</v>
      </c>
      <c r="G1357">
        <f t="shared" si="23"/>
        <v>1477482.2808999999</v>
      </c>
      <c r="H1357" t="str">
        <f>IF(BOQ_Table[[#This Row],[Amount]]&gt;100000,"Over Budget","OK")</f>
        <v>Over Budget</v>
      </c>
      <c r="I1357" t="str">
        <f>IF(OR(BOQ_Table[[#This Row],[Quantity]]="",BOQ_Table[[#This Row],[Rate]]=""),"Missing","OK")</f>
        <v>OK</v>
      </c>
    </row>
    <row r="1358" spans="1:9" x14ac:dyDescent="0.35">
      <c r="A1358" t="s">
        <v>1382</v>
      </c>
      <c r="B1358" t="s">
        <v>56</v>
      </c>
      <c r="C1358" t="s">
        <v>8</v>
      </c>
      <c r="D1358">
        <v>255.19</v>
      </c>
      <c r="E1358" t="s">
        <v>18</v>
      </c>
      <c r="F1358">
        <v>403.81</v>
      </c>
      <c r="G1358">
        <f t="shared" si="23"/>
        <v>103048.2739</v>
      </c>
      <c r="H1358" t="str">
        <f>IF(BOQ_Table[[#This Row],[Amount]]&gt;100000,"Over Budget","OK")</f>
        <v>Over Budget</v>
      </c>
      <c r="I1358" t="str">
        <f>IF(OR(BOQ_Table[[#This Row],[Quantity]]="",BOQ_Table[[#This Row],[Rate]]=""),"Missing","OK")</f>
        <v>OK</v>
      </c>
    </row>
    <row r="1359" spans="1:9" x14ac:dyDescent="0.35">
      <c r="A1359" t="s">
        <v>1383</v>
      </c>
      <c r="B1359" t="s">
        <v>7</v>
      </c>
      <c r="C1359" t="s">
        <v>17</v>
      </c>
      <c r="D1359">
        <v>188.71</v>
      </c>
      <c r="E1359" t="s">
        <v>14</v>
      </c>
      <c r="F1359">
        <v>4608.1000000000004</v>
      </c>
      <c r="G1359">
        <f t="shared" si="23"/>
        <v>869594.55100000009</v>
      </c>
      <c r="H1359" t="str">
        <f>IF(BOQ_Table[[#This Row],[Amount]]&gt;100000,"Over Budget","OK")</f>
        <v>Over Budget</v>
      </c>
      <c r="I1359" t="str">
        <f>IF(OR(BOQ_Table[[#This Row],[Quantity]]="",BOQ_Table[[#This Row],[Rate]]=""),"Missing","OK")</f>
        <v>OK</v>
      </c>
    </row>
    <row r="1360" spans="1:9" x14ac:dyDescent="0.35">
      <c r="A1360" t="s">
        <v>1384</v>
      </c>
      <c r="B1360" t="s">
        <v>7</v>
      </c>
      <c r="C1360" t="s">
        <v>38</v>
      </c>
      <c r="D1360">
        <v>453.68</v>
      </c>
      <c r="E1360" t="s">
        <v>27</v>
      </c>
      <c r="F1360">
        <v>438.34</v>
      </c>
      <c r="G1360">
        <f t="shared" si="23"/>
        <v>198866.0912</v>
      </c>
      <c r="H1360" t="str">
        <f>IF(BOQ_Table[[#This Row],[Amount]]&gt;100000,"Over Budget","OK")</f>
        <v>Over Budget</v>
      </c>
      <c r="I1360" t="str">
        <f>IF(OR(BOQ_Table[[#This Row],[Quantity]]="",BOQ_Table[[#This Row],[Rate]]=""),"Missing","OK")</f>
        <v>OK</v>
      </c>
    </row>
    <row r="1361" spans="1:9" x14ac:dyDescent="0.35">
      <c r="A1361" t="s">
        <v>1385</v>
      </c>
      <c r="B1361" t="s">
        <v>30</v>
      </c>
      <c r="C1361" t="s">
        <v>8</v>
      </c>
      <c r="D1361">
        <v>265.18</v>
      </c>
      <c r="E1361" t="s">
        <v>18</v>
      </c>
      <c r="F1361">
        <v>3194.37</v>
      </c>
      <c r="G1361">
        <f t="shared" si="23"/>
        <v>847083.03659999999</v>
      </c>
      <c r="H1361" t="str">
        <f>IF(BOQ_Table[[#This Row],[Amount]]&gt;100000,"Over Budget","OK")</f>
        <v>Over Budget</v>
      </c>
      <c r="I1361" t="str">
        <f>IF(OR(BOQ_Table[[#This Row],[Quantity]]="",BOQ_Table[[#This Row],[Rate]]=""),"Missing","OK")</f>
        <v>OK</v>
      </c>
    </row>
    <row r="1362" spans="1:9" x14ac:dyDescent="0.35">
      <c r="A1362" t="s">
        <v>1386</v>
      </c>
      <c r="B1362" t="s">
        <v>11</v>
      </c>
      <c r="C1362" t="s">
        <v>38</v>
      </c>
      <c r="D1362">
        <v>199.63</v>
      </c>
      <c r="E1362" t="s">
        <v>22</v>
      </c>
      <c r="F1362">
        <v>1138.6300000000001</v>
      </c>
      <c r="G1362">
        <f t="shared" si="23"/>
        <v>227304.70690000002</v>
      </c>
      <c r="H1362" t="str">
        <f>IF(BOQ_Table[[#This Row],[Amount]]&gt;100000,"Over Budget","OK")</f>
        <v>Over Budget</v>
      </c>
      <c r="I1362" t="str">
        <f>IF(OR(BOQ_Table[[#This Row],[Quantity]]="",BOQ_Table[[#This Row],[Rate]]=""),"Missing","OK")</f>
        <v>OK</v>
      </c>
    </row>
    <row r="1363" spans="1:9" x14ac:dyDescent="0.35">
      <c r="A1363" t="s">
        <v>1387</v>
      </c>
      <c r="B1363" t="s">
        <v>32</v>
      </c>
      <c r="C1363" t="s">
        <v>8</v>
      </c>
      <c r="D1363">
        <v>233.87</v>
      </c>
      <c r="E1363" t="s">
        <v>14</v>
      </c>
      <c r="F1363">
        <v>614.91999999999996</v>
      </c>
      <c r="G1363">
        <f t="shared" si="23"/>
        <v>143811.34039999999</v>
      </c>
      <c r="H1363" t="str">
        <f>IF(BOQ_Table[[#This Row],[Amount]]&gt;100000,"Over Budget","OK")</f>
        <v>Over Budget</v>
      </c>
      <c r="I1363" t="str">
        <f>IF(OR(BOQ_Table[[#This Row],[Quantity]]="",BOQ_Table[[#This Row],[Rate]]=""),"Missing","OK")</f>
        <v>OK</v>
      </c>
    </row>
    <row r="1364" spans="1:9" x14ac:dyDescent="0.35">
      <c r="A1364" t="s">
        <v>1388</v>
      </c>
      <c r="B1364" t="s">
        <v>56</v>
      </c>
      <c r="C1364" t="s">
        <v>21</v>
      </c>
      <c r="D1364">
        <v>262.64</v>
      </c>
      <c r="E1364" t="s">
        <v>14</v>
      </c>
      <c r="F1364">
        <v>1378.55</v>
      </c>
      <c r="G1364">
        <f t="shared" si="23"/>
        <v>362062.37199999997</v>
      </c>
      <c r="H1364" t="str">
        <f>IF(BOQ_Table[[#This Row],[Amount]]&gt;100000,"Over Budget","OK")</f>
        <v>Over Budget</v>
      </c>
      <c r="I1364" t="str">
        <f>IF(OR(BOQ_Table[[#This Row],[Quantity]]="",BOQ_Table[[#This Row],[Rate]]=""),"Missing","OK")</f>
        <v>OK</v>
      </c>
    </row>
    <row r="1365" spans="1:9" x14ac:dyDescent="0.35">
      <c r="A1365" t="s">
        <v>1389</v>
      </c>
      <c r="B1365" t="s">
        <v>40</v>
      </c>
      <c r="C1365" t="s">
        <v>8</v>
      </c>
      <c r="D1365">
        <v>51.33</v>
      </c>
      <c r="E1365" t="s">
        <v>9</v>
      </c>
      <c r="F1365">
        <v>3832.07</v>
      </c>
      <c r="G1365">
        <f t="shared" si="23"/>
        <v>196700.1531</v>
      </c>
      <c r="H1365" t="str">
        <f>IF(BOQ_Table[[#This Row],[Amount]]&gt;100000,"Over Budget","OK")</f>
        <v>Over Budget</v>
      </c>
      <c r="I1365" t="str">
        <f>IF(OR(BOQ_Table[[#This Row],[Quantity]]="",BOQ_Table[[#This Row],[Rate]]=""),"Missing","OK")</f>
        <v>OK</v>
      </c>
    </row>
    <row r="1366" spans="1:9" x14ac:dyDescent="0.35">
      <c r="A1366" t="s">
        <v>1390</v>
      </c>
      <c r="B1366" t="s">
        <v>56</v>
      </c>
      <c r="C1366" t="s">
        <v>21</v>
      </c>
      <c r="D1366">
        <v>492.53</v>
      </c>
      <c r="E1366" t="s">
        <v>14</v>
      </c>
      <c r="F1366">
        <v>1868.53</v>
      </c>
      <c r="G1366">
        <f t="shared" si="23"/>
        <v>920307.08089999994</v>
      </c>
      <c r="H1366" t="str">
        <f>IF(BOQ_Table[[#This Row],[Amount]]&gt;100000,"Over Budget","OK")</f>
        <v>Over Budget</v>
      </c>
      <c r="I1366" t="str">
        <f>IF(OR(BOQ_Table[[#This Row],[Quantity]]="",BOQ_Table[[#This Row],[Rate]]=""),"Missing","OK")</f>
        <v>OK</v>
      </c>
    </row>
    <row r="1367" spans="1:9" x14ac:dyDescent="0.35">
      <c r="A1367" t="s">
        <v>1391</v>
      </c>
      <c r="B1367" t="s">
        <v>56</v>
      </c>
      <c r="C1367" t="s">
        <v>21</v>
      </c>
      <c r="D1367">
        <v>493.85</v>
      </c>
      <c r="E1367" t="s">
        <v>9</v>
      </c>
      <c r="F1367">
        <v>2463.21</v>
      </c>
      <c r="G1367">
        <f t="shared" si="23"/>
        <v>1216456.2585</v>
      </c>
      <c r="H1367" t="str">
        <f>IF(BOQ_Table[[#This Row],[Amount]]&gt;100000,"Over Budget","OK")</f>
        <v>Over Budget</v>
      </c>
      <c r="I1367" t="str">
        <f>IF(OR(BOQ_Table[[#This Row],[Quantity]]="",BOQ_Table[[#This Row],[Rate]]=""),"Missing","OK")</f>
        <v>OK</v>
      </c>
    </row>
    <row r="1368" spans="1:9" x14ac:dyDescent="0.35">
      <c r="A1368" t="s">
        <v>1392</v>
      </c>
      <c r="B1368" t="s">
        <v>11</v>
      </c>
      <c r="C1368" t="s">
        <v>38</v>
      </c>
      <c r="D1368">
        <v>6.62</v>
      </c>
      <c r="E1368" t="s">
        <v>27</v>
      </c>
      <c r="F1368">
        <v>3526.26</v>
      </c>
      <c r="G1368">
        <f t="shared" si="23"/>
        <v>23343.841200000003</v>
      </c>
      <c r="H1368" t="str">
        <f>IF(BOQ_Table[[#This Row],[Amount]]&gt;100000,"Over Budget","OK")</f>
        <v>OK</v>
      </c>
      <c r="I1368" t="str">
        <f>IF(OR(BOQ_Table[[#This Row],[Quantity]]="",BOQ_Table[[#This Row],[Rate]]=""),"Missing","OK")</f>
        <v>OK</v>
      </c>
    </row>
    <row r="1369" spans="1:9" x14ac:dyDescent="0.35">
      <c r="A1369" t="s">
        <v>1393</v>
      </c>
      <c r="B1369" t="s">
        <v>7</v>
      </c>
      <c r="C1369" t="s">
        <v>38</v>
      </c>
      <c r="D1369">
        <v>310.29000000000002</v>
      </c>
      <c r="E1369" t="s">
        <v>9</v>
      </c>
      <c r="F1369">
        <v>3603.76</v>
      </c>
      <c r="G1369">
        <f t="shared" si="23"/>
        <v>1118210.6904000002</v>
      </c>
      <c r="H1369" t="str">
        <f>IF(BOQ_Table[[#This Row],[Amount]]&gt;100000,"Over Budget","OK")</f>
        <v>Over Budget</v>
      </c>
      <c r="I1369" t="str">
        <f>IF(OR(BOQ_Table[[#This Row],[Quantity]]="",BOQ_Table[[#This Row],[Rate]]=""),"Missing","OK")</f>
        <v>OK</v>
      </c>
    </row>
    <row r="1370" spans="1:9" x14ac:dyDescent="0.35">
      <c r="A1370" t="s">
        <v>1394</v>
      </c>
      <c r="B1370" t="s">
        <v>56</v>
      </c>
      <c r="C1370" t="s">
        <v>38</v>
      </c>
      <c r="D1370">
        <v>245.92</v>
      </c>
      <c r="E1370" t="s">
        <v>9</v>
      </c>
      <c r="F1370">
        <v>2118.35</v>
      </c>
      <c r="G1370">
        <f t="shared" si="23"/>
        <v>520944.63199999993</v>
      </c>
      <c r="H1370" t="str">
        <f>IF(BOQ_Table[[#This Row],[Amount]]&gt;100000,"Over Budget","OK")</f>
        <v>Over Budget</v>
      </c>
      <c r="I1370" t="str">
        <f>IF(OR(BOQ_Table[[#This Row],[Quantity]]="",BOQ_Table[[#This Row],[Rate]]=""),"Missing","OK")</f>
        <v>OK</v>
      </c>
    </row>
    <row r="1371" spans="1:9" x14ac:dyDescent="0.35">
      <c r="A1371" t="s">
        <v>1395</v>
      </c>
      <c r="B1371" t="s">
        <v>11</v>
      </c>
      <c r="C1371" t="s">
        <v>12</v>
      </c>
      <c r="D1371">
        <v>84.83</v>
      </c>
      <c r="E1371" t="s">
        <v>9</v>
      </c>
      <c r="F1371">
        <v>4871.3500000000004</v>
      </c>
      <c r="G1371">
        <f t="shared" si="23"/>
        <v>413236.62050000002</v>
      </c>
      <c r="H1371" t="str">
        <f>IF(BOQ_Table[[#This Row],[Amount]]&gt;100000,"Over Budget","OK")</f>
        <v>Over Budget</v>
      </c>
      <c r="I1371" t="str">
        <f>IF(OR(BOQ_Table[[#This Row],[Quantity]]="",BOQ_Table[[#This Row],[Rate]]=""),"Missing","OK")</f>
        <v>OK</v>
      </c>
    </row>
    <row r="1372" spans="1:9" x14ac:dyDescent="0.35">
      <c r="A1372" t="s">
        <v>1396</v>
      </c>
      <c r="B1372" t="s">
        <v>46</v>
      </c>
      <c r="C1372" t="s">
        <v>8</v>
      </c>
      <c r="D1372">
        <v>163.34</v>
      </c>
      <c r="E1372" t="s">
        <v>22</v>
      </c>
      <c r="F1372">
        <v>2471.25</v>
      </c>
      <c r="G1372">
        <f t="shared" si="23"/>
        <v>403653.97500000003</v>
      </c>
      <c r="H1372" t="str">
        <f>IF(BOQ_Table[[#This Row],[Amount]]&gt;100000,"Over Budget","OK")</f>
        <v>Over Budget</v>
      </c>
      <c r="I1372" t="str">
        <f>IF(OR(BOQ_Table[[#This Row],[Quantity]]="",BOQ_Table[[#This Row],[Rate]]=""),"Missing","OK")</f>
        <v>OK</v>
      </c>
    </row>
    <row r="1373" spans="1:9" x14ac:dyDescent="0.35">
      <c r="A1373" t="s">
        <v>1397</v>
      </c>
      <c r="B1373" t="s">
        <v>46</v>
      </c>
      <c r="C1373" t="s">
        <v>17</v>
      </c>
      <c r="D1373">
        <v>415.73</v>
      </c>
      <c r="E1373" t="s">
        <v>9</v>
      </c>
      <c r="F1373">
        <v>2862.72</v>
      </c>
      <c r="G1373">
        <f t="shared" si="23"/>
        <v>1190118.5855999999</v>
      </c>
      <c r="H1373" t="str">
        <f>IF(BOQ_Table[[#This Row],[Amount]]&gt;100000,"Over Budget","OK")</f>
        <v>Over Budget</v>
      </c>
      <c r="I1373" t="str">
        <f>IF(OR(BOQ_Table[[#This Row],[Quantity]]="",BOQ_Table[[#This Row],[Rate]]=""),"Missing","OK")</f>
        <v>OK</v>
      </c>
    </row>
    <row r="1374" spans="1:9" x14ac:dyDescent="0.35">
      <c r="A1374" t="s">
        <v>1398</v>
      </c>
      <c r="B1374" t="s">
        <v>7</v>
      </c>
      <c r="C1374" t="s">
        <v>17</v>
      </c>
      <c r="D1374">
        <v>28.21</v>
      </c>
      <c r="E1374" t="s">
        <v>27</v>
      </c>
      <c r="F1374">
        <v>1909.13</v>
      </c>
      <c r="G1374">
        <f t="shared" si="23"/>
        <v>53856.557300000008</v>
      </c>
      <c r="H1374" t="str">
        <f>IF(BOQ_Table[[#This Row],[Amount]]&gt;100000,"Over Budget","OK")</f>
        <v>OK</v>
      </c>
      <c r="I1374" t="str">
        <f>IF(OR(BOQ_Table[[#This Row],[Quantity]]="",BOQ_Table[[#This Row],[Rate]]=""),"Missing","OK")</f>
        <v>OK</v>
      </c>
    </row>
    <row r="1375" spans="1:9" x14ac:dyDescent="0.35">
      <c r="A1375" t="s">
        <v>1399</v>
      </c>
      <c r="B1375" t="s">
        <v>42</v>
      </c>
      <c r="C1375" t="s">
        <v>38</v>
      </c>
      <c r="D1375">
        <v>198.4</v>
      </c>
      <c r="E1375" t="s">
        <v>27</v>
      </c>
      <c r="F1375">
        <v>340.54</v>
      </c>
      <c r="G1375">
        <f t="shared" si="23"/>
        <v>67563.136000000013</v>
      </c>
      <c r="H1375" t="str">
        <f>IF(BOQ_Table[[#This Row],[Amount]]&gt;100000,"Over Budget","OK")</f>
        <v>OK</v>
      </c>
      <c r="I1375" t="str">
        <f>IF(OR(BOQ_Table[[#This Row],[Quantity]]="",BOQ_Table[[#This Row],[Rate]]=""),"Missing","OK")</f>
        <v>OK</v>
      </c>
    </row>
    <row r="1376" spans="1:9" x14ac:dyDescent="0.35">
      <c r="A1376" t="s">
        <v>1400</v>
      </c>
      <c r="B1376" t="s">
        <v>11</v>
      </c>
      <c r="C1376" t="s">
        <v>12</v>
      </c>
      <c r="D1376">
        <v>252.16</v>
      </c>
      <c r="E1376" t="s">
        <v>14</v>
      </c>
      <c r="F1376">
        <v>4115.63</v>
      </c>
      <c r="G1376">
        <f t="shared" si="23"/>
        <v>1037797.2608</v>
      </c>
      <c r="H1376" t="str">
        <f>IF(BOQ_Table[[#This Row],[Amount]]&gt;100000,"Over Budget","OK")</f>
        <v>Over Budget</v>
      </c>
      <c r="I1376" t="str">
        <f>IF(OR(BOQ_Table[[#This Row],[Quantity]]="",BOQ_Table[[#This Row],[Rate]]=""),"Missing","OK")</f>
        <v>OK</v>
      </c>
    </row>
    <row r="1377" spans="1:9" x14ac:dyDescent="0.35">
      <c r="A1377" t="s">
        <v>1401</v>
      </c>
      <c r="B1377" t="s">
        <v>56</v>
      </c>
      <c r="C1377" t="s">
        <v>12</v>
      </c>
      <c r="D1377">
        <v>18.510000000000002</v>
      </c>
      <c r="E1377" t="s">
        <v>22</v>
      </c>
      <c r="F1377">
        <v>984.97</v>
      </c>
      <c r="G1377">
        <f t="shared" si="23"/>
        <v>18231.794700000002</v>
      </c>
      <c r="H1377" t="str">
        <f>IF(BOQ_Table[[#This Row],[Amount]]&gt;100000,"Over Budget","OK")</f>
        <v>OK</v>
      </c>
      <c r="I1377" t="str">
        <f>IF(OR(BOQ_Table[[#This Row],[Quantity]]="",BOQ_Table[[#This Row],[Rate]]=""),"Missing","OK")</f>
        <v>OK</v>
      </c>
    </row>
    <row r="1378" spans="1:9" x14ac:dyDescent="0.35">
      <c r="A1378" t="s">
        <v>1402</v>
      </c>
      <c r="B1378" t="s">
        <v>30</v>
      </c>
      <c r="C1378" t="s">
        <v>12</v>
      </c>
      <c r="D1378">
        <v>407.2</v>
      </c>
      <c r="E1378" t="s">
        <v>14</v>
      </c>
      <c r="F1378">
        <v>4982.32</v>
      </c>
      <c r="G1378">
        <f t="shared" si="23"/>
        <v>2028800.7039999999</v>
      </c>
      <c r="H1378" t="str">
        <f>IF(BOQ_Table[[#This Row],[Amount]]&gt;100000,"Over Budget","OK")</f>
        <v>Over Budget</v>
      </c>
      <c r="I1378" t="str">
        <f>IF(OR(BOQ_Table[[#This Row],[Quantity]]="",BOQ_Table[[#This Row],[Rate]]=""),"Missing","OK")</f>
        <v>OK</v>
      </c>
    </row>
    <row r="1379" spans="1:9" x14ac:dyDescent="0.35">
      <c r="A1379" t="s">
        <v>1403</v>
      </c>
      <c r="B1379" t="s">
        <v>16</v>
      </c>
      <c r="C1379" t="s">
        <v>17</v>
      </c>
      <c r="D1379">
        <v>248.28</v>
      </c>
      <c r="E1379" t="s">
        <v>22</v>
      </c>
      <c r="F1379">
        <v>2577.6999999999998</v>
      </c>
      <c r="G1379">
        <f t="shared" si="23"/>
        <v>639991.35599999991</v>
      </c>
      <c r="H1379" t="str">
        <f>IF(BOQ_Table[[#This Row],[Amount]]&gt;100000,"Over Budget","OK")</f>
        <v>Over Budget</v>
      </c>
      <c r="I1379" t="str">
        <f>IF(OR(BOQ_Table[[#This Row],[Quantity]]="",BOQ_Table[[#This Row],[Rate]]=""),"Missing","OK")</f>
        <v>OK</v>
      </c>
    </row>
    <row r="1380" spans="1:9" x14ac:dyDescent="0.35">
      <c r="A1380" t="s">
        <v>1404</v>
      </c>
      <c r="B1380" t="s">
        <v>30</v>
      </c>
      <c r="C1380" t="s">
        <v>12</v>
      </c>
      <c r="D1380">
        <v>94.09</v>
      </c>
      <c r="E1380" t="s">
        <v>14</v>
      </c>
      <c r="F1380">
        <v>4777.8100000000004</v>
      </c>
      <c r="G1380">
        <f t="shared" si="23"/>
        <v>449544.14290000004</v>
      </c>
      <c r="H1380" t="str">
        <f>IF(BOQ_Table[[#This Row],[Amount]]&gt;100000,"Over Budget","OK")</f>
        <v>Over Budget</v>
      </c>
      <c r="I1380" t="str">
        <f>IF(OR(BOQ_Table[[#This Row],[Quantity]]="",BOQ_Table[[#This Row],[Rate]]=""),"Missing","OK")</f>
        <v>OK</v>
      </c>
    </row>
    <row r="1381" spans="1:9" x14ac:dyDescent="0.35">
      <c r="A1381" t="s">
        <v>1405</v>
      </c>
      <c r="B1381" t="s">
        <v>56</v>
      </c>
      <c r="C1381" t="s">
        <v>17</v>
      </c>
      <c r="D1381">
        <v>218.71</v>
      </c>
      <c r="E1381" t="s">
        <v>18</v>
      </c>
      <c r="F1381">
        <v>327.33999999999997</v>
      </c>
      <c r="G1381">
        <f t="shared" si="23"/>
        <v>71592.531399999993</v>
      </c>
      <c r="H1381" t="str">
        <f>IF(BOQ_Table[[#This Row],[Amount]]&gt;100000,"Over Budget","OK")</f>
        <v>OK</v>
      </c>
      <c r="I1381" t="str">
        <f>IF(OR(BOQ_Table[[#This Row],[Quantity]]="",BOQ_Table[[#This Row],[Rate]]=""),"Missing","OK")</f>
        <v>OK</v>
      </c>
    </row>
    <row r="1382" spans="1:9" x14ac:dyDescent="0.35">
      <c r="A1382" t="s">
        <v>1406</v>
      </c>
      <c r="B1382" t="s">
        <v>56</v>
      </c>
      <c r="C1382" t="s">
        <v>12</v>
      </c>
      <c r="D1382">
        <v>189.54</v>
      </c>
      <c r="E1382" t="s">
        <v>18</v>
      </c>
      <c r="F1382">
        <v>2354.5300000000002</v>
      </c>
      <c r="G1382">
        <f t="shared" si="23"/>
        <v>446277.61620000005</v>
      </c>
      <c r="H1382" t="str">
        <f>IF(BOQ_Table[[#This Row],[Amount]]&gt;100000,"Over Budget","OK")</f>
        <v>Over Budget</v>
      </c>
      <c r="I1382" t="str">
        <f>IF(OR(BOQ_Table[[#This Row],[Quantity]]="",BOQ_Table[[#This Row],[Rate]]=""),"Missing","OK")</f>
        <v>OK</v>
      </c>
    </row>
    <row r="1383" spans="1:9" x14ac:dyDescent="0.35">
      <c r="A1383" t="s">
        <v>1407</v>
      </c>
      <c r="B1383" t="s">
        <v>16</v>
      </c>
      <c r="C1383" t="s">
        <v>12</v>
      </c>
      <c r="D1383">
        <v>83.97</v>
      </c>
      <c r="E1383" t="s">
        <v>9</v>
      </c>
      <c r="F1383">
        <v>4484.09</v>
      </c>
      <c r="G1383">
        <f t="shared" si="23"/>
        <v>376529.03730000003</v>
      </c>
      <c r="H1383" t="str">
        <f>IF(BOQ_Table[[#This Row],[Amount]]&gt;100000,"Over Budget","OK")</f>
        <v>Over Budget</v>
      </c>
      <c r="I1383" t="str">
        <f>IF(OR(BOQ_Table[[#This Row],[Quantity]]="",BOQ_Table[[#This Row],[Rate]]=""),"Missing","OK")</f>
        <v>OK</v>
      </c>
    </row>
    <row r="1384" spans="1:9" x14ac:dyDescent="0.35">
      <c r="A1384" t="s">
        <v>1408</v>
      </c>
      <c r="B1384" t="s">
        <v>42</v>
      </c>
      <c r="C1384" t="s">
        <v>8</v>
      </c>
      <c r="D1384">
        <v>4.95</v>
      </c>
      <c r="E1384" t="s">
        <v>27</v>
      </c>
      <c r="F1384">
        <v>4016.62</v>
      </c>
      <c r="G1384">
        <f t="shared" si="23"/>
        <v>19882.269</v>
      </c>
      <c r="H1384" t="str">
        <f>IF(BOQ_Table[[#This Row],[Amount]]&gt;100000,"Over Budget","OK")</f>
        <v>OK</v>
      </c>
      <c r="I1384" t="str">
        <f>IF(OR(BOQ_Table[[#This Row],[Quantity]]="",BOQ_Table[[#This Row],[Rate]]=""),"Missing","OK")</f>
        <v>OK</v>
      </c>
    </row>
    <row r="1385" spans="1:9" x14ac:dyDescent="0.35">
      <c r="A1385" t="s">
        <v>1409</v>
      </c>
      <c r="B1385" t="s">
        <v>20</v>
      </c>
      <c r="C1385" t="s">
        <v>21</v>
      </c>
      <c r="D1385">
        <v>370.56</v>
      </c>
      <c r="E1385" t="s">
        <v>14</v>
      </c>
      <c r="F1385">
        <v>3977.96</v>
      </c>
      <c r="G1385">
        <f t="shared" si="23"/>
        <v>1474072.8576</v>
      </c>
      <c r="H1385" t="str">
        <f>IF(BOQ_Table[[#This Row],[Amount]]&gt;100000,"Over Budget","OK")</f>
        <v>Over Budget</v>
      </c>
      <c r="I1385" t="str">
        <f>IF(OR(BOQ_Table[[#This Row],[Quantity]]="",BOQ_Table[[#This Row],[Rate]]=""),"Missing","OK")</f>
        <v>OK</v>
      </c>
    </row>
    <row r="1386" spans="1:9" x14ac:dyDescent="0.35">
      <c r="A1386" t="s">
        <v>1410</v>
      </c>
      <c r="B1386" t="s">
        <v>11</v>
      </c>
      <c r="C1386" t="s">
        <v>21</v>
      </c>
      <c r="D1386">
        <v>445.73</v>
      </c>
      <c r="E1386" t="s">
        <v>22</v>
      </c>
      <c r="F1386">
        <v>2914.3</v>
      </c>
      <c r="G1386">
        <f t="shared" si="23"/>
        <v>1298990.9390000002</v>
      </c>
      <c r="H1386" t="str">
        <f>IF(BOQ_Table[[#This Row],[Amount]]&gt;100000,"Over Budget","OK")</f>
        <v>Over Budget</v>
      </c>
      <c r="I1386" t="str">
        <f>IF(OR(BOQ_Table[[#This Row],[Quantity]]="",BOQ_Table[[#This Row],[Rate]]=""),"Missing","OK")</f>
        <v>OK</v>
      </c>
    </row>
    <row r="1387" spans="1:9" x14ac:dyDescent="0.35">
      <c r="A1387" t="s">
        <v>1411</v>
      </c>
      <c r="B1387" t="s">
        <v>32</v>
      </c>
      <c r="C1387" t="s">
        <v>17</v>
      </c>
      <c r="D1387">
        <v>153.21</v>
      </c>
      <c r="E1387" t="s">
        <v>9</v>
      </c>
      <c r="F1387">
        <v>2668.65</v>
      </c>
      <c r="G1387">
        <f t="shared" si="23"/>
        <v>408863.86650000006</v>
      </c>
      <c r="H1387" t="str">
        <f>IF(BOQ_Table[[#This Row],[Amount]]&gt;100000,"Over Budget","OK")</f>
        <v>Over Budget</v>
      </c>
      <c r="I1387" t="str">
        <f>IF(OR(BOQ_Table[[#This Row],[Quantity]]="",BOQ_Table[[#This Row],[Rate]]=""),"Missing","OK")</f>
        <v>OK</v>
      </c>
    </row>
    <row r="1388" spans="1:9" x14ac:dyDescent="0.35">
      <c r="A1388" t="s">
        <v>1412</v>
      </c>
      <c r="B1388" t="s">
        <v>32</v>
      </c>
      <c r="C1388" t="s">
        <v>17</v>
      </c>
      <c r="D1388">
        <v>162.35</v>
      </c>
      <c r="E1388" t="s">
        <v>22</v>
      </c>
      <c r="F1388">
        <v>4875.1400000000003</v>
      </c>
      <c r="G1388">
        <f t="shared" si="23"/>
        <v>791478.97900000005</v>
      </c>
      <c r="H1388" t="str">
        <f>IF(BOQ_Table[[#This Row],[Amount]]&gt;100000,"Over Budget","OK")</f>
        <v>Over Budget</v>
      </c>
      <c r="I1388" t="str">
        <f>IF(OR(BOQ_Table[[#This Row],[Quantity]]="",BOQ_Table[[#This Row],[Rate]]=""),"Missing","OK")</f>
        <v>OK</v>
      </c>
    </row>
    <row r="1389" spans="1:9" x14ac:dyDescent="0.35">
      <c r="A1389" t="s">
        <v>1413</v>
      </c>
      <c r="B1389" t="s">
        <v>32</v>
      </c>
      <c r="C1389" t="s">
        <v>8</v>
      </c>
      <c r="D1389">
        <v>120.85</v>
      </c>
      <c r="E1389" t="s">
        <v>9</v>
      </c>
      <c r="F1389">
        <v>662.67</v>
      </c>
      <c r="G1389">
        <f t="shared" si="23"/>
        <v>80083.669499999989</v>
      </c>
      <c r="H1389" t="str">
        <f>IF(BOQ_Table[[#This Row],[Amount]]&gt;100000,"Over Budget","OK")</f>
        <v>OK</v>
      </c>
      <c r="I1389" t="str">
        <f>IF(OR(BOQ_Table[[#This Row],[Quantity]]="",BOQ_Table[[#This Row],[Rate]]=""),"Missing","OK")</f>
        <v>OK</v>
      </c>
    </row>
    <row r="1390" spans="1:9" x14ac:dyDescent="0.35">
      <c r="A1390" t="s">
        <v>1414</v>
      </c>
      <c r="B1390" t="s">
        <v>11</v>
      </c>
      <c r="C1390" t="s">
        <v>17</v>
      </c>
      <c r="D1390">
        <v>492.57</v>
      </c>
      <c r="E1390" t="s">
        <v>18</v>
      </c>
      <c r="F1390">
        <v>4378.3599999999997</v>
      </c>
      <c r="G1390">
        <f t="shared" si="23"/>
        <v>2156648.7851999998</v>
      </c>
      <c r="H1390" t="str">
        <f>IF(BOQ_Table[[#This Row],[Amount]]&gt;100000,"Over Budget","OK")</f>
        <v>Over Budget</v>
      </c>
      <c r="I1390" t="str">
        <f>IF(OR(BOQ_Table[[#This Row],[Quantity]]="",BOQ_Table[[#This Row],[Rate]]=""),"Missing","OK")</f>
        <v>OK</v>
      </c>
    </row>
    <row r="1391" spans="1:9" x14ac:dyDescent="0.35">
      <c r="A1391" t="s">
        <v>1415</v>
      </c>
      <c r="B1391" t="s">
        <v>30</v>
      </c>
      <c r="C1391" t="s">
        <v>8</v>
      </c>
      <c r="D1391">
        <v>337.21</v>
      </c>
      <c r="E1391" t="s">
        <v>18</v>
      </c>
      <c r="F1391">
        <v>3869.18</v>
      </c>
      <c r="G1391">
        <f t="shared" si="23"/>
        <v>1304726.1878</v>
      </c>
      <c r="H1391" t="str">
        <f>IF(BOQ_Table[[#This Row],[Amount]]&gt;100000,"Over Budget","OK")</f>
        <v>Over Budget</v>
      </c>
      <c r="I1391" t="str">
        <f>IF(OR(BOQ_Table[[#This Row],[Quantity]]="",BOQ_Table[[#This Row],[Rate]]=""),"Missing","OK")</f>
        <v>OK</v>
      </c>
    </row>
    <row r="1392" spans="1:9" x14ac:dyDescent="0.35">
      <c r="A1392" t="s">
        <v>1416</v>
      </c>
      <c r="B1392" t="s">
        <v>42</v>
      </c>
      <c r="C1392" t="s">
        <v>17</v>
      </c>
      <c r="D1392">
        <v>26.31</v>
      </c>
      <c r="E1392" t="s">
        <v>18</v>
      </c>
      <c r="F1392">
        <v>2194.4299999999998</v>
      </c>
      <c r="G1392">
        <f t="shared" si="23"/>
        <v>57735.453299999994</v>
      </c>
      <c r="H1392" t="str">
        <f>IF(BOQ_Table[[#This Row],[Amount]]&gt;100000,"Over Budget","OK")</f>
        <v>OK</v>
      </c>
      <c r="I1392" t="str">
        <f>IF(OR(BOQ_Table[[#This Row],[Quantity]]="",BOQ_Table[[#This Row],[Rate]]=""),"Missing","OK")</f>
        <v>OK</v>
      </c>
    </row>
    <row r="1393" spans="1:9" x14ac:dyDescent="0.35">
      <c r="A1393" t="s">
        <v>1417</v>
      </c>
      <c r="B1393" t="s">
        <v>32</v>
      </c>
      <c r="C1393" t="s">
        <v>38</v>
      </c>
      <c r="D1393">
        <v>465.18</v>
      </c>
      <c r="E1393" t="s">
        <v>9</v>
      </c>
      <c r="F1393">
        <v>566.22</v>
      </c>
      <c r="G1393">
        <f t="shared" si="23"/>
        <v>263394.21960000001</v>
      </c>
      <c r="H1393" t="str">
        <f>IF(BOQ_Table[[#This Row],[Amount]]&gt;100000,"Over Budget","OK")</f>
        <v>Over Budget</v>
      </c>
      <c r="I1393" t="str">
        <f>IF(OR(BOQ_Table[[#This Row],[Quantity]]="",BOQ_Table[[#This Row],[Rate]]=""),"Missing","OK")</f>
        <v>OK</v>
      </c>
    </row>
    <row r="1394" spans="1:9" x14ac:dyDescent="0.35">
      <c r="A1394" t="s">
        <v>1418</v>
      </c>
      <c r="B1394" t="s">
        <v>7</v>
      </c>
      <c r="C1394" t="s">
        <v>12</v>
      </c>
      <c r="D1394">
        <v>377.35</v>
      </c>
      <c r="E1394" t="s">
        <v>27</v>
      </c>
      <c r="F1394">
        <v>4138.66</v>
      </c>
      <c r="G1394">
        <f t="shared" si="23"/>
        <v>1561723.351</v>
      </c>
      <c r="H1394" t="str">
        <f>IF(BOQ_Table[[#This Row],[Amount]]&gt;100000,"Over Budget","OK")</f>
        <v>Over Budget</v>
      </c>
      <c r="I1394" t="str">
        <f>IF(OR(BOQ_Table[[#This Row],[Quantity]]="",BOQ_Table[[#This Row],[Rate]]=""),"Missing","OK")</f>
        <v>OK</v>
      </c>
    </row>
    <row r="1395" spans="1:9" x14ac:dyDescent="0.35">
      <c r="A1395" t="s">
        <v>1419</v>
      </c>
      <c r="B1395" t="s">
        <v>32</v>
      </c>
      <c r="C1395" t="s">
        <v>8</v>
      </c>
      <c r="D1395">
        <v>63.13</v>
      </c>
      <c r="E1395" t="s">
        <v>22</v>
      </c>
      <c r="F1395">
        <v>2334</v>
      </c>
      <c r="G1395">
        <f t="shared" si="23"/>
        <v>147345.42000000001</v>
      </c>
      <c r="H1395" t="str">
        <f>IF(BOQ_Table[[#This Row],[Amount]]&gt;100000,"Over Budget","OK")</f>
        <v>Over Budget</v>
      </c>
      <c r="I1395" t="str">
        <f>IF(OR(BOQ_Table[[#This Row],[Quantity]]="",BOQ_Table[[#This Row],[Rate]]=""),"Missing","OK")</f>
        <v>OK</v>
      </c>
    </row>
    <row r="1396" spans="1:9" x14ac:dyDescent="0.35">
      <c r="A1396" t="s">
        <v>1420</v>
      </c>
      <c r="B1396" t="s">
        <v>46</v>
      </c>
      <c r="C1396" t="s">
        <v>38</v>
      </c>
      <c r="D1396">
        <v>319.94</v>
      </c>
      <c r="E1396" t="s">
        <v>14</v>
      </c>
      <c r="F1396">
        <v>4243.99</v>
      </c>
      <c r="G1396">
        <f t="shared" si="23"/>
        <v>1357822.1605999998</v>
      </c>
      <c r="H1396" t="str">
        <f>IF(BOQ_Table[[#This Row],[Amount]]&gt;100000,"Over Budget","OK")</f>
        <v>Over Budget</v>
      </c>
      <c r="I1396" t="str">
        <f>IF(OR(BOQ_Table[[#This Row],[Quantity]]="",BOQ_Table[[#This Row],[Rate]]=""),"Missing","OK")</f>
        <v>OK</v>
      </c>
    </row>
    <row r="1397" spans="1:9" x14ac:dyDescent="0.35">
      <c r="A1397" t="s">
        <v>1421</v>
      </c>
      <c r="B1397" t="s">
        <v>11</v>
      </c>
      <c r="C1397" t="s">
        <v>12</v>
      </c>
      <c r="D1397">
        <v>387.08</v>
      </c>
      <c r="E1397" t="s">
        <v>27</v>
      </c>
      <c r="F1397">
        <v>2468.6999999999998</v>
      </c>
      <c r="G1397">
        <f t="shared" si="23"/>
        <v>955584.39599999983</v>
      </c>
      <c r="H1397" t="str">
        <f>IF(BOQ_Table[[#This Row],[Amount]]&gt;100000,"Over Budget","OK")</f>
        <v>Over Budget</v>
      </c>
      <c r="I1397" t="str">
        <f>IF(OR(BOQ_Table[[#This Row],[Quantity]]="",BOQ_Table[[#This Row],[Rate]]=""),"Missing","OK")</f>
        <v>OK</v>
      </c>
    </row>
    <row r="1398" spans="1:9" x14ac:dyDescent="0.35">
      <c r="A1398" t="s">
        <v>1422</v>
      </c>
      <c r="B1398" t="s">
        <v>42</v>
      </c>
      <c r="C1398" t="s">
        <v>12</v>
      </c>
      <c r="D1398">
        <v>240.28</v>
      </c>
      <c r="E1398" t="s">
        <v>18</v>
      </c>
      <c r="F1398">
        <v>286.33999999999997</v>
      </c>
      <c r="G1398">
        <f t="shared" si="23"/>
        <v>68801.775199999989</v>
      </c>
      <c r="H1398" t="str">
        <f>IF(BOQ_Table[[#This Row],[Amount]]&gt;100000,"Over Budget","OK")</f>
        <v>OK</v>
      </c>
      <c r="I1398" t="str">
        <f>IF(OR(BOQ_Table[[#This Row],[Quantity]]="",BOQ_Table[[#This Row],[Rate]]=""),"Missing","OK")</f>
        <v>OK</v>
      </c>
    </row>
    <row r="1399" spans="1:9" x14ac:dyDescent="0.35">
      <c r="A1399" t="s">
        <v>1423</v>
      </c>
      <c r="B1399" t="s">
        <v>20</v>
      </c>
      <c r="C1399" t="s">
        <v>17</v>
      </c>
      <c r="D1399">
        <v>364.66</v>
      </c>
      <c r="E1399" t="s">
        <v>22</v>
      </c>
      <c r="F1399">
        <v>4218.6400000000003</v>
      </c>
      <c r="G1399">
        <f t="shared" si="23"/>
        <v>1538369.2624000001</v>
      </c>
      <c r="H1399" t="str">
        <f>IF(BOQ_Table[[#This Row],[Amount]]&gt;100000,"Over Budget","OK")</f>
        <v>Over Budget</v>
      </c>
      <c r="I1399" t="str">
        <f>IF(OR(BOQ_Table[[#This Row],[Quantity]]="",BOQ_Table[[#This Row],[Rate]]=""),"Missing","OK")</f>
        <v>OK</v>
      </c>
    </row>
    <row r="1400" spans="1:9" x14ac:dyDescent="0.35">
      <c r="A1400" t="s">
        <v>1424</v>
      </c>
      <c r="B1400" t="s">
        <v>40</v>
      </c>
      <c r="C1400" t="s">
        <v>8</v>
      </c>
      <c r="D1400">
        <v>402.74</v>
      </c>
      <c r="E1400" t="s">
        <v>14</v>
      </c>
      <c r="F1400">
        <v>4722.6899999999996</v>
      </c>
      <c r="G1400">
        <f t="shared" si="23"/>
        <v>1902016.1705999998</v>
      </c>
      <c r="H1400" t="str">
        <f>IF(BOQ_Table[[#This Row],[Amount]]&gt;100000,"Over Budget","OK")</f>
        <v>Over Budget</v>
      </c>
      <c r="I1400" t="str">
        <f>IF(OR(BOQ_Table[[#This Row],[Quantity]]="",BOQ_Table[[#This Row],[Rate]]=""),"Missing","OK")</f>
        <v>OK</v>
      </c>
    </row>
    <row r="1401" spans="1:9" x14ac:dyDescent="0.35">
      <c r="A1401" t="s">
        <v>1425</v>
      </c>
      <c r="B1401" t="s">
        <v>42</v>
      </c>
      <c r="C1401" t="s">
        <v>12</v>
      </c>
      <c r="D1401">
        <v>151.11000000000001</v>
      </c>
      <c r="E1401" t="s">
        <v>18</v>
      </c>
      <c r="F1401">
        <v>1081.72</v>
      </c>
      <c r="G1401">
        <f t="shared" si="23"/>
        <v>163458.70920000001</v>
      </c>
      <c r="H1401" t="str">
        <f>IF(BOQ_Table[[#This Row],[Amount]]&gt;100000,"Over Budget","OK")</f>
        <v>Over Budget</v>
      </c>
      <c r="I1401" t="str">
        <f>IF(OR(BOQ_Table[[#This Row],[Quantity]]="",BOQ_Table[[#This Row],[Rate]]=""),"Missing","OK")</f>
        <v>OK</v>
      </c>
    </row>
    <row r="1402" spans="1:9" x14ac:dyDescent="0.35">
      <c r="A1402" t="s">
        <v>1426</v>
      </c>
      <c r="B1402" t="s">
        <v>42</v>
      </c>
      <c r="C1402" t="s">
        <v>17</v>
      </c>
      <c r="D1402">
        <v>225.07</v>
      </c>
      <c r="E1402" t="s">
        <v>27</v>
      </c>
      <c r="F1402">
        <v>665.55</v>
      </c>
      <c r="G1402">
        <f t="shared" si="23"/>
        <v>149795.33849999998</v>
      </c>
      <c r="H1402" t="str">
        <f>IF(BOQ_Table[[#This Row],[Amount]]&gt;100000,"Over Budget","OK")</f>
        <v>Over Budget</v>
      </c>
      <c r="I1402" t="str">
        <f>IF(OR(BOQ_Table[[#This Row],[Quantity]]="",BOQ_Table[[#This Row],[Rate]]=""),"Missing","OK")</f>
        <v>OK</v>
      </c>
    </row>
    <row r="1403" spans="1:9" x14ac:dyDescent="0.35">
      <c r="A1403" t="s">
        <v>1427</v>
      </c>
      <c r="B1403" t="s">
        <v>16</v>
      </c>
      <c r="C1403" t="s">
        <v>21</v>
      </c>
      <c r="D1403">
        <v>219.24</v>
      </c>
      <c r="E1403" t="s">
        <v>9</v>
      </c>
      <c r="F1403">
        <v>3900.75</v>
      </c>
      <c r="G1403">
        <f t="shared" si="23"/>
        <v>855200.43</v>
      </c>
      <c r="H1403" t="str">
        <f>IF(BOQ_Table[[#This Row],[Amount]]&gt;100000,"Over Budget","OK")</f>
        <v>Over Budget</v>
      </c>
      <c r="I1403" t="str">
        <f>IF(OR(BOQ_Table[[#This Row],[Quantity]]="",BOQ_Table[[#This Row],[Rate]]=""),"Missing","OK")</f>
        <v>OK</v>
      </c>
    </row>
    <row r="1404" spans="1:9" x14ac:dyDescent="0.35">
      <c r="A1404" t="s">
        <v>1428</v>
      </c>
      <c r="B1404" t="s">
        <v>42</v>
      </c>
      <c r="C1404" t="s">
        <v>12</v>
      </c>
      <c r="D1404">
        <v>16.16</v>
      </c>
      <c r="E1404" t="s">
        <v>14</v>
      </c>
      <c r="F1404">
        <v>494.95</v>
      </c>
      <c r="G1404">
        <f t="shared" si="23"/>
        <v>7998.3919999999998</v>
      </c>
      <c r="H1404" t="str">
        <f>IF(BOQ_Table[[#This Row],[Amount]]&gt;100000,"Over Budget","OK")</f>
        <v>OK</v>
      </c>
      <c r="I1404" t="str">
        <f>IF(OR(BOQ_Table[[#This Row],[Quantity]]="",BOQ_Table[[#This Row],[Rate]]=""),"Missing","OK")</f>
        <v>OK</v>
      </c>
    </row>
    <row r="1405" spans="1:9" x14ac:dyDescent="0.35">
      <c r="A1405" t="s">
        <v>1429</v>
      </c>
      <c r="B1405" t="s">
        <v>32</v>
      </c>
      <c r="C1405" t="s">
        <v>38</v>
      </c>
      <c r="D1405">
        <v>279.61</v>
      </c>
      <c r="E1405" t="s">
        <v>14</v>
      </c>
      <c r="F1405">
        <v>4611.6899999999996</v>
      </c>
      <c r="G1405">
        <f t="shared" si="23"/>
        <v>1289474.6409</v>
      </c>
      <c r="H1405" t="str">
        <f>IF(BOQ_Table[[#This Row],[Amount]]&gt;100000,"Over Budget","OK")</f>
        <v>Over Budget</v>
      </c>
      <c r="I1405" t="str">
        <f>IF(OR(BOQ_Table[[#This Row],[Quantity]]="",BOQ_Table[[#This Row],[Rate]]=""),"Missing","OK")</f>
        <v>OK</v>
      </c>
    </row>
    <row r="1406" spans="1:9" x14ac:dyDescent="0.35">
      <c r="A1406" t="s">
        <v>1430</v>
      </c>
      <c r="B1406" t="s">
        <v>46</v>
      </c>
      <c r="C1406" t="s">
        <v>38</v>
      </c>
      <c r="D1406">
        <v>438.4</v>
      </c>
      <c r="E1406" t="s">
        <v>18</v>
      </c>
      <c r="F1406">
        <v>706.25</v>
      </c>
      <c r="G1406">
        <f t="shared" si="23"/>
        <v>309620</v>
      </c>
      <c r="H1406" t="str">
        <f>IF(BOQ_Table[[#This Row],[Amount]]&gt;100000,"Over Budget","OK")</f>
        <v>Over Budget</v>
      </c>
      <c r="I1406" t="str">
        <f>IF(OR(BOQ_Table[[#This Row],[Quantity]]="",BOQ_Table[[#This Row],[Rate]]=""),"Missing","OK")</f>
        <v>OK</v>
      </c>
    </row>
    <row r="1407" spans="1:9" x14ac:dyDescent="0.35">
      <c r="A1407" t="s">
        <v>1431</v>
      </c>
      <c r="B1407" t="s">
        <v>20</v>
      </c>
      <c r="C1407" t="s">
        <v>12</v>
      </c>
      <c r="D1407">
        <v>405.82</v>
      </c>
      <c r="E1407" t="s">
        <v>18</v>
      </c>
      <c r="F1407">
        <v>4919.18</v>
      </c>
      <c r="G1407">
        <f t="shared" si="23"/>
        <v>1996301.6276</v>
      </c>
      <c r="H1407" t="str">
        <f>IF(BOQ_Table[[#This Row],[Amount]]&gt;100000,"Over Budget","OK")</f>
        <v>Over Budget</v>
      </c>
      <c r="I1407" t="str">
        <f>IF(OR(BOQ_Table[[#This Row],[Quantity]]="",BOQ_Table[[#This Row],[Rate]]=""),"Missing","OK")</f>
        <v>OK</v>
      </c>
    </row>
    <row r="1408" spans="1:9" x14ac:dyDescent="0.35">
      <c r="A1408" t="s">
        <v>1432</v>
      </c>
      <c r="B1408" t="s">
        <v>16</v>
      </c>
      <c r="C1408" t="s">
        <v>38</v>
      </c>
      <c r="D1408">
        <v>94.41</v>
      </c>
      <c r="E1408" t="s">
        <v>27</v>
      </c>
      <c r="F1408">
        <v>389.87</v>
      </c>
      <c r="G1408">
        <f t="shared" si="23"/>
        <v>36807.626700000001</v>
      </c>
      <c r="H1408" t="str">
        <f>IF(BOQ_Table[[#This Row],[Amount]]&gt;100000,"Over Budget","OK")</f>
        <v>OK</v>
      </c>
      <c r="I1408" t="str">
        <f>IF(OR(BOQ_Table[[#This Row],[Quantity]]="",BOQ_Table[[#This Row],[Rate]]=""),"Missing","OK")</f>
        <v>OK</v>
      </c>
    </row>
    <row r="1409" spans="1:9" x14ac:dyDescent="0.35">
      <c r="A1409" t="s">
        <v>1433</v>
      </c>
      <c r="B1409" t="s">
        <v>20</v>
      </c>
      <c r="C1409" t="s">
        <v>12</v>
      </c>
      <c r="D1409">
        <v>441.46</v>
      </c>
      <c r="E1409" t="s">
        <v>14</v>
      </c>
      <c r="F1409">
        <v>2107.31</v>
      </c>
      <c r="G1409">
        <f t="shared" si="23"/>
        <v>930293.07259999996</v>
      </c>
      <c r="H1409" t="str">
        <f>IF(BOQ_Table[[#This Row],[Amount]]&gt;100000,"Over Budget","OK")</f>
        <v>Over Budget</v>
      </c>
      <c r="I1409" t="str">
        <f>IF(OR(BOQ_Table[[#This Row],[Quantity]]="",BOQ_Table[[#This Row],[Rate]]=""),"Missing","OK")</f>
        <v>OK</v>
      </c>
    </row>
    <row r="1410" spans="1:9" x14ac:dyDescent="0.35">
      <c r="A1410" t="s">
        <v>1434</v>
      </c>
      <c r="B1410" t="s">
        <v>40</v>
      </c>
      <c r="C1410" t="s">
        <v>38</v>
      </c>
      <c r="D1410">
        <v>482.94</v>
      </c>
      <c r="E1410" t="s">
        <v>27</v>
      </c>
      <c r="F1410">
        <v>4188.5200000000004</v>
      </c>
      <c r="G1410">
        <f t="shared" ref="G1410:G1473" si="24">D1410*F1410</f>
        <v>2022803.8488000003</v>
      </c>
      <c r="H1410" t="str">
        <f>IF(BOQ_Table[[#This Row],[Amount]]&gt;100000,"Over Budget","OK")</f>
        <v>Over Budget</v>
      </c>
      <c r="I1410" t="str">
        <f>IF(OR(BOQ_Table[[#This Row],[Quantity]]="",BOQ_Table[[#This Row],[Rate]]=""),"Missing","OK")</f>
        <v>OK</v>
      </c>
    </row>
    <row r="1411" spans="1:9" x14ac:dyDescent="0.35">
      <c r="A1411" t="s">
        <v>1435</v>
      </c>
      <c r="B1411" t="s">
        <v>16</v>
      </c>
      <c r="C1411" t="s">
        <v>21</v>
      </c>
      <c r="D1411">
        <v>234.42</v>
      </c>
      <c r="E1411" t="s">
        <v>18</v>
      </c>
      <c r="F1411">
        <v>568.32000000000005</v>
      </c>
      <c r="G1411">
        <f t="shared" si="24"/>
        <v>133225.57440000001</v>
      </c>
      <c r="H1411" t="str">
        <f>IF(BOQ_Table[[#This Row],[Amount]]&gt;100000,"Over Budget","OK")</f>
        <v>Over Budget</v>
      </c>
      <c r="I1411" t="str">
        <f>IF(OR(BOQ_Table[[#This Row],[Quantity]]="",BOQ_Table[[#This Row],[Rate]]=""),"Missing","OK")</f>
        <v>OK</v>
      </c>
    </row>
    <row r="1412" spans="1:9" x14ac:dyDescent="0.35">
      <c r="A1412" t="s">
        <v>1436</v>
      </c>
      <c r="B1412" t="s">
        <v>40</v>
      </c>
      <c r="C1412" t="s">
        <v>12</v>
      </c>
      <c r="D1412">
        <v>266.16000000000003</v>
      </c>
      <c r="E1412" t="s">
        <v>22</v>
      </c>
      <c r="F1412">
        <v>3141.29</v>
      </c>
      <c r="G1412">
        <f t="shared" si="24"/>
        <v>836085.74640000006</v>
      </c>
      <c r="H1412" t="str">
        <f>IF(BOQ_Table[[#This Row],[Amount]]&gt;100000,"Over Budget","OK")</f>
        <v>Over Budget</v>
      </c>
      <c r="I1412" t="str">
        <f>IF(OR(BOQ_Table[[#This Row],[Quantity]]="",BOQ_Table[[#This Row],[Rate]]=""),"Missing","OK")</f>
        <v>OK</v>
      </c>
    </row>
    <row r="1413" spans="1:9" x14ac:dyDescent="0.35">
      <c r="A1413" t="s">
        <v>1437</v>
      </c>
      <c r="B1413" t="s">
        <v>20</v>
      </c>
      <c r="C1413" t="s">
        <v>21</v>
      </c>
      <c r="D1413">
        <v>147.91</v>
      </c>
      <c r="E1413" t="s">
        <v>22</v>
      </c>
      <c r="F1413">
        <v>4856.46</v>
      </c>
      <c r="G1413">
        <f t="shared" si="24"/>
        <v>718318.99859999993</v>
      </c>
      <c r="H1413" t="str">
        <f>IF(BOQ_Table[[#This Row],[Amount]]&gt;100000,"Over Budget","OK")</f>
        <v>Over Budget</v>
      </c>
      <c r="I1413" t="str">
        <f>IF(OR(BOQ_Table[[#This Row],[Quantity]]="",BOQ_Table[[#This Row],[Rate]]=""),"Missing","OK")</f>
        <v>OK</v>
      </c>
    </row>
    <row r="1414" spans="1:9" x14ac:dyDescent="0.35">
      <c r="A1414" t="s">
        <v>1438</v>
      </c>
      <c r="B1414" t="s">
        <v>56</v>
      </c>
      <c r="C1414" t="s">
        <v>8</v>
      </c>
      <c r="D1414">
        <v>193.36</v>
      </c>
      <c r="E1414" t="s">
        <v>18</v>
      </c>
      <c r="F1414">
        <v>4283.54</v>
      </c>
      <c r="G1414">
        <f t="shared" si="24"/>
        <v>828265.29440000001</v>
      </c>
      <c r="H1414" t="str">
        <f>IF(BOQ_Table[[#This Row],[Amount]]&gt;100000,"Over Budget","OK")</f>
        <v>Over Budget</v>
      </c>
      <c r="I1414" t="str">
        <f>IF(OR(BOQ_Table[[#This Row],[Quantity]]="",BOQ_Table[[#This Row],[Rate]]=""),"Missing","OK")</f>
        <v>OK</v>
      </c>
    </row>
    <row r="1415" spans="1:9" x14ac:dyDescent="0.35">
      <c r="A1415" t="s">
        <v>1439</v>
      </c>
      <c r="B1415" t="s">
        <v>16</v>
      </c>
      <c r="C1415" t="s">
        <v>21</v>
      </c>
      <c r="D1415">
        <v>245.75</v>
      </c>
      <c r="E1415" t="s">
        <v>22</v>
      </c>
      <c r="F1415">
        <v>1612.08</v>
      </c>
      <c r="G1415">
        <f t="shared" si="24"/>
        <v>396168.66</v>
      </c>
      <c r="H1415" t="str">
        <f>IF(BOQ_Table[[#This Row],[Amount]]&gt;100000,"Over Budget","OK")</f>
        <v>Over Budget</v>
      </c>
      <c r="I1415" t="str">
        <f>IF(OR(BOQ_Table[[#This Row],[Quantity]]="",BOQ_Table[[#This Row],[Rate]]=""),"Missing","OK")</f>
        <v>OK</v>
      </c>
    </row>
    <row r="1416" spans="1:9" x14ac:dyDescent="0.35">
      <c r="A1416" t="s">
        <v>1440</v>
      </c>
      <c r="B1416" t="s">
        <v>11</v>
      </c>
      <c r="C1416" t="s">
        <v>12</v>
      </c>
      <c r="D1416">
        <v>119.04</v>
      </c>
      <c r="E1416" t="s">
        <v>18</v>
      </c>
      <c r="F1416">
        <v>499.19</v>
      </c>
      <c r="G1416">
        <f t="shared" si="24"/>
        <v>59423.577600000004</v>
      </c>
      <c r="H1416" t="str">
        <f>IF(BOQ_Table[[#This Row],[Amount]]&gt;100000,"Over Budget","OK")</f>
        <v>OK</v>
      </c>
      <c r="I1416" t="str">
        <f>IF(OR(BOQ_Table[[#This Row],[Quantity]]="",BOQ_Table[[#This Row],[Rate]]=""),"Missing","OK")</f>
        <v>OK</v>
      </c>
    </row>
    <row r="1417" spans="1:9" x14ac:dyDescent="0.35">
      <c r="A1417" t="s">
        <v>1441</v>
      </c>
      <c r="B1417" t="s">
        <v>40</v>
      </c>
      <c r="C1417" t="s">
        <v>12</v>
      </c>
      <c r="D1417">
        <v>487.82</v>
      </c>
      <c r="E1417" t="s">
        <v>9</v>
      </c>
      <c r="F1417">
        <v>1928.68</v>
      </c>
      <c r="G1417">
        <f t="shared" si="24"/>
        <v>940848.67760000005</v>
      </c>
      <c r="H1417" t="str">
        <f>IF(BOQ_Table[[#This Row],[Amount]]&gt;100000,"Over Budget","OK")</f>
        <v>Over Budget</v>
      </c>
      <c r="I1417" t="str">
        <f>IF(OR(BOQ_Table[[#This Row],[Quantity]]="",BOQ_Table[[#This Row],[Rate]]=""),"Missing","OK")</f>
        <v>OK</v>
      </c>
    </row>
    <row r="1418" spans="1:9" x14ac:dyDescent="0.35">
      <c r="A1418" t="s">
        <v>1442</v>
      </c>
      <c r="B1418" t="s">
        <v>11</v>
      </c>
      <c r="C1418" t="s">
        <v>38</v>
      </c>
      <c r="D1418">
        <v>301.13</v>
      </c>
      <c r="E1418" t="s">
        <v>18</v>
      </c>
      <c r="F1418">
        <v>2183.34</v>
      </c>
      <c r="G1418">
        <f t="shared" si="24"/>
        <v>657469.17420000001</v>
      </c>
      <c r="H1418" t="str">
        <f>IF(BOQ_Table[[#This Row],[Amount]]&gt;100000,"Over Budget","OK")</f>
        <v>Over Budget</v>
      </c>
      <c r="I1418" t="str">
        <f>IF(OR(BOQ_Table[[#This Row],[Quantity]]="",BOQ_Table[[#This Row],[Rate]]=""),"Missing","OK")</f>
        <v>OK</v>
      </c>
    </row>
    <row r="1419" spans="1:9" x14ac:dyDescent="0.35">
      <c r="A1419" t="s">
        <v>1443</v>
      </c>
      <c r="B1419" t="s">
        <v>7</v>
      </c>
      <c r="C1419" t="s">
        <v>38</v>
      </c>
      <c r="D1419">
        <v>249.38</v>
      </c>
      <c r="E1419" t="s">
        <v>18</v>
      </c>
      <c r="F1419">
        <v>3449.6</v>
      </c>
      <c r="G1419">
        <f t="shared" si="24"/>
        <v>860261.24799999991</v>
      </c>
      <c r="H1419" t="str">
        <f>IF(BOQ_Table[[#This Row],[Amount]]&gt;100000,"Over Budget","OK")</f>
        <v>Over Budget</v>
      </c>
      <c r="I1419" t="str">
        <f>IF(OR(BOQ_Table[[#This Row],[Quantity]]="",BOQ_Table[[#This Row],[Rate]]=""),"Missing","OK")</f>
        <v>OK</v>
      </c>
    </row>
    <row r="1420" spans="1:9" x14ac:dyDescent="0.35">
      <c r="A1420" t="s">
        <v>1444</v>
      </c>
      <c r="B1420" t="s">
        <v>42</v>
      </c>
      <c r="C1420" t="s">
        <v>8</v>
      </c>
      <c r="D1420">
        <v>172.6</v>
      </c>
      <c r="E1420" t="s">
        <v>27</v>
      </c>
      <c r="F1420">
        <v>3537.68</v>
      </c>
      <c r="G1420">
        <f t="shared" si="24"/>
        <v>610603.56799999997</v>
      </c>
      <c r="H1420" t="str">
        <f>IF(BOQ_Table[[#This Row],[Amount]]&gt;100000,"Over Budget","OK")</f>
        <v>Over Budget</v>
      </c>
      <c r="I1420" t="str">
        <f>IF(OR(BOQ_Table[[#This Row],[Quantity]]="",BOQ_Table[[#This Row],[Rate]]=""),"Missing","OK")</f>
        <v>OK</v>
      </c>
    </row>
    <row r="1421" spans="1:9" x14ac:dyDescent="0.35">
      <c r="A1421" t="s">
        <v>1445</v>
      </c>
      <c r="B1421" t="s">
        <v>56</v>
      </c>
      <c r="C1421" t="s">
        <v>8</v>
      </c>
      <c r="D1421">
        <v>42.8</v>
      </c>
      <c r="E1421" t="s">
        <v>27</v>
      </c>
      <c r="F1421">
        <v>88.06</v>
      </c>
      <c r="G1421">
        <f t="shared" si="24"/>
        <v>3768.9679999999998</v>
      </c>
      <c r="H1421" t="str">
        <f>IF(BOQ_Table[[#This Row],[Amount]]&gt;100000,"Over Budget","OK")</f>
        <v>OK</v>
      </c>
      <c r="I1421" t="str">
        <f>IF(OR(BOQ_Table[[#This Row],[Quantity]]="",BOQ_Table[[#This Row],[Rate]]=""),"Missing","OK")</f>
        <v>OK</v>
      </c>
    </row>
    <row r="1422" spans="1:9" x14ac:dyDescent="0.35">
      <c r="A1422" t="s">
        <v>1446</v>
      </c>
      <c r="B1422" t="s">
        <v>16</v>
      </c>
      <c r="C1422" t="s">
        <v>8</v>
      </c>
      <c r="D1422">
        <v>189.59</v>
      </c>
      <c r="E1422" t="s">
        <v>9</v>
      </c>
      <c r="F1422">
        <v>3138.17</v>
      </c>
      <c r="G1422">
        <f t="shared" si="24"/>
        <v>594965.65029999998</v>
      </c>
      <c r="H1422" t="str">
        <f>IF(BOQ_Table[[#This Row],[Amount]]&gt;100000,"Over Budget","OK")</f>
        <v>Over Budget</v>
      </c>
      <c r="I1422" t="str">
        <f>IF(OR(BOQ_Table[[#This Row],[Quantity]]="",BOQ_Table[[#This Row],[Rate]]=""),"Missing","OK")</f>
        <v>OK</v>
      </c>
    </row>
    <row r="1423" spans="1:9" x14ac:dyDescent="0.35">
      <c r="A1423" t="s">
        <v>1447</v>
      </c>
      <c r="B1423" t="s">
        <v>30</v>
      </c>
      <c r="C1423" t="s">
        <v>21</v>
      </c>
      <c r="D1423">
        <v>67.81</v>
      </c>
      <c r="E1423" t="s">
        <v>9</v>
      </c>
      <c r="F1423">
        <v>4842</v>
      </c>
      <c r="G1423">
        <f t="shared" si="24"/>
        <v>328336.02</v>
      </c>
      <c r="H1423" t="str">
        <f>IF(BOQ_Table[[#This Row],[Amount]]&gt;100000,"Over Budget","OK")</f>
        <v>Over Budget</v>
      </c>
      <c r="I1423" t="str">
        <f>IF(OR(BOQ_Table[[#This Row],[Quantity]]="",BOQ_Table[[#This Row],[Rate]]=""),"Missing","OK")</f>
        <v>OK</v>
      </c>
    </row>
    <row r="1424" spans="1:9" x14ac:dyDescent="0.35">
      <c r="A1424" t="s">
        <v>1448</v>
      </c>
      <c r="B1424" t="s">
        <v>16</v>
      </c>
      <c r="C1424" t="s">
        <v>21</v>
      </c>
      <c r="D1424">
        <v>184.15</v>
      </c>
      <c r="E1424" t="s">
        <v>14</v>
      </c>
      <c r="F1424">
        <v>4141.8</v>
      </c>
      <c r="G1424">
        <f t="shared" si="24"/>
        <v>762712.47000000009</v>
      </c>
      <c r="H1424" t="str">
        <f>IF(BOQ_Table[[#This Row],[Amount]]&gt;100000,"Over Budget","OK")</f>
        <v>Over Budget</v>
      </c>
      <c r="I1424" t="str">
        <f>IF(OR(BOQ_Table[[#This Row],[Quantity]]="",BOQ_Table[[#This Row],[Rate]]=""),"Missing","OK")</f>
        <v>OK</v>
      </c>
    </row>
    <row r="1425" spans="1:9" x14ac:dyDescent="0.35">
      <c r="A1425" t="s">
        <v>1449</v>
      </c>
      <c r="B1425" t="s">
        <v>42</v>
      </c>
      <c r="C1425" t="s">
        <v>17</v>
      </c>
      <c r="D1425">
        <v>74.28</v>
      </c>
      <c r="E1425" t="s">
        <v>27</v>
      </c>
      <c r="F1425">
        <v>3525.54</v>
      </c>
      <c r="G1425">
        <f t="shared" si="24"/>
        <v>261877.11120000001</v>
      </c>
      <c r="H1425" t="str">
        <f>IF(BOQ_Table[[#This Row],[Amount]]&gt;100000,"Over Budget","OK")</f>
        <v>Over Budget</v>
      </c>
      <c r="I1425" t="str">
        <f>IF(OR(BOQ_Table[[#This Row],[Quantity]]="",BOQ_Table[[#This Row],[Rate]]=""),"Missing","OK")</f>
        <v>OK</v>
      </c>
    </row>
    <row r="1426" spans="1:9" x14ac:dyDescent="0.35">
      <c r="A1426" t="s">
        <v>1450</v>
      </c>
      <c r="B1426" t="s">
        <v>40</v>
      </c>
      <c r="C1426" t="s">
        <v>21</v>
      </c>
      <c r="D1426">
        <v>186.46</v>
      </c>
      <c r="E1426" t="s">
        <v>18</v>
      </c>
      <c r="F1426">
        <v>1280.19</v>
      </c>
      <c r="G1426">
        <f t="shared" si="24"/>
        <v>238704.22740000003</v>
      </c>
      <c r="H1426" t="str">
        <f>IF(BOQ_Table[[#This Row],[Amount]]&gt;100000,"Over Budget","OK")</f>
        <v>Over Budget</v>
      </c>
      <c r="I1426" t="str">
        <f>IF(OR(BOQ_Table[[#This Row],[Quantity]]="",BOQ_Table[[#This Row],[Rate]]=""),"Missing","OK")</f>
        <v>OK</v>
      </c>
    </row>
    <row r="1427" spans="1:9" x14ac:dyDescent="0.35">
      <c r="A1427" t="s">
        <v>1451</v>
      </c>
      <c r="B1427" t="s">
        <v>30</v>
      </c>
      <c r="C1427" t="s">
        <v>17</v>
      </c>
      <c r="D1427">
        <v>259.3</v>
      </c>
      <c r="E1427" t="s">
        <v>27</v>
      </c>
      <c r="F1427">
        <v>811.61</v>
      </c>
      <c r="G1427">
        <f t="shared" si="24"/>
        <v>210450.47300000003</v>
      </c>
      <c r="H1427" t="str">
        <f>IF(BOQ_Table[[#This Row],[Amount]]&gt;100000,"Over Budget","OK")</f>
        <v>Over Budget</v>
      </c>
      <c r="I1427" t="str">
        <f>IF(OR(BOQ_Table[[#This Row],[Quantity]]="",BOQ_Table[[#This Row],[Rate]]=""),"Missing","OK")</f>
        <v>OK</v>
      </c>
    </row>
    <row r="1428" spans="1:9" x14ac:dyDescent="0.35">
      <c r="A1428" t="s">
        <v>1452</v>
      </c>
      <c r="B1428" t="s">
        <v>16</v>
      </c>
      <c r="C1428" t="s">
        <v>21</v>
      </c>
      <c r="D1428">
        <v>498.89</v>
      </c>
      <c r="E1428" t="s">
        <v>22</v>
      </c>
      <c r="F1428">
        <v>280.22000000000003</v>
      </c>
      <c r="G1428">
        <f t="shared" si="24"/>
        <v>139798.9558</v>
      </c>
      <c r="H1428" t="str">
        <f>IF(BOQ_Table[[#This Row],[Amount]]&gt;100000,"Over Budget","OK")</f>
        <v>Over Budget</v>
      </c>
      <c r="I1428" t="str">
        <f>IF(OR(BOQ_Table[[#This Row],[Quantity]]="",BOQ_Table[[#This Row],[Rate]]=""),"Missing","OK")</f>
        <v>OK</v>
      </c>
    </row>
    <row r="1429" spans="1:9" x14ac:dyDescent="0.35">
      <c r="A1429" t="s">
        <v>1453</v>
      </c>
      <c r="B1429" t="s">
        <v>32</v>
      </c>
      <c r="C1429" t="s">
        <v>12</v>
      </c>
      <c r="D1429">
        <v>188.71</v>
      </c>
      <c r="E1429" t="s">
        <v>27</v>
      </c>
      <c r="F1429">
        <v>1126.67</v>
      </c>
      <c r="G1429">
        <f t="shared" si="24"/>
        <v>212613.89570000002</v>
      </c>
      <c r="H1429" t="str">
        <f>IF(BOQ_Table[[#This Row],[Amount]]&gt;100000,"Over Budget","OK")</f>
        <v>Over Budget</v>
      </c>
      <c r="I1429" t="str">
        <f>IF(OR(BOQ_Table[[#This Row],[Quantity]]="",BOQ_Table[[#This Row],[Rate]]=""),"Missing","OK")</f>
        <v>OK</v>
      </c>
    </row>
    <row r="1430" spans="1:9" x14ac:dyDescent="0.35">
      <c r="A1430" t="s">
        <v>1454</v>
      </c>
      <c r="B1430" t="s">
        <v>32</v>
      </c>
      <c r="C1430" t="s">
        <v>12</v>
      </c>
      <c r="D1430">
        <v>191.12</v>
      </c>
      <c r="E1430" t="s">
        <v>14</v>
      </c>
      <c r="F1430">
        <v>3965.73</v>
      </c>
      <c r="G1430">
        <f t="shared" si="24"/>
        <v>757930.31760000007</v>
      </c>
      <c r="H1430" t="str">
        <f>IF(BOQ_Table[[#This Row],[Amount]]&gt;100000,"Over Budget","OK")</f>
        <v>Over Budget</v>
      </c>
      <c r="I1430" t="str">
        <f>IF(OR(BOQ_Table[[#This Row],[Quantity]]="",BOQ_Table[[#This Row],[Rate]]=""),"Missing","OK")</f>
        <v>OK</v>
      </c>
    </row>
    <row r="1431" spans="1:9" x14ac:dyDescent="0.35">
      <c r="A1431" t="s">
        <v>1455</v>
      </c>
      <c r="B1431" t="s">
        <v>46</v>
      </c>
      <c r="C1431" t="s">
        <v>12</v>
      </c>
      <c r="D1431">
        <v>382.53</v>
      </c>
      <c r="E1431" t="s">
        <v>18</v>
      </c>
      <c r="F1431">
        <v>1879.21</v>
      </c>
      <c r="G1431">
        <f t="shared" si="24"/>
        <v>718854.20129999996</v>
      </c>
      <c r="H1431" t="str">
        <f>IF(BOQ_Table[[#This Row],[Amount]]&gt;100000,"Over Budget","OK")</f>
        <v>Over Budget</v>
      </c>
      <c r="I1431" t="str">
        <f>IF(OR(BOQ_Table[[#This Row],[Quantity]]="",BOQ_Table[[#This Row],[Rate]]=""),"Missing","OK")</f>
        <v>OK</v>
      </c>
    </row>
    <row r="1432" spans="1:9" x14ac:dyDescent="0.35">
      <c r="A1432" t="s">
        <v>1456</v>
      </c>
      <c r="B1432" t="s">
        <v>7</v>
      </c>
      <c r="C1432" t="s">
        <v>8</v>
      </c>
      <c r="D1432">
        <v>185.55</v>
      </c>
      <c r="E1432" t="s">
        <v>18</v>
      </c>
      <c r="F1432">
        <v>4449.6899999999996</v>
      </c>
      <c r="G1432">
        <f t="shared" si="24"/>
        <v>825639.97950000002</v>
      </c>
      <c r="H1432" t="str">
        <f>IF(BOQ_Table[[#This Row],[Amount]]&gt;100000,"Over Budget","OK")</f>
        <v>Over Budget</v>
      </c>
      <c r="I1432" t="str">
        <f>IF(OR(BOQ_Table[[#This Row],[Quantity]]="",BOQ_Table[[#This Row],[Rate]]=""),"Missing","OK")</f>
        <v>OK</v>
      </c>
    </row>
    <row r="1433" spans="1:9" x14ac:dyDescent="0.35">
      <c r="A1433" t="s">
        <v>1457</v>
      </c>
      <c r="B1433" t="s">
        <v>40</v>
      </c>
      <c r="C1433" t="s">
        <v>8</v>
      </c>
      <c r="D1433">
        <v>373.84</v>
      </c>
      <c r="E1433" t="s">
        <v>18</v>
      </c>
      <c r="F1433">
        <v>1038.23</v>
      </c>
      <c r="G1433">
        <f t="shared" si="24"/>
        <v>388131.9032</v>
      </c>
      <c r="H1433" t="str">
        <f>IF(BOQ_Table[[#This Row],[Amount]]&gt;100000,"Over Budget","OK")</f>
        <v>Over Budget</v>
      </c>
      <c r="I1433" t="str">
        <f>IF(OR(BOQ_Table[[#This Row],[Quantity]]="",BOQ_Table[[#This Row],[Rate]]=""),"Missing","OK")</f>
        <v>OK</v>
      </c>
    </row>
    <row r="1434" spans="1:9" x14ac:dyDescent="0.35">
      <c r="A1434" t="s">
        <v>1458</v>
      </c>
      <c r="B1434" t="s">
        <v>30</v>
      </c>
      <c r="C1434" t="s">
        <v>21</v>
      </c>
      <c r="D1434">
        <v>187.19</v>
      </c>
      <c r="E1434" t="s">
        <v>9</v>
      </c>
      <c r="F1434">
        <v>2873.87</v>
      </c>
      <c r="G1434">
        <f t="shared" si="24"/>
        <v>537959.72529999993</v>
      </c>
      <c r="H1434" t="str">
        <f>IF(BOQ_Table[[#This Row],[Amount]]&gt;100000,"Over Budget","OK")</f>
        <v>Over Budget</v>
      </c>
      <c r="I1434" t="str">
        <f>IF(OR(BOQ_Table[[#This Row],[Quantity]]="",BOQ_Table[[#This Row],[Rate]]=""),"Missing","OK")</f>
        <v>OK</v>
      </c>
    </row>
    <row r="1435" spans="1:9" x14ac:dyDescent="0.35">
      <c r="A1435" t="s">
        <v>1459</v>
      </c>
      <c r="B1435" t="s">
        <v>20</v>
      </c>
      <c r="C1435" t="s">
        <v>8</v>
      </c>
      <c r="D1435">
        <v>25.03</v>
      </c>
      <c r="E1435" t="s">
        <v>27</v>
      </c>
      <c r="F1435">
        <v>4928.3100000000004</v>
      </c>
      <c r="G1435">
        <f t="shared" si="24"/>
        <v>123355.59930000002</v>
      </c>
      <c r="H1435" t="str">
        <f>IF(BOQ_Table[[#This Row],[Amount]]&gt;100000,"Over Budget","OK")</f>
        <v>Over Budget</v>
      </c>
      <c r="I1435" t="str">
        <f>IF(OR(BOQ_Table[[#This Row],[Quantity]]="",BOQ_Table[[#This Row],[Rate]]=""),"Missing","OK")</f>
        <v>OK</v>
      </c>
    </row>
    <row r="1436" spans="1:9" x14ac:dyDescent="0.35">
      <c r="A1436" t="s">
        <v>1460</v>
      </c>
      <c r="B1436" t="s">
        <v>46</v>
      </c>
      <c r="C1436" t="s">
        <v>17</v>
      </c>
      <c r="D1436">
        <v>116.91</v>
      </c>
      <c r="E1436" t="s">
        <v>27</v>
      </c>
      <c r="F1436">
        <v>4741.47</v>
      </c>
      <c r="G1436">
        <f t="shared" si="24"/>
        <v>554325.25769999996</v>
      </c>
      <c r="H1436" t="str">
        <f>IF(BOQ_Table[[#This Row],[Amount]]&gt;100000,"Over Budget","OK")</f>
        <v>Over Budget</v>
      </c>
      <c r="I1436" t="str">
        <f>IF(OR(BOQ_Table[[#This Row],[Quantity]]="",BOQ_Table[[#This Row],[Rate]]=""),"Missing","OK")</f>
        <v>OK</v>
      </c>
    </row>
    <row r="1437" spans="1:9" x14ac:dyDescent="0.35">
      <c r="A1437" t="s">
        <v>1461</v>
      </c>
      <c r="B1437" t="s">
        <v>7</v>
      </c>
      <c r="C1437" t="s">
        <v>12</v>
      </c>
      <c r="D1437">
        <v>123.59</v>
      </c>
      <c r="E1437" t="s">
        <v>27</v>
      </c>
      <c r="F1437">
        <v>764.68</v>
      </c>
      <c r="G1437">
        <f t="shared" si="24"/>
        <v>94506.801200000002</v>
      </c>
      <c r="H1437" t="str">
        <f>IF(BOQ_Table[[#This Row],[Amount]]&gt;100000,"Over Budget","OK")</f>
        <v>OK</v>
      </c>
      <c r="I1437" t="str">
        <f>IF(OR(BOQ_Table[[#This Row],[Quantity]]="",BOQ_Table[[#This Row],[Rate]]=""),"Missing","OK")</f>
        <v>OK</v>
      </c>
    </row>
    <row r="1438" spans="1:9" x14ac:dyDescent="0.35">
      <c r="A1438" t="s">
        <v>1462</v>
      </c>
      <c r="B1438" t="s">
        <v>56</v>
      </c>
      <c r="C1438" t="s">
        <v>8</v>
      </c>
      <c r="D1438">
        <v>129.88</v>
      </c>
      <c r="E1438" t="s">
        <v>22</v>
      </c>
      <c r="F1438">
        <v>1389.72</v>
      </c>
      <c r="G1438">
        <f t="shared" si="24"/>
        <v>180496.83359999998</v>
      </c>
      <c r="H1438" t="str">
        <f>IF(BOQ_Table[[#This Row],[Amount]]&gt;100000,"Over Budget","OK")</f>
        <v>Over Budget</v>
      </c>
      <c r="I1438" t="str">
        <f>IF(OR(BOQ_Table[[#This Row],[Quantity]]="",BOQ_Table[[#This Row],[Rate]]=""),"Missing","OK")</f>
        <v>OK</v>
      </c>
    </row>
    <row r="1439" spans="1:9" x14ac:dyDescent="0.35">
      <c r="A1439" t="s">
        <v>1463</v>
      </c>
      <c r="B1439" t="s">
        <v>32</v>
      </c>
      <c r="C1439" t="s">
        <v>12</v>
      </c>
      <c r="D1439">
        <v>220.79</v>
      </c>
      <c r="E1439" t="s">
        <v>22</v>
      </c>
      <c r="F1439">
        <v>2949.05</v>
      </c>
      <c r="G1439">
        <f t="shared" si="24"/>
        <v>651120.74950000003</v>
      </c>
      <c r="H1439" t="str">
        <f>IF(BOQ_Table[[#This Row],[Amount]]&gt;100000,"Over Budget","OK")</f>
        <v>Over Budget</v>
      </c>
      <c r="I1439" t="str">
        <f>IF(OR(BOQ_Table[[#This Row],[Quantity]]="",BOQ_Table[[#This Row],[Rate]]=""),"Missing","OK")</f>
        <v>OK</v>
      </c>
    </row>
    <row r="1440" spans="1:9" x14ac:dyDescent="0.35">
      <c r="A1440" t="s">
        <v>1464</v>
      </c>
      <c r="B1440" t="s">
        <v>32</v>
      </c>
      <c r="C1440" t="s">
        <v>38</v>
      </c>
      <c r="D1440">
        <v>251.13</v>
      </c>
      <c r="E1440" t="s">
        <v>22</v>
      </c>
      <c r="F1440">
        <v>2809.44</v>
      </c>
      <c r="G1440">
        <f t="shared" si="24"/>
        <v>705534.66720000003</v>
      </c>
      <c r="H1440" t="str">
        <f>IF(BOQ_Table[[#This Row],[Amount]]&gt;100000,"Over Budget","OK")</f>
        <v>Over Budget</v>
      </c>
      <c r="I1440" t="str">
        <f>IF(OR(BOQ_Table[[#This Row],[Quantity]]="",BOQ_Table[[#This Row],[Rate]]=""),"Missing","OK")</f>
        <v>OK</v>
      </c>
    </row>
    <row r="1441" spans="1:9" x14ac:dyDescent="0.35">
      <c r="A1441" t="s">
        <v>1465</v>
      </c>
      <c r="B1441" t="s">
        <v>7</v>
      </c>
      <c r="C1441" t="s">
        <v>12</v>
      </c>
      <c r="D1441">
        <v>223.64</v>
      </c>
      <c r="E1441" t="s">
        <v>18</v>
      </c>
      <c r="F1441">
        <v>354.39</v>
      </c>
      <c r="G1441">
        <f t="shared" si="24"/>
        <v>79255.779599999994</v>
      </c>
      <c r="H1441" t="str">
        <f>IF(BOQ_Table[[#This Row],[Amount]]&gt;100000,"Over Budget","OK")</f>
        <v>OK</v>
      </c>
      <c r="I1441" t="str">
        <f>IF(OR(BOQ_Table[[#This Row],[Quantity]]="",BOQ_Table[[#This Row],[Rate]]=""),"Missing","OK")</f>
        <v>OK</v>
      </c>
    </row>
    <row r="1442" spans="1:9" x14ac:dyDescent="0.35">
      <c r="A1442" t="s">
        <v>1466</v>
      </c>
      <c r="B1442" t="s">
        <v>16</v>
      </c>
      <c r="C1442" t="s">
        <v>17</v>
      </c>
      <c r="D1442">
        <v>76.239999999999995</v>
      </c>
      <c r="E1442" t="s">
        <v>22</v>
      </c>
      <c r="F1442">
        <v>1871.63</v>
      </c>
      <c r="G1442">
        <f t="shared" si="24"/>
        <v>142693.07120000001</v>
      </c>
      <c r="H1442" t="str">
        <f>IF(BOQ_Table[[#This Row],[Amount]]&gt;100000,"Over Budget","OK")</f>
        <v>Over Budget</v>
      </c>
      <c r="I1442" t="str">
        <f>IF(OR(BOQ_Table[[#This Row],[Quantity]]="",BOQ_Table[[#This Row],[Rate]]=""),"Missing","OK")</f>
        <v>OK</v>
      </c>
    </row>
    <row r="1443" spans="1:9" x14ac:dyDescent="0.35">
      <c r="A1443" t="s">
        <v>1467</v>
      </c>
      <c r="B1443" t="s">
        <v>40</v>
      </c>
      <c r="C1443" t="s">
        <v>17</v>
      </c>
      <c r="D1443">
        <v>487.68</v>
      </c>
      <c r="E1443" t="s">
        <v>14</v>
      </c>
      <c r="F1443">
        <v>2233.5</v>
      </c>
      <c r="G1443">
        <f t="shared" si="24"/>
        <v>1089233.28</v>
      </c>
      <c r="H1443" t="str">
        <f>IF(BOQ_Table[[#This Row],[Amount]]&gt;100000,"Over Budget","OK")</f>
        <v>Over Budget</v>
      </c>
      <c r="I1443" t="str">
        <f>IF(OR(BOQ_Table[[#This Row],[Quantity]]="",BOQ_Table[[#This Row],[Rate]]=""),"Missing","OK")</f>
        <v>OK</v>
      </c>
    </row>
    <row r="1444" spans="1:9" x14ac:dyDescent="0.35">
      <c r="A1444" t="s">
        <v>1468</v>
      </c>
      <c r="B1444" t="s">
        <v>20</v>
      </c>
      <c r="C1444" t="s">
        <v>38</v>
      </c>
      <c r="D1444">
        <v>403.35</v>
      </c>
      <c r="E1444" t="s">
        <v>9</v>
      </c>
      <c r="F1444">
        <v>1850.76</v>
      </c>
      <c r="G1444">
        <f t="shared" si="24"/>
        <v>746504.04600000009</v>
      </c>
      <c r="H1444" t="str">
        <f>IF(BOQ_Table[[#This Row],[Amount]]&gt;100000,"Over Budget","OK")</f>
        <v>Over Budget</v>
      </c>
      <c r="I1444" t="str">
        <f>IF(OR(BOQ_Table[[#This Row],[Quantity]]="",BOQ_Table[[#This Row],[Rate]]=""),"Missing","OK")</f>
        <v>OK</v>
      </c>
    </row>
    <row r="1445" spans="1:9" x14ac:dyDescent="0.35">
      <c r="A1445" t="s">
        <v>1469</v>
      </c>
      <c r="B1445" t="s">
        <v>7</v>
      </c>
      <c r="C1445" t="s">
        <v>8</v>
      </c>
      <c r="D1445">
        <v>215.24</v>
      </c>
      <c r="E1445" t="s">
        <v>18</v>
      </c>
      <c r="F1445">
        <v>95.93</v>
      </c>
      <c r="G1445">
        <f t="shared" si="24"/>
        <v>20647.973200000004</v>
      </c>
      <c r="H1445" t="str">
        <f>IF(BOQ_Table[[#This Row],[Amount]]&gt;100000,"Over Budget","OK")</f>
        <v>OK</v>
      </c>
      <c r="I1445" t="str">
        <f>IF(OR(BOQ_Table[[#This Row],[Quantity]]="",BOQ_Table[[#This Row],[Rate]]=""),"Missing","OK")</f>
        <v>OK</v>
      </c>
    </row>
    <row r="1446" spans="1:9" x14ac:dyDescent="0.35">
      <c r="A1446" t="s">
        <v>1470</v>
      </c>
      <c r="B1446" t="s">
        <v>16</v>
      </c>
      <c r="C1446" t="s">
        <v>17</v>
      </c>
      <c r="D1446">
        <v>432.11</v>
      </c>
      <c r="E1446" t="s">
        <v>14</v>
      </c>
      <c r="F1446">
        <v>3054.34</v>
      </c>
      <c r="G1446">
        <f t="shared" si="24"/>
        <v>1319810.8574000001</v>
      </c>
      <c r="H1446" t="str">
        <f>IF(BOQ_Table[[#This Row],[Amount]]&gt;100000,"Over Budget","OK")</f>
        <v>Over Budget</v>
      </c>
      <c r="I1446" t="str">
        <f>IF(OR(BOQ_Table[[#This Row],[Quantity]]="",BOQ_Table[[#This Row],[Rate]]=""),"Missing","OK")</f>
        <v>OK</v>
      </c>
    </row>
    <row r="1447" spans="1:9" x14ac:dyDescent="0.35">
      <c r="A1447" t="s">
        <v>1471</v>
      </c>
      <c r="B1447" t="s">
        <v>7</v>
      </c>
      <c r="C1447" t="s">
        <v>12</v>
      </c>
      <c r="D1447">
        <v>186.49</v>
      </c>
      <c r="E1447" t="s">
        <v>14</v>
      </c>
      <c r="F1447">
        <v>2791.96</v>
      </c>
      <c r="G1447">
        <f t="shared" si="24"/>
        <v>520672.62040000001</v>
      </c>
      <c r="H1447" t="str">
        <f>IF(BOQ_Table[[#This Row],[Amount]]&gt;100000,"Over Budget","OK")</f>
        <v>Over Budget</v>
      </c>
      <c r="I1447" t="str">
        <f>IF(OR(BOQ_Table[[#This Row],[Quantity]]="",BOQ_Table[[#This Row],[Rate]]=""),"Missing","OK")</f>
        <v>OK</v>
      </c>
    </row>
    <row r="1448" spans="1:9" x14ac:dyDescent="0.35">
      <c r="A1448" t="s">
        <v>1472</v>
      </c>
      <c r="B1448" t="s">
        <v>11</v>
      </c>
      <c r="C1448" t="s">
        <v>38</v>
      </c>
      <c r="D1448">
        <v>107.32</v>
      </c>
      <c r="E1448" t="s">
        <v>14</v>
      </c>
      <c r="F1448">
        <v>3381.3</v>
      </c>
      <c r="G1448">
        <f t="shared" si="24"/>
        <v>362881.11599999998</v>
      </c>
      <c r="H1448" t="str">
        <f>IF(BOQ_Table[[#This Row],[Amount]]&gt;100000,"Over Budget","OK")</f>
        <v>Over Budget</v>
      </c>
      <c r="I1448" t="str">
        <f>IF(OR(BOQ_Table[[#This Row],[Quantity]]="",BOQ_Table[[#This Row],[Rate]]=""),"Missing","OK")</f>
        <v>OK</v>
      </c>
    </row>
    <row r="1449" spans="1:9" x14ac:dyDescent="0.35">
      <c r="A1449" t="s">
        <v>1473</v>
      </c>
      <c r="B1449" t="s">
        <v>46</v>
      </c>
      <c r="C1449" t="s">
        <v>8</v>
      </c>
      <c r="D1449">
        <v>246.61</v>
      </c>
      <c r="E1449" t="s">
        <v>27</v>
      </c>
      <c r="F1449">
        <v>1880.42</v>
      </c>
      <c r="G1449">
        <f t="shared" si="24"/>
        <v>463730.37620000006</v>
      </c>
      <c r="H1449" t="str">
        <f>IF(BOQ_Table[[#This Row],[Amount]]&gt;100000,"Over Budget","OK")</f>
        <v>Over Budget</v>
      </c>
      <c r="I1449" t="str">
        <f>IF(OR(BOQ_Table[[#This Row],[Quantity]]="",BOQ_Table[[#This Row],[Rate]]=""),"Missing","OK")</f>
        <v>OK</v>
      </c>
    </row>
    <row r="1450" spans="1:9" x14ac:dyDescent="0.35">
      <c r="A1450" t="s">
        <v>1474</v>
      </c>
      <c r="B1450" t="s">
        <v>46</v>
      </c>
      <c r="C1450" t="s">
        <v>17</v>
      </c>
      <c r="D1450">
        <v>318.49</v>
      </c>
      <c r="E1450" t="s">
        <v>14</v>
      </c>
      <c r="F1450">
        <v>336.09</v>
      </c>
      <c r="G1450">
        <f t="shared" si="24"/>
        <v>107041.30409999999</v>
      </c>
      <c r="H1450" t="str">
        <f>IF(BOQ_Table[[#This Row],[Amount]]&gt;100000,"Over Budget","OK")</f>
        <v>Over Budget</v>
      </c>
      <c r="I1450" t="str">
        <f>IF(OR(BOQ_Table[[#This Row],[Quantity]]="",BOQ_Table[[#This Row],[Rate]]=""),"Missing","OK")</f>
        <v>OK</v>
      </c>
    </row>
    <row r="1451" spans="1:9" x14ac:dyDescent="0.35">
      <c r="A1451" t="s">
        <v>1475</v>
      </c>
      <c r="B1451" t="s">
        <v>7</v>
      </c>
      <c r="C1451" t="s">
        <v>38</v>
      </c>
      <c r="D1451">
        <v>219.38</v>
      </c>
      <c r="E1451" t="s">
        <v>9</v>
      </c>
      <c r="F1451">
        <v>4647.79</v>
      </c>
      <c r="G1451">
        <f t="shared" si="24"/>
        <v>1019632.1701999999</v>
      </c>
      <c r="H1451" t="str">
        <f>IF(BOQ_Table[[#This Row],[Amount]]&gt;100000,"Over Budget","OK")</f>
        <v>Over Budget</v>
      </c>
      <c r="I1451" t="str">
        <f>IF(OR(BOQ_Table[[#This Row],[Quantity]]="",BOQ_Table[[#This Row],[Rate]]=""),"Missing","OK")</f>
        <v>OK</v>
      </c>
    </row>
    <row r="1452" spans="1:9" x14ac:dyDescent="0.35">
      <c r="A1452" t="s">
        <v>1476</v>
      </c>
      <c r="B1452" t="s">
        <v>40</v>
      </c>
      <c r="C1452" t="s">
        <v>38</v>
      </c>
      <c r="D1452">
        <v>269.01</v>
      </c>
      <c r="E1452" t="s">
        <v>9</v>
      </c>
      <c r="F1452">
        <v>1451.86</v>
      </c>
      <c r="G1452">
        <f t="shared" si="24"/>
        <v>390564.85859999998</v>
      </c>
      <c r="H1452" t="str">
        <f>IF(BOQ_Table[[#This Row],[Amount]]&gt;100000,"Over Budget","OK")</f>
        <v>Over Budget</v>
      </c>
      <c r="I1452" t="str">
        <f>IF(OR(BOQ_Table[[#This Row],[Quantity]]="",BOQ_Table[[#This Row],[Rate]]=""),"Missing","OK")</f>
        <v>OK</v>
      </c>
    </row>
    <row r="1453" spans="1:9" x14ac:dyDescent="0.35">
      <c r="A1453" t="s">
        <v>1477</v>
      </c>
      <c r="B1453" t="s">
        <v>42</v>
      </c>
      <c r="C1453" t="s">
        <v>21</v>
      </c>
      <c r="D1453">
        <v>223.65</v>
      </c>
      <c r="E1453" t="s">
        <v>9</v>
      </c>
      <c r="F1453">
        <v>2813.63</v>
      </c>
      <c r="G1453">
        <f t="shared" si="24"/>
        <v>629268.34950000001</v>
      </c>
      <c r="H1453" t="str">
        <f>IF(BOQ_Table[[#This Row],[Amount]]&gt;100000,"Over Budget","OK")</f>
        <v>Over Budget</v>
      </c>
      <c r="I1453" t="str">
        <f>IF(OR(BOQ_Table[[#This Row],[Quantity]]="",BOQ_Table[[#This Row],[Rate]]=""),"Missing","OK")</f>
        <v>OK</v>
      </c>
    </row>
    <row r="1454" spans="1:9" x14ac:dyDescent="0.35">
      <c r="A1454" t="s">
        <v>1478</v>
      </c>
      <c r="B1454" t="s">
        <v>16</v>
      </c>
      <c r="C1454" t="s">
        <v>38</v>
      </c>
      <c r="D1454">
        <v>67.650000000000006</v>
      </c>
      <c r="E1454" t="s">
        <v>22</v>
      </c>
      <c r="F1454">
        <v>3743.14</v>
      </c>
      <c r="G1454">
        <f t="shared" si="24"/>
        <v>253223.421</v>
      </c>
      <c r="H1454" t="str">
        <f>IF(BOQ_Table[[#This Row],[Amount]]&gt;100000,"Over Budget","OK")</f>
        <v>Over Budget</v>
      </c>
      <c r="I1454" t="str">
        <f>IF(OR(BOQ_Table[[#This Row],[Quantity]]="",BOQ_Table[[#This Row],[Rate]]=""),"Missing","OK")</f>
        <v>OK</v>
      </c>
    </row>
    <row r="1455" spans="1:9" x14ac:dyDescent="0.35">
      <c r="A1455" t="s">
        <v>1479</v>
      </c>
      <c r="B1455" t="s">
        <v>30</v>
      </c>
      <c r="C1455" t="s">
        <v>21</v>
      </c>
      <c r="D1455">
        <v>407.06</v>
      </c>
      <c r="E1455" t="s">
        <v>22</v>
      </c>
      <c r="F1455">
        <v>3012.09</v>
      </c>
      <c r="G1455">
        <f t="shared" si="24"/>
        <v>1226101.3554</v>
      </c>
      <c r="H1455" t="str">
        <f>IF(BOQ_Table[[#This Row],[Amount]]&gt;100000,"Over Budget","OK")</f>
        <v>Over Budget</v>
      </c>
      <c r="I1455" t="str">
        <f>IF(OR(BOQ_Table[[#This Row],[Quantity]]="",BOQ_Table[[#This Row],[Rate]]=""),"Missing","OK")</f>
        <v>OK</v>
      </c>
    </row>
    <row r="1456" spans="1:9" x14ac:dyDescent="0.35">
      <c r="A1456" t="s">
        <v>1480</v>
      </c>
      <c r="B1456" t="s">
        <v>40</v>
      </c>
      <c r="C1456" t="s">
        <v>21</v>
      </c>
      <c r="D1456">
        <v>17.96</v>
      </c>
      <c r="E1456" t="s">
        <v>14</v>
      </c>
      <c r="F1456">
        <v>3873.7</v>
      </c>
      <c r="G1456">
        <f t="shared" si="24"/>
        <v>69571.652000000002</v>
      </c>
      <c r="H1456" t="str">
        <f>IF(BOQ_Table[[#This Row],[Amount]]&gt;100000,"Over Budget","OK")</f>
        <v>OK</v>
      </c>
      <c r="I1456" t="str">
        <f>IF(OR(BOQ_Table[[#This Row],[Quantity]]="",BOQ_Table[[#This Row],[Rate]]=""),"Missing","OK")</f>
        <v>OK</v>
      </c>
    </row>
    <row r="1457" spans="1:9" x14ac:dyDescent="0.35">
      <c r="A1457" t="s">
        <v>1481</v>
      </c>
      <c r="B1457" t="s">
        <v>46</v>
      </c>
      <c r="C1457" t="s">
        <v>38</v>
      </c>
      <c r="D1457">
        <v>344.36</v>
      </c>
      <c r="E1457" t="s">
        <v>22</v>
      </c>
      <c r="F1457">
        <v>4252.09</v>
      </c>
      <c r="G1457">
        <f t="shared" si="24"/>
        <v>1464249.7124000001</v>
      </c>
      <c r="H1457" t="str">
        <f>IF(BOQ_Table[[#This Row],[Amount]]&gt;100000,"Over Budget","OK")</f>
        <v>Over Budget</v>
      </c>
      <c r="I1457" t="str">
        <f>IF(OR(BOQ_Table[[#This Row],[Quantity]]="",BOQ_Table[[#This Row],[Rate]]=""),"Missing","OK")</f>
        <v>OK</v>
      </c>
    </row>
    <row r="1458" spans="1:9" x14ac:dyDescent="0.35">
      <c r="A1458" t="s">
        <v>1482</v>
      </c>
      <c r="B1458" t="s">
        <v>46</v>
      </c>
      <c r="C1458" t="s">
        <v>8</v>
      </c>
      <c r="D1458">
        <v>76.03</v>
      </c>
      <c r="E1458" t="s">
        <v>9</v>
      </c>
      <c r="F1458">
        <v>877.82</v>
      </c>
      <c r="G1458">
        <f t="shared" si="24"/>
        <v>66740.654600000009</v>
      </c>
      <c r="H1458" t="str">
        <f>IF(BOQ_Table[[#This Row],[Amount]]&gt;100000,"Over Budget","OK")</f>
        <v>OK</v>
      </c>
      <c r="I1458" t="str">
        <f>IF(OR(BOQ_Table[[#This Row],[Quantity]]="",BOQ_Table[[#This Row],[Rate]]=""),"Missing","OK")</f>
        <v>OK</v>
      </c>
    </row>
    <row r="1459" spans="1:9" x14ac:dyDescent="0.35">
      <c r="A1459" t="s">
        <v>1483</v>
      </c>
      <c r="B1459" t="s">
        <v>11</v>
      </c>
      <c r="C1459" t="s">
        <v>12</v>
      </c>
      <c r="D1459">
        <v>151.18</v>
      </c>
      <c r="E1459" t="s">
        <v>9</v>
      </c>
      <c r="F1459">
        <v>3627.01</v>
      </c>
      <c r="G1459">
        <f t="shared" si="24"/>
        <v>548331.37180000008</v>
      </c>
      <c r="H1459" t="str">
        <f>IF(BOQ_Table[[#This Row],[Amount]]&gt;100000,"Over Budget","OK")</f>
        <v>Over Budget</v>
      </c>
      <c r="I1459" t="str">
        <f>IF(OR(BOQ_Table[[#This Row],[Quantity]]="",BOQ_Table[[#This Row],[Rate]]=""),"Missing","OK")</f>
        <v>OK</v>
      </c>
    </row>
    <row r="1460" spans="1:9" x14ac:dyDescent="0.35">
      <c r="A1460" t="s">
        <v>1484</v>
      </c>
      <c r="B1460" t="s">
        <v>56</v>
      </c>
      <c r="C1460" t="s">
        <v>8</v>
      </c>
      <c r="D1460">
        <v>478.21</v>
      </c>
      <c r="E1460" t="s">
        <v>22</v>
      </c>
      <c r="F1460">
        <v>2185.81</v>
      </c>
      <c r="G1460">
        <f t="shared" si="24"/>
        <v>1045276.2000999999</v>
      </c>
      <c r="H1460" t="str">
        <f>IF(BOQ_Table[[#This Row],[Amount]]&gt;100000,"Over Budget","OK")</f>
        <v>Over Budget</v>
      </c>
      <c r="I1460" t="str">
        <f>IF(OR(BOQ_Table[[#This Row],[Quantity]]="",BOQ_Table[[#This Row],[Rate]]=""),"Missing","OK")</f>
        <v>OK</v>
      </c>
    </row>
    <row r="1461" spans="1:9" x14ac:dyDescent="0.35">
      <c r="A1461" t="s">
        <v>1485</v>
      </c>
      <c r="B1461" t="s">
        <v>42</v>
      </c>
      <c r="C1461" t="s">
        <v>21</v>
      </c>
      <c r="D1461">
        <v>84.66</v>
      </c>
      <c r="E1461" t="s">
        <v>14</v>
      </c>
      <c r="F1461">
        <v>3235.9</v>
      </c>
      <c r="G1461">
        <f t="shared" si="24"/>
        <v>273951.29399999999</v>
      </c>
      <c r="H1461" t="str">
        <f>IF(BOQ_Table[[#This Row],[Amount]]&gt;100000,"Over Budget","OK")</f>
        <v>Over Budget</v>
      </c>
      <c r="I1461" t="str">
        <f>IF(OR(BOQ_Table[[#This Row],[Quantity]]="",BOQ_Table[[#This Row],[Rate]]=""),"Missing","OK")</f>
        <v>OK</v>
      </c>
    </row>
    <row r="1462" spans="1:9" x14ac:dyDescent="0.35">
      <c r="A1462" t="s">
        <v>1486</v>
      </c>
      <c r="B1462" t="s">
        <v>40</v>
      </c>
      <c r="C1462" t="s">
        <v>8</v>
      </c>
      <c r="D1462">
        <v>39.21</v>
      </c>
      <c r="E1462" t="s">
        <v>27</v>
      </c>
      <c r="F1462">
        <v>4826.6899999999996</v>
      </c>
      <c r="G1462">
        <f t="shared" si="24"/>
        <v>189254.51489999998</v>
      </c>
      <c r="H1462" t="str">
        <f>IF(BOQ_Table[[#This Row],[Amount]]&gt;100000,"Over Budget","OK")</f>
        <v>Over Budget</v>
      </c>
      <c r="I1462" t="str">
        <f>IF(OR(BOQ_Table[[#This Row],[Quantity]]="",BOQ_Table[[#This Row],[Rate]]=""),"Missing","OK")</f>
        <v>OK</v>
      </c>
    </row>
    <row r="1463" spans="1:9" x14ac:dyDescent="0.35">
      <c r="A1463" t="s">
        <v>1487</v>
      </c>
      <c r="B1463" t="s">
        <v>11</v>
      </c>
      <c r="C1463" t="s">
        <v>38</v>
      </c>
      <c r="D1463">
        <v>293.10000000000002</v>
      </c>
      <c r="E1463" t="s">
        <v>14</v>
      </c>
      <c r="F1463">
        <v>1643.89</v>
      </c>
      <c r="G1463">
        <f t="shared" si="24"/>
        <v>481824.15900000004</v>
      </c>
      <c r="H1463" t="str">
        <f>IF(BOQ_Table[[#This Row],[Amount]]&gt;100000,"Over Budget","OK")</f>
        <v>Over Budget</v>
      </c>
      <c r="I1463" t="str">
        <f>IF(OR(BOQ_Table[[#This Row],[Quantity]]="",BOQ_Table[[#This Row],[Rate]]=""),"Missing","OK")</f>
        <v>OK</v>
      </c>
    </row>
    <row r="1464" spans="1:9" x14ac:dyDescent="0.35">
      <c r="A1464" t="s">
        <v>1488</v>
      </c>
      <c r="B1464" t="s">
        <v>32</v>
      </c>
      <c r="C1464" t="s">
        <v>8</v>
      </c>
      <c r="D1464">
        <v>232.8</v>
      </c>
      <c r="E1464" t="s">
        <v>18</v>
      </c>
      <c r="F1464">
        <v>2607.8200000000002</v>
      </c>
      <c r="G1464">
        <f t="shared" si="24"/>
        <v>607100.49600000004</v>
      </c>
      <c r="H1464" t="str">
        <f>IF(BOQ_Table[[#This Row],[Amount]]&gt;100000,"Over Budget","OK")</f>
        <v>Over Budget</v>
      </c>
      <c r="I1464" t="str">
        <f>IF(OR(BOQ_Table[[#This Row],[Quantity]]="",BOQ_Table[[#This Row],[Rate]]=""),"Missing","OK")</f>
        <v>OK</v>
      </c>
    </row>
    <row r="1465" spans="1:9" x14ac:dyDescent="0.35">
      <c r="A1465" t="s">
        <v>1489</v>
      </c>
      <c r="B1465" t="s">
        <v>20</v>
      </c>
      <c r="C1465" t="s">
        <v>8</v>
      </c>
      <c r="D1465">
        <v>335.91</v>
      </c>
      <c r="E1465" t="s">
        <v>9</v>
      </c>
      <c r="F1465">
        <v>4016.19</v>
      </c>
      <c r="G1465">
        <f t="shared" si="24"/>
        <v>1349078.3829000001</v>
      </c>
      <c r="H1465" t="str">
        <f>IF(BOQ_Table[[#This Row],[Amount]]&gt;100000,"Over Budget","OK")</f>
        <v>Over Budget</v>
      </c>
      <c r="I1465" t="str">
        <f>IF(OR(BOQ_Table[[#This Row],[Quantity]]="",BOQ_Table[[#This Row],[Rate]]=""),"Missing","OK")</f>
        <v>OK</v>
      </c>
    </row>
    <row r="1466" spans="1:9" x14ac:dyDescent="0.35">
      <c r="A1466" t="s">
        <v>1490</v>
      </c>
      <c r="B1466" t="s">
        <v>46</v>
      </c>
      <c r="C1466" t="s">
        <v>21</v>
      </c>
      <c r="D1466">
        <v>260.24</v>
      </c>
      <c r="E1466" t="s">
        <v>14</v>
      </c>
      <c r="F1466">
        <v>3249.93</v>
      </c>
      <c r="G1466">
        <f t="shared" si="24"/>
        <v>845761.78319999995</v>
      </c>
      <c r="H1466" t="str">
        <f>IF(BOQ_Table[[#This Row],[Amount]]&gt;100000,"Over Budget","OK")</f>
        <v>Over Budget</v>
      </c>
      <c r="I1466" t="str">
        <f>IF(OR(BOQ_Table[[#This Row],[Quantity]]="",BOQ_Table[[#This Row],[Rate]]=""),"Missing","OK")</f>
        <v>OK</v>
      </c>
    </row>
    <row r="1467" spans="1:9" x14ac:dyDescent="0.35">
      <c r="A1467" t="s">
        <v>1491</v>
      </c>
      <c r="B1467" t="s">
        <v>40</v>
      </c>
      <c r="C1467" t="s">
        <v>21</v>
      </c>
      <c r="D1467">
        <v>40.98</v>
      </c>
      <c r="E1467" t="s">
        <v>14</v>
      </c>
      <c r="F1467">
        <v>4585.34</v>
      </c>
      <c r="G1467">
        <f t="shared" si="24"/>
        <v>187907.23319999999</v>
      </c>
      <c r="H1467" t="str">
        <f>IF(BOQ_Table[[#This Row],[Amount]]&gt;100000,"Over Budget","OK")</f>
        <v>Over Budget</v>
      </c>
      <c r="I1467" t="str">
        <f>IF(OR(BOQ_Table[[#This Row],[Quantity]]="",BOQ_Table[[#This Row],[Rate]]=""),"Missing","OK")</f>
        <v>OK</v>
      </c>
    </row>
    <row r="1468" spans="1:9" x14ac:dyDescent="0.35">
      <c r="A1468" t="s">
        <v>1492</v>
      </c>
      <c r="B1468" t="s">
        <v>16</v>
      </c>
      <c r="C1468" t="s">
        <v>17</v>
      </c>
      <c r="D1468">
        <v>136.32</v>
      </c>
      <c r="E1468" t="s">
        <v>18</v>
      </c>
      <c r="F1468">
        <v>2103.29</v>
      </c>
      <c r="G1468">
        <f t="shared" si="24"/>
        <v>286720.49280000001</v>
      </c>
      <c r="H1468" t="str">
        <f>IF(BOQ_Table[[#This Row],[Amount]]&gt;100000,"Over Budget","OK")</f>
        <v>Over Budget</v>
      </c>
      <c r="I1468" t="str">
        <f>IF(OR(BOQ_Table[[#This Row],[Quantity]]="",BOQ_Table[[#This Row],[Rate]]=""),"Missing","OK")</f>
        <v>OK</v>
      </c>
    </row>
    <row r="1469" spans="1:9" x14ac:dyDescent="0.35">
      <c r="A1469" t="s">
        <v>1493</v>
      </c>
      <c r="B1469" t="s">
        <v>11</v>
      </c>
      <c r="C1469" t="s">
        <v>8</v>
      </c>
      <c r="D1469">
        <v>398.21</v>
      </c>
      <c r="E1469" t="s">
        <v>18</v>
      </c>
      <c r="F1469">
        <v>3685.13</v>
      </c>
      <c r="G1469">
        <f t="shared" si="24"/>
        <v>1467455.6173</v>
      </c>
      <c r="H1469" t="str">
        <f>IF(BOQ_Table[[#This Row],[Amount]]&gt;100000,"Over Budget","OK")</f>
        <v>Over Budget</v>
      </c>
      <c r="I1469" t="str">
        <f>IF(OR(BOQ_Table[[#This Row],[Quantity]]="",BOQ_Table[[#This Row],[Rate]]=""),"Missing","OK")</f>
        <v>OK</v>
      </c>
    </row>
    <row r="1470" spans="1:9" x14ac:dyDescent="0.35">
      <c r="A1470" t="s">
        <v>1494</v>
      </c>
      <c r="B1470" t="s">
        <v>11</v>
      </c>
      <c r="C1470" t="s">
        <v>12</v>
      </c>
      <c r="D1470">
        <v>152.13999999999999</v>
      </c>
      <c r="E1470" t="s">
        <v>22</v>
      </c>
      <c r="F1470">
        <v>4599.1499999999996</v>
      </c>
      <c r="G1470">
        <f t="shared" si="24"/>
        <v>699714.68099999987</v>
      </c>
      <c r="H1470" t="str">
        <f>IF(BOQ_Table[[#This Row],[Amount]]&gt;100000,"Over Budget","OK")</f>
        <v>Over Budget</v>
      </c>
      <c r="I1470" t="str">
        <f>IF(OR(BOQ_Table[[#This Row],[Quantity]]="",BOQ_Table[[#This Row],[Rate]]=""),"Missing","OK")</f>
        <v>OK</v>
      </c>
    </row>
    <row r="1471" spans="1:9" x14ac:dyDescent="0.35">
      <c r="A1471" t="s">
        <v>1495</v>
      </c>
      <c r="B1471" t="s">
        <v>20</v>
      </c>
      <c r="C1471" t="s">
        <v>12</v>
      </c>
      <c r="D1471">
        <v>364.47</v>
      </c>
      <c r="E1471" t="s">
        <v>22</v>
      </c>
      <c r="F1471">
        <v>3329.04</v>
      </c>
      <c r="G1471">
        <f t="shared" si="24"/>
        <v>1213335.2088000001</v>
      </c>
      <c r="H1471" t="str">
        <f>IF(BOQ_Table[[#This Row],[Amount]]&gt;100000,"Over Budget","OK")</f>
        <v>Over Budget</v>
      </c>
      <c r="I1471" t="str">
        <f>IF(OR(BOQ_Table[[#This Row],[Quantity]]="",BOQ_Table[[#This Row],[Rate]]=""),"Missing","OK")</f>
        <v>OK</v>
      </c>
    </row>
    <row r="1472" spans="1:9" x14ac:dyDescent="0.35">
      <c r="A1472" t="s">
        <v>1496</v>
      </c>
      <c r="B1472" t="s">
        <v>30</v>
      </c>
      <c r="C1472" t="s">
        <v>12</v>
      </c>
      <c r="D1472">
        <v>280.70999999999998</v>
      </c>
      <c r="E1472" t="s">
        <v>9</v>
      </c>
      <c r="F1472">
        <v>393.17</v>
      </c>
      <c r="G1472">
        <f t="shared" si="24"/>
        <v>110366.75069999999</v>
      </c>
      <c r="H1472" t="str">
        <f>IF(BOQ_Table[[#This Row],[Amount]]&gt;100000,"Over Budget","OK")</f>
        <v>Over Budget</v>
      </c>
      <c r="I1472" t="str">
        <f>IF(OR(BOQ_Table[[#This Row],[Quantity]]="",BOQ_Table[[#This Row],[Rate]]=""),"Missing","OK")</f>
        <v>OK</v>
      </c>
    </row>
    <row r="1473" spans="1:9" x14ac:dyDescent="0.35">
      <c r="A1473" t="s">
        <v>1497</v>
      </c>
      <c r="B1473" t="s">
        <v>11</v>
      </c>
      <c r="C1473" t="s">
        <v>12</v>
      </c>
      <c r="D1473">
        <v>154.53</v>
      </c>
      <c r="E1473" t="s">
        <v>27</v>
      </c>
      <c r="F1473">
        <v>4471.9799999999996</v>
      </c>
      <c r="G1473">
        <f t="shared" si="24"/>
        <v>691055.06939999992</v>
      </c>
      <c r="H1473" t="str">
        <f>IF(BOQ_Table[[#This Row],[Amount]]&gt;100000,"Over Budget","OK")</f>
        <v>Over Budget</v>
      </c>
      <c r="I1473" t="str">
        <f>IF(OR(BOQ_Table[[#This Row],[Quantity]]="",BOQ_Table[[#This Row],[Rate]]=""),"Missing","OK")</f>
        <v>OK</v>
      </c>
    </row>
    <row r="1474" spans="1:9" x14ac:dyDescent="0.35">
      <c r="A1474" t="s">
        <v>1498</v>
      </c>
      <c r="B1474" t="s">
        <v>30</v>
      </c>
      <c r="C1474" t="s">
        <v>21</v>
      </c>
      <c r="D1474">
        <v>106.76</v>
      </c>
      <c r="E1474" t="s">
        <v>27</v>
      </c>
      <c r="F1474">
        <v>3004.93</v>
      </c>
      <c r="G1474">
        <f t="shared" ref="G1474:G1537" si="25">D1474*F1474</f>
        <v>320806.32679999998</v>
      </c>
      <c r="H1474" t="str">
        <f>IF(BOQ_Table[[#This Row],[Amount]]&gt;100000,"Over Budget","OK")</f>
        <v>Over Budget</v>
      </c>
      <c r="I1474" t="str">
        <f>IF(OR(BOQ_Table[[#This Row],[Quantity]]="",BOQ_Table[[#This Row],[Rate]]=""),"Missing","OK")</f>
        <v>OK</v>
      </c>
    </row>
    <row r="1475" spans="1:9" x14ac:dyDescent="0.35">
      <c r="A1475" t="s">
        <v>1499</v>
      </c>
      <c r="B1475" t="s">
        <v>56</v>
      </c>
      <c r="C1475" t="s">
        <v>38</v>
      </c>
      <c r="D1475">
        <v>473.91</v>
      </c>
      <c r="E1475" t="s">
        <v>22</v>
      </c>
      <c r="F1475">
        <v>828.94</v>
      </c>
      <c r="G1475">
        <f t="shared" si="25"/>
        <v>392842.95540000004</v>
      </c>
      <c r="H1475" t="str">
        <f>IF(BOQ_Table[[#This Row],[Amount]]&gt;100000,"Over Budget","OK")</f>
        <v>Over Budget</v>
      </c>
      <c r="I1475" t="str">
        <f>IF(OR(BOQ_Table[[#This Row],[Quantity]]="",BOQ_Table[[#This Row],[Rate]]=""),"Missing","OK")</f>
        <v>OK</v>
      </c>
    </row>
    <row r="1476" spans="1:9" x14ac:dyDescent="0.35">
      <c r="A1476" t="s">
        <v>1500</v>
      </c>
      <c r="B1476" t="s">
        <v>42</v>
      </c>
      <c r="C1476" t="s">
        <v>12</v>
      </c>
      <c r="D1476">
        <v>490.23</v>
      </c>
      <c r="E1476" t="s">
        <v>9</v>
      </c>
      <c r="F1476">
        <v>1868.97</v>
      </c>
      <c r="G1476">
        <f t="shared" si="25"/>
        <v>916225.16310000001</v>
      </c>
      <c r="H1476" t="str">
        <f>IF(BOQ_Table[[#This Row],[Amount]]&gt;100000,"Over Budget","OK")</f>
        <v>Over Budget</v>
      </c>
      <c r="I1476" t="str">
        <f>IF(OR(BOQ_Table[[#This Row],[Quantity]]="",BOQ_Table[[#This Row],[Rate]]=""),"Missing","OK")</f>
        <v>OK</v>
      </c>
    </row>
    <row r="1477" spans="1:9" x14ac:dyDescent="0.35">
      <c r="A1477" t="s">
        <v>1501</v>
      </c>
      <c r="B1477" t="s">
        <v>7</v>
      </c>
      <c r="C1477" t="s">
        <v>38</v>
      </c>
      <c r="D1477">
        <v>150.77000000000001</v>
      </c>
      <c r="E1477" t="s">
        <v>14</v>
      </c>
      <c r="F1477">
        <v>1773.44</v>
      </c>
      <c r="G1477">
        <f t="shared" si="25"/>
        <v>267381.54880000005</v>
      </c>
      <c r="H1477" t="str">
        <f>IF(BOQ_Table[[#This Row],[Amount]]&gt;100000,"Over Budget","OK")</f>
        <v>Over Budget</v>
      </c>
      <c r="I1477" t="str">
        <f>IF(OR(BOQ_Table[[#This Row],[Quantity]]="",BOQ_Table[[#This Row],[Rate]]=""),"Missing","OK")</f>
        <v>OK</v>
      </c>
    </row>
    <row r="1478" spans="1:9" x14ac:dyDescent="0.35">
      <c r="A1478" t="s">
        <v>1502</v>
      </c>
      <c r="B1478" t="s">
        <v>56</v>
      </c>
      <c r="C1478" t="s">
        <v>12</v>
      </c>
      <c r="D1478">
        <v>451.57</v>
      </c>
      <c r="E1478" t="s">
        <v>22</v>
      </c>
      <c r="F1478">
        <v>1382.47</v>
      </c>
      <c r="G1478">
        <f t="shared" si="25"/>
        <v>624281.97790000006</v>
      </c>
      <c r="H1478" t="str">
        <f>IF(BOQ_Table[[#This Row],[Amount]]&gt;100000,"Over Budget","OK")</f>
        <v>Over Budget</v>
      </c>
      <c r="I1478" t="str">
        <f>IF(OR(BOQ_Table[[#This Row],[Quantity]]="",BOQ_Table[[#This Row],[Rate]]=""),"Missing","OK")</f>
        <v>OK</v>
      </c>
    </row>
    <row r="1479" spans="1:9" x14ac:dyDescent="0.35">
      <c r="A1479" t="s">
        <v>1503</v>
      </c>
      <c r="B1479" t="s">
        <v>11</v>
      </c>
      <c r="C1479" t="s">
        <v>12</v>
      </c>
      <c r="D1479">
        <v>366.99</v>
      </c>
      <c r="E1479" t="s">
        <v>27</v>
      </c>
      <c r="F1479">
        <v>1969.98</v>
      </c>
      <c r="G1479">
        <f t="shared" si="25"/>
        <v>722962.96019999997</v>
      </c>
      <c r="H1479" t="str">
        <f>IF(BOQ_Table[[#This Row],[Amount]]&gt;100000,"Over Budget","OK")</f>
        <v>Over Budget</v>
      </c>
      <c r="I1479" t="str">
        <f>IF(OR(BOQ_Table[[#This Row],[Quantity]]="",BOQ_Table[[#This Row],[Rate]]=""),"Missing","OK")</f>
        <v>OK</v>
      </c>
    </row>
    <row r="1480" spans="1:9" x14ac:dyDescent="0.35">
      <c r="A1480" t="s">
        <v>1504</v>
      </c>
      <c r="B1480" t="s">
        <v>46</v>
      </c>
      <c r="C1480" t="s">
        <v>38</v>
      </c>
      <c r="D1480">
        <v>172.56</v>
      </c>
      <c r="E1480" t="s">
        <v>9</v>
      </c>
      <c r="F1480">
        <v>3539.14</v>
      </c>
      <c r="G1480">
        <f t="shared" si="25"/>
        <v>610713.99840000004</v>
      </c>
      <c r="H1480" t="str">
        <f>IF(BOQ_Table[[#This Row],[Amount]]&gt;100000,"Over Budget","OK")</f>
        <v>Over Budget</v>
      </c>
      <c r="I1480" t="str">
        <f>IF(OR(BOQ_Table[[#This Row],[Quantity]]="",BOQ_Table[[#This Row],[Rate]]=""),"Missing","OK")</f>
        <v>OK</v>
      </c>
    </row>
    <row r="1481" spans="1:9" x14ac:dyDescent="0.35">
      <c r="A1481" t="s">
        <v>1505</v>
      </c>
      <c r="B1481" t="s">
        <v>46</v>
      </c>
      <c r="C1481" t="s">
        <v>17</v>
      </c>
      <c r="D1481">
        <v>389.28</v>
      </c>
      <c r="E1481" t="s">
        <v>14</v>
      </c>
      <c r="F1481">
        <v>2669.21</v>
      </c>
      <c r="G1481">
        <f t="shared" si="25"/>
        <v>1039070.0687999999</v>
      </c>
      <c r="H1481" t="str">
        <f>IF(BOQ_Table[[#This Row],[Amount]]&gt;100000,"Over Budget","OK")</f>
        <v>Over Budget</v>
      </c>
      <c r="I1481" t="str">
        <f>IF(OR(BOQ_Table[[#This Row],[Quantity]]="",BOQ_Table[[#This Row],[Rate]]=""),"Missing","OK")</f>
        <v>OK</v>
      </c>
    </row>
    <row r="1482" spans="1:9" x14ac:dyDescent="0.35">
      <c r="A1482" t="s">
        <v>1506</v>
      </c>
      <c r="B1482" t="s">
        <v>32</v>
      </c>
      <c r="C1482" t="s">
        <v>38</v>
      </c>
      <c r="D1482">
        <v>332.65</v>
      </c>
      <c r="E1482" t="s">
        <v>18</v>
      </c>
      <c r="F1482">
        <v>995.23</v>
      </c>
      <c r="G1482">
        <f t="shared" si="25"/>
        <v>331063.25949999999</v>
      </c>
      <c r="H1482" t="str">
        <f>IF(BOQ_Table[[#This Row],[Amount]]&gt;100000,"Over Budget","OK")</f>
        <v>Over Budget</v>
      </c>
      <c r="I1482" t="str">
        <f>IF(OR(BOQ_Table[[#This Row],[Quantity]]="",BOQ_Table[[#This Row],[Rate]]=""),"Missing","OK")</f>
        <v>OK</v>
      </c>
    </row>
    <row r="1483" spans="1:9" x14ac:dyDescent="0.35">
      <c r="A1483" t="s">
        <v>1507</v>
      </c>
      <c r="B1483" t="s">
        <v>16</v>
      </c>
      <c r="C1483" t="s">
        <v>12</v>
      </c>
      <c r="D1483">
        <v>431.57</v>
      </c>
      <c r="E1483" t="s">
        <v>27</v>
      </c>
      <c r="F1483">
        <v>4546.37</v>
      </c>
      <c r="G1483">
        <f t="shared" si="25"/>
        <v>1962076.9009</v>
      </c>
      <c r="H1483" t="str">
        <f>IF(BOQ_Table[[#This Row],[Amount]]&gt;100000,"Over Budget","OK")</f>
        <v>Over Budget</v>
      </c>
      <c r="I1483" t="str">
        <f>IF(OR(BOQ_Table[[#This Row],[Quantity]]="",BOQ_Table[[#This Row],[Rate]]=""),"Missing","OK")</f>
        <v>OK</v>
      </c>
    </row>
    <row r="1484" spans="1:9" x14ac:dyDescent="0.35">
      <c r="A1484" t="s">
        <v>1508</v>
      </c>
      <c r="B1484" t="s">
        <v>30</v>
      </c>
      <c r="C1484" t="s">
        <v>12</v>
      </c>
      <c r="D1484">
        <v>185.68</v>
      </c>
      <c r="E1484" t="s">
        <v>18</v>
      </c>
      <c r="F1484">
        <v>401.43</v>
      </c>
      <c r="G1484">
        <f t="shared" si="25"/>
        <v>74537.522400000002</v>
      </c>
      <c r="H1484" t="str">
        <f>IF(BOQ_Table[[#This Row],[Amount]]&gt;100000,"Over Budget","OK")</f>
        <v>OK</v>
      </c>
      <c r="I1484" t="str">
        <f>IF(OR(BOQ_Table[[#This Row],[Quantity]]="",BOQ_Table[[#This Row],[Rate]]=""),"Missing","OK")</f>
        <v>OK</v>
      </c>
    </row>
    <row r="1485" spans="1:9" x14ac:dyDescent="0.35">
      <c r="A1485" t="s">
        <v>1509</v>
      </c>
      <c r="B1485" t="s">
        <v>7</v>
      </c>
      <c r="C1485" t="s">
        <v>38</v>
      </c>
      <c r="D1485">
        <v>8.8800000000000008</v>
      </c>
      <c r="E1485" t="s">
        <v>18</v>
      </c>
      <c r="F1485">
        <v>3583.14</v>
      </c>
      <c r="G1485">
        <f t="shared" si="25"/>
        <v>31818.283200000002</v>
      </c>
      <c r="H1485" t="str">
        <f>IF(BOQ_Table[[#This Row],[Amount]]&gt;100000,"Over Budget","OK")</f>
        <v>OK</v>
      </c>
      <c r="I1485" t="str">
        <f>IF(OR(BOQ_Table[[#This Row],[Quantity]]="",BOQ_Table[[#This Row],[Rate]]=""),"Missing","OK")</f>
        <v>OK</v>
      </c>
    </row>
    <row r="1486" spans="1:9" x14ac:dyDescent="0.35">
      <c r="A1486" t="s">
        <v>1510</v>
      </c>
      <c r="B1486" t="s">
        <v>40</v>
      </c>
      <c r="C1486" t="s">
        <v>12</v>
      </c>
      <c r="D1486">
        <v>36.299999999999997</v>
      </c>
      <c r="E1486" t="s">
        <v>14</v>
      </c>
      <c r="F1486">
        <v>4187.53</v>
      </c>
      <c r="G1486">
        <f t="shared" si="25"/>
        <v>152007.33899999998</v>
      </c>
      <c r="H1486" t="str">
        <f>IF(BOQ_Table[[#This Row],[Amount]]&gt;100000,"Over Budget","OK")</f>
        <v>Over Budget</v>
      </c>
      <c r="I1486" t="str">
        <f>IF(OR(BOQ_Table[[#This Row],[Quantity]]="",BOQ_Table[[#This Row],[Rate]]=""),"Missing","OK")</f>
        <v>OK</v>
      </c>
    </row>
    <row r="1487" spans="1:9" x14ac:dyDescent="0.35">
      <c r="A1487" t="s">
        <v>1511</v>
      </c>
      <c r="B1487" t="s">
        <v>30</v>
      </c>
      <c r="C1487" t="s">
        <v>12</v>
      </c>
      <c r="D1487">
        <v>381.06</v>
      </c>
      <c r="E1487" t="s">
        <v>27</v>
      </c>
      <c r="F1487">
        <v>4876.01</v>
      </c>
      <c r="G1487">
        <f t="shared" si="25"/>
        <v>1858052.3706</v>
      </c>
      <c r="H1487" t="str">
        <f>IF(BOQ_Table[[#This Row],[Amount]]&gt;100000,"Over Budget","OK")</f>
        <v>Over Budget</v>
      </c>
      <c r="I1487" t="str">
        <f>IF(OR(BOQ_Table[[#This Row],[Quantity]]="",BOQ_Table[[#This Row],[Rate]]=""),"Missing","OK")</f>
        <v>OK</v>
      </c>
    </row>
    <row r="1488" spans="1:9" x14ac:dyDescent="0.35">
      <c r="A1488" t="s">
        <v>1512</v>
      </c>
      <c r="B1488" t="s">
        <v>20</v>
      </c>
      <c r="C1488" t="s">
        <v>21</v>
      </c>
      <c r="D1488">
        <v>44.41</v>
      </c>
      <c r="E1488" t="s">
        <v>14</v>
      </c>
      <c r="F1488">
        <v>3249.32</v>
      </c>
      <c r="G1488">
        <f t="shared" si="25"/>
        <v>144302.30119999999</v>
      </c>
      <c r="H1488" t="str">
        <f>IF(BOQ_Table[[#This Row],[Amount]]&gt;100000,"Over Budget","OK")</f>
        <v>Over Budget</v>
      </c>
      <c r="I1488" t="str">
        <f>IF(OR(BOQ_Table[[#This Row],[Quantity]]="",BOQ_Table[[#This Row],[Rate]]=""),"Missing","OK")</f>
        <v>OK</v>
      </c>
    </row>
    <row r="1489" spans="1:9" x14ac:dyDescent="0.35">
      <c r="A1489" t="s">
        <v>1513</v>
      </c>
      <c r="B1489" t="s">
        <v>56</v>
      </c>
      <c r="C1489" t="s">
        <v>38</v>
      </c>
      <c r="D1489">
        <v>174</v>
      </c>
      <c r="E1489" t="s">
        <v>14</v>
      </c>
      <c r="F1489">
        <v>4091.58</v>
      </c>
      <c r="G1489">
        <f t="shared" si="25"/>
        <v>711934.92</v>
      </c>
      <c r="H1489" t="str">
        <f>IF(BOQ_Table[[#This Row],[Amount]]&gt;100000,"Over Budget","OK")</f>
        <v>Over Budget</v>
      </c>
      <c r="I1489" t="str">
        <f>IF(OR(BOQ_Table[[#This Row],[Quantity]]="",BOQ_Table[[#This Row],[Rate]]=""),"Missing","OK")</f>
        <v>OK</v>
      </c>
    </row>
    <row r="1490" spans="1:9" x14ac:dyDescent="0.35">
      <c r="A1490" t="s">
        <v>1514</v>
      </c>
      <c r="B1490" t="s">
        <v>11</v>
      </c>
      <c r="C1490" t="s">
        <v>12</v>
      </c>
      <c r="D1490">
        <v>115.37</v>
      </c>
      <c r="E1490" t="s">
        <v>9</v>
      </c>
      <c r="F1490">
        <v>4275.3500000000004</v>
      </c>
      <c r="G1490">
        <f t="shared" si="25"/>
        <v>493247.12950000004</v>
      </c>
      <c r="H1490" t="str">
        <f>IF(BOQ_Table[[#This Row],[Amount]]&gt;100000,"Over Budget","OK")</f>
        <v>Over Budget</v>
      </c>
      <c r="I1490" t="str">
        <f>IF(OR(BOQ_Table[[#This Row],[Quantity]]="",BOQ_Table[[#This Row],[Rate]]=""),"Missing","OK")</f>
        <v>OK</v>
      </c>
    </row>
    <row r="1491" spans="1:9" x14ac:dyDescent="0.35">
      <c r="A1491" t="s">
        <v>1515</v>
      </c>
      <c r="B1491" t="s">
        <v>30</v>
      </c>
      <c r="C1491" t="s">
        <v>21</v>
      </c>
      <c r="D1491">
        <v>95.36</v>
      </c>
      <c r="E1491" t="s">
        <v>22</v>
      </c>
      <c r="F1491">
        <v>4000.22</v>
      </c>
      <c r="G1491">
        <f t="shared" si="25"/>
        <v>381460.9792</v>
      </c>
      <c r="H1491" t="str">
        <f>IF(BOQ_Table[[#This Row],[Amount]]&gt;100000,"Over Budget","OK")</f>
        <v>Over Budget</v>
      </c>
      <c r="I1491" t="str">
        <f>IF(OR(BOQ_Table[[#This Row],[Quantity]]="",BOQ_Table[[#This Row],[Rate]]=""),"Missing","OK")</f>
        <v>OK</v>
      </c>
    </row>
    <row r="1492" spans="1:9" x14ac:dyDescent="0.35">
      <c r="A1492" t="s">
        <v>1516</v>
      </c>
      <c r="B1492" t="s">
        <v>11</v>
      </c>
      <c r="C1492" t="s">
        <v>8</v>
      </c>
      <c r="D1492">
        <v>55.13</v>
      </c>
      <c r="E1492" t="s">
        <v>14</v>
      </c>
      <c r="F1492">
        <v>1385.54</v>
      </c>
      <c r="G1492">
        <f t="shared" si="25"/>
        <v>76384.820200000002</v>
      </c>
      <c r="H1492" t="str">
        <f>IF(BOQ_Table[[#This Row],[Amount]]&gt;100000,"Over Budget","OK")</f>
        <v>OK</v>
      </c>
      <c r="I1492" t="str">
        <f>IF(OR(BOQ_Table[[#This Row],[Quantity]]="",BOQ_Table[[#This Row],[Rate]]=""),"Missing","OK")</f>
        <v>OK</v>
      </c>
    </row>
    <row r="1493" spans="1:9" x14ac:dyDescent="0.35">
      <c r="A1493" t="s">
        <v>1517</v>
      </c>
      <c r="B1493" t="s">
        <v>11</v>
      </c>
      <c r="C1493" t="s">
        <v>8</v>
      </c>
      <c r="D1493">
        <v>374.74</v>
      </c>
      <c r="E1493" t="s">
        <v>18</v>
      </c>
      <c r="F1493">
        <v>3534.15</v>
      </c>
      <c r="G1493">
        <f t="shared" si="25"/>
        <v>1324387.371</v>
      </c>
      <c r="H1493" t="str">
        <f>IF(BOQ_Table[[#This Row],[Amount]]&gt;100000,"Over Budget","OK")</f>
        <v>Over Budget</v>
      </c>
      <c r="I1493" t="str">
        <f>IF(OR(BOQ_Table[[#This Row],[Quantity]]="",BOQ_Table[[#This Row],[Rate]]=""),"Missing","OK")</f>
        <v>OK</v>
      </c>
    </row>
    <row r="1494" spans="1:9" x14ac:dyDescent="0.35">
      <c r="A1494" t="s">
        <v>1518</v>
      </c>
      <c r="B1494" t="s">
        <v>7</v>
      </c>
      <c r="C1494" t="s">
        <v>8</v>
      </c>
      <c r="D1494">
        <v>349.95</v>
      </c>
      <c r="E1494" t="s">
        <v>22</v>
      </c>
      <c r="F1494">
        <v>1638.4</v>
      </c>
      <c r="G1494">
        <f t="shared" si="25"/>
        <v>573358.07999999996</v>
      </c>
      <c r="H1494" t="str">
        <f>IF(BOQ_Table[[#This Row],[Amount]]&gt;100000,"Over Budget","OK")</f>
        <v>Over Budget</v>
      </c>
      <c r="I1494" t="str">
        <f>IF(OR(BOQ_Table[[#This Row],[Quantity]]="",BOQ_Table[[#This Row],[Rate]]=""),"Missing","OK")</f>
        <v>OK</v>
      </c>
    </row>
    <row r="1495" spans="1:9" x14ac:dyDescent="0.35">
      <c r="A1495" t="s">
        <v>1519</v>
      </c>
      <c r="B1495" t="s">
        <v>42</v>
      </c>
      <c r="C1495" t="s">
        <v>21</v>
      </c>
      <c r="D1495">
        <v>364.97</v>
      </c>
      <c r="E1495" t="s">
        <v>9</v>
      </c>
      <c r="F1495">
        <v>4420.38</v>
      </c>
      <c r="G1495">
        <f t="shared" si="25"/>
        <v>1613306.0886000001</v>
      </c>
      <c r="H1495" t="str">
        <f>IF(BOQ_Table[[#This Row],[Amount]]&gt;100000,"Over Budget","OK")</f>
        <v>Over Budget</v>
      </c>
      <c r="I1495" t="str">
        <f>IF(OR(BOQ_Table[[#This Row],[Quantity]]="",BOQ_Table[[#This Row],[Rate]]=""),"Missing","OK")</f>
        <v>OK</v>
      </c>
    </row>
    <row r="1496" spans="1:9" x14ac:dyDescent="0.35">
      <c r="A1496" t="s">
        <v>1520</v>
      </c>
      <c r="B1496" t="s">
        <v>16</v>
      </c>
      <c r="C1496" t="s">
        <v>12</v>
      </c>
      <c r="D1496">
        <v>206.97</v>
      </c>
      <c r="E1496" t="s">
        <v>22</v>
      </c>
      <c r="F1496">
        <v>4091.39</v>
      </c>
      <c r="G1496">
        <f t="shared" si="25"/>
        <v>846794.98829999997</v>
      </c>
      <c r="H1496" t="str">
        <f>IF(BOQ_Table[[#This Row],[Amount]]&gt;100000,"Over Budget","OK")</f>
        <v>Over Budget</v>
      </c>
      <c r="I1496" t="str">
        <f>IF(OR(BOQ_Table[[#This Row],[Quantity]]="",BOQ_Table[[#This Row],[Rate]]=""),"Missing","OK")</f>
        <v>OK</v>
      </c>
    </row>
    <row r="1497" spans="1:9" x14ac:dyDescent="0.35">
      <c r="A1497" t="s">
        <v>1521</v>
      </c>
      <c r="B1497" t="s">
        <v>32</v>
      </c>
      <c r="C1497" t="s">
        <v>12</v>
      </c>
      <c r="D1497">
        <v>390.29</v>
      </c>
      <c r="E1497" t="s">
        <v>22</v>
      </c>
      <c r="F1497">
        <v>4448.71</v>
      </c>
      <c r="G1497">
        <f t="shared" si="25"/>
        <v>1736287.0259</v>
      </c>
      <c r="H1497" t="str">
        <f>IF(BOQ_Table[[#This Row],[Amount]]&gt;100000,"Over Budget","OK")</f>
        <v>Over Budget</v>
      </c>
      <c r="I1497" t="str">
        <f>IF(OR(BOQ_Table[[#This Row],[Quantity]]="",BOQ_Table[[#This Row],[Rate]]=""),"Missing","OK")</f>
        <v>OK</v>
      </c>
    </row>
    <row r="1498" spans="1:9" x14ac:dyDescent="0.35">
      <c r="A1498" t="s">
        <v>1522</v>
      </c>
      <c r="B1498" t="s">
        <v>16</v>
      </c>
      <c r="C1498" t="s">
        <v>12</v>
      </c>
      <c r="D1498">
        <v>109.68</v>
      </c>
      <c r="E1498" t="s">
        <v>18</v>
      </c>
      <c r="F1498">
        <v>3700.26</v>
      </c>
      <c r="G1498">
        <f t="shared" si="25"/>
        <v>405844.51680000004</v>
      </c>
      <c r="H1498" t="str">
        <f>IF(BOQ_Table[[#This Row],[Amount]]&gt;100000,"Over Budget","OK")</f>
        <v>Over Budget</v>
      </c>
      <c r="I1498" t="str">
        <f>IF(OR(BOQ_Table[[#This Row],[Quantity]]="",BOQ_Table[[#This Row],[Rate]]=""),"Missing","OK")</f>
        <v>OK</v>
      </c>
    </row>
    <row r="1499" spans="1:9" x14ac:dyDescent="0.35">
      <c r="A1499" t="s">
        <v>1523</v>
      </c>
      <c r="B1499" t="s">
        <v>56</v>
      </c>
      <c r="C1499" t="s">
        <v>21</v>
      </c>
      <c r="D1499">
        <v>125.01</v>
      </c>
      <c r="E1499" t="s">
        <v>18</v>
      </c>
      <c r="F1499">
        <v>1488.79</v>
      </c>
      <c r="G1499">
        <f t="shared" si="25"/>
        <v>186113.6379</v>
      </c>
      <c r="H1499" t="str">
        <f>IF(BOQ_Table[[#This Row],[Amount]]&gt;100000,"Over Budget","OK")</f>
        <v>Over Budget</v>
      </c>
      <c r="I1499" t="str">
        <f>IF(OR(BOQ_Table[[#This Row],[Quantity]]="",BOQ_Table[[#This Row],[Rate]]=""),"Missing","OK")</f>
        <v>OK</v>
      </c>
    </row>
    <row r="1500" spans="1:9" x14ac:dyDescent="0.35">
      <c r="A1500" t="s">
        <v>1524</v>
      </c>
      <c r="B1500" t="s">
        <v>11</v>
      </c>
      <c r="C1500" t="s">
        <v>17</v>
      </c>
      <c r="D1500">
        <v>150.75</v>
      </c>
      <c r="E1500" t="s">
        <v>22</v>
      </c>
      <c r="F1500">
        <v>3742.88</v>
      </c>
      <c r="G1500">
        <f t="shared" si="25"/>
        <v>564239.16</v>
      </c>
      <c r="H1500" t="str">
        <f>IF(BOQ_Table[[#This Row],[Amount]]&gt;100000,"Over Budget","OK")</f>
        <v>Over Budget</v>
      </c>
      <c r="I1500" t="str">
        <f>IF(OR(BOQ_Table[[#This Row],[Quantity]]="",BOQ_Table[[#This Row],[Rate]]=""),"Missing","OK")</f>
        <v>OK</v>
      </c>
    </row>
    <row r="1501" spans="1:9" x14ac:dyDescent="0.35">
      <c r="A1501" t="s">
        <v>1525</v>
      </c>
      <c r="B1501" t="s">
        <v>7</v>
      </c>
      <c r="C1501" t="s">
        <v>38</v>
      </c>
      <c r="D1501">
        <v>108.75</v>
      </c>
      <c r="E1501" t="s">
        <v>9</v>
      </c>
      <c r="F1501">
        <v>4934.32</v>
      </c>
      <c r="G1501">
        <f t="shared" si="25"/>
        <v>536607.29999999993</v>
      </c>
      <c r="H1501" t="str">
        <f>IF(BOQ_Table[[#This Row],[Amount]]&gt;100000,"Over Budget","OK")</f>
        <v>Over Budget</v>
      </c>
      <c r="I1501" t="str">
        <f>IF(OR(BOQ_Table[[#This Row],[Quantity]]="",BOQ_Table[[#This Row],[Rate]]=""),"Missing","OK")</f>
        <v>OK</v>
      </c>
    </row>
    <row r="1502" spans="1:9" x14ac:dyDescent="0.35">
      <c r="A1502" t="s">
        <v>1526</v>
      </c>
      <c r="B1502" t="s">
        <v>20</v>
      </c>
      <c r="C1502" t="s">
        <v>21</v>
      </c>
      <c r="D1502">
        <v>344.81</v>
      </c>
      <c r="E1502" t="s">
        <v>27</v>
      </c>
      <c r="F1502">
        <v>4051.14</v>
      </c>
      <c r="G1502">
        <f t="shared" si="25"/>
        <v>1396873.5833999999</v>
      </c>
      <c r="H1502" t="str">
        <f>IF(BOQ_Table[[#This Row],[Amount]]&gt;100000,"Over Budget","OK")</f>
        <v>Over Budget</v>
      </c>
      <c r="I1502" t="str">
        <f>IF(OR(BOQ_Table[[#This Row],[Quantity]]="",BOQ_Table[[#This Row],[Rate]]=""),"Missing","OK")</f>
        <v>OK</v>
      </c>
    </row>
    <row r="1503" spans="1:9" x14ac:dyDescent="0.35">
      <c r="A1503" t="s">
        <v>1527</v>
      </c>
      <c r="B1503" t="s">
        <v>16</v>
      </c>
      <c r="C1503" t="s">
        <v>8</v>
      </c>
      <c r="D1503">
        <v>150.26</v>
      </c>
      <c r="E1503" t="s">
        <v>22</v>
      </c>
      <c r="F1503">
        <v>4232.93</v>
      </c>
      <c r="G1503">
        <f t="shared" si="25"/>
        <v>636040.06180000002</v>
      </c>
      <c r="H1503" t="str">
        <f>IF(BOQ_Table[[#This Row],[Amount]]&gt;100000,"Over Budget","OK")</f>
        <v>Over Budget</v>
      </c>
      <c r="I1503" t="str">
        <f>IF(OR(BOQ_Table[[#This Row],[Quantity]]="",BOQ_Table[[#This Row],[Rate]]=""),"Missing","OK")</f>
        <v>OK</v>
      </c>
    </row>
    <row r="1504" spans="1:9" x14ac:dyDescent="0.35">
      <c r="A1504" t="s">
        <v>1528</v>
      </c>
      <c r="B1504" t="s">
        <v>11</v>
      </c>
      <c r="C1504" t="s">
        <v>17</v>
      </c>
      <c r="D1504">
        <v>466.44</v>
      </c>
      <c r="E1504" t="s">
        <v>22</v>
      </c>
      <c r="F1504">
        <v>1654.63</v>
      </c>
      <c r="G1504">
        <f t="shared" si="25"/>
        <v>771785.6172000001</v>
      </c>
      <c r="H1504" t="str">
        <f>IF(BOQ_Table[[#This Row],[Amount]]&gt;100000,"Over Budget","OK")</f>
        <v>Over Budget</v>
      </c>
      <c r="I1504" t="str">
        <f>IF(OR(BOQ_Table[[#This Row],[Quantity]]="",BOQ_Table[[#This Row],[Rate]]=""),"Missing","OK")</f>
        <v>OK</v>
      </c>
    </row>
    <row r="1505" spans="1:9" x14ac:dyDescent="0.35">
      <c r="A1505" t="s">
        <v>1529</v>
      </c>
      <c r="B1505" t="s">
        <v>20</v>
      </c>
      <c r="C1505" t="s">
        <v>17</v>
      </c>
      <c r="D1505">
        <v>404.64</v>
      </c>
      <c r="E1505" t="s">
        <v>9</v>
      </c>
      <c r="F1505">
        <v>3097.82</v>
      </c>
      <c r="G1505">
        <f t="shared" si="25"/>
        <v>1253501.8848000001</v>
      </c>
      <c r="H1505" t="str">
        <f>IF(BOQ_Table[[#This Row],[Amount]]&gt;100000,"Over Budget","OK")</f>
        <v>Over Budget</v>
      </c>
      <c r="I1505" t="str">
        <f>IF(OR(BOQ_Table[[#This Row],[Quantity]]="",BOQ_Table[[#This Row],[Rate]]=""),"Missing","OK")</f>
        <v>OK</v>
      </c>
    </row>
    <row r="1506" spans="1:9" x14ac:dyDescent="0.35">
      <c r="A1506" t="s">
        <v>1530</v>
      </c>
      <c r="B1506" t="s">
        <v>20</v>
      </c>
      <c r="C1506" t="s">
        <v>8</v>
      </c>
      <c r="D1506">
        <v>2.61</v>
      </c>
      <c r="E1506" t="s">
        <v>18</v>
      </c>
      <c r="F1506">
        <v>980.55</v>
      </c>
      <c r="G1506">
        <f t="shared" si="25"/>
        <v>2559.2354999999998</v>
      </c>
      <c r="H1506" t="str">
        <f>IF(BOQ_Table[[#This Row],[Amount]]&gt;100000,"Over Budget","OK")</f>
        <v>OK</v>
      </c>
      <c r="I1506" t="str">
        <f>IF(OR(BOQ_Table[[#This Row],[Quantity]]="",BOQ_Table[[#This Row],[Rate]]=""),"Missing","OK")</f>
        <v>OK</v>
      </c>
    </row>
    <row r="1507" spans="1:9" x14ac:dyDescent="0.35">
      <c r="A1507" t="s">
        <v>1531</v>
      </c>
      <c r="B1507" t="s">
        <v>46</v>
      </c>
      <c r="C1507" t="s">
        <v>8</v>
      </c>
      <c r="D1507">
        <v>263.2</v>
      </c>
      <c r="E1507" t="s">
        <v>14</v>
      </c>
      <c r="F1507">
        <v>1390.37</v>
      </c>
      <c r="G1507">
        <f t="shared" si="25"/>
        <v>365945.38399999996</v>
      </c>
      <c r="H1507" t="str">
        <f>IF(BOQ_Table[[#This Row],[Amount]]&gt;100000,"Over Budget","OK")</f>
        <v>Over Budget</v>
      </c>
      <c r="I1507" t="str">
        <f>IF(OR(BOQ_Table[[#This Row],[Quantity]]="",BOQ_Table[[#This Row],[Rate]]=""),"Missing","OK")</f>
        <v>OK</v>
      </c>
    </row>
    <row r="1508" spans="1:9" x14ac:dyDescent="0.35">
      <c r="A1508" t="s">
        <v>1532</v>
      </c>
      <c r="B1508" t="s">
        <v>7</v>
      </c>
      <c r="C1508" t="s">
        <v>21</v>
      </c>
      <c r="D1508">
        <v>80.709999999999994</v>
      </c>
      <c r="E1508" t="s">
        <v>18</v>
      </c>
      <c r="F1508">
        <v>965.21</v>
      </c>
      <c r="G1508">
        <f t="shared" si="25"/>
        <v>77902.099099999992</v>
      </c>
      <c r="H1508" t="str">
        <f>IF(BOQ_Table[[#This Row],[Amount]]&gt;100000,"Over Budget","OK")</f>
        <v>OK</v>
      </c>
      <c r="I1508" t="str">
        <f>IF(OR(BOQ_Table[[#This Row],[Quantity]]="",BOQ_Table[[#This Row],[Rate]]=""),"Missing","OK")</f>
        <v>OK</v>
      </c>
    </row>
    <row r="1509" spans="1:9" x14ac:dyDescent="0.35">
      <c r="A1509" t="s">
        <v>1533</v>
      </c>
      <c r="B1509" t="s">
        <v>30</v>
      </c>
      <c r="C1509" t="s">
        <v>12</v>
      </c>
      <c r="D1509">
        <v>489.92</v>
      </c>
      <c r="E1509" t="s">
        <v>22</v>
      </c>
      <c r="F1509">
        <v>839.63</v>
      </c>
      <c r="G1509">
        <f t="shared" si="25"/>
        <v>411351.52960000001</v>
      </c>
      <c r="H1509" t="str">
        <f>IF(BOQ_Table[[#This Row],[Amount]]&gt;100000,"Over Budget","OK")</f>
        <v>Over Budget</v>
      </c>
      <c r="I1509" t="str">
        <f>IF(OR(BOQ_Table[[#This Row],[Quantity]]="",BOQ_Table[[#This Row],[Rate]]=""),"Missing","OK")</f>
        <v>OK</v>
      </c>
    </row>
    <row r="1510" spans="1:9" x14ac:dyDescent="0.35">
      <c r="A1510" t="s">
        <v>1534</v>
      </c>
      <c r="B1510" t="s">
        <v>46</v>
      </c>
      <c r="C1510" t="s">
        <v>12</v>
      </c>
      <c r="D1510">
        <v>59.63</v>
      </c>
      <c r="E1510" t="s">
        <v>22</v>
      </c>
      <c r="F1510">
        <v>4491.18</v>
      </c>
      <c r="G1510">
        <f t="shared" si="25"/>
        <v>267809.06340000004</v>
      </c>
      <c r="H1510" t="str">
        <f>IF(BOQ_Table[[#This Row],[Amount]]&gt;100000,"Over Budget","OK")</f>
        <v>Over Budget</v>
      </c>
      <c r="I1510" t="str">
        <f>IF(OR(BOQ_Table[[#This Row],[Quantity]]="",BOQ_Table[[#This Row],[Rate]]=""),"Missing","OK")</f>
        <v>OK</v>
      </c>
    </row>
    <row r="1511" spans="1:9" x14ac:dyDescent="0.35">
      <c r="A1511" t="s">
        <v>1535</v>
      </c>
      <c r="B1511" t="s">
        <v>20</v>
      </c>
      <c r="C1511" t="s">
        <v>12</v>
      </c>
      <c r="D1511">
        <v>461.66</v>
      </c>
      <c r="E1511" t="s">
        <v>9</v>
      </c>
      <c r="F1511">
        <v>4298.72</v>
      </c>
      <c r="G1511">
        <f t="shared" si="25"/>
        <v>1984547.0752000003</v>
      </c>
      <c r="H1511" t="str">
        <f>IF(BOQ_Table[[#This Row],[Amount]]&gt;100000,"Over Budget","OK")</f>
        <v>Over Budget</v>
      </c>
      <c r="I1511" t="str">
        <f>IF(OR(BOQ_Table[[#This Row],[Quantity]]="",BOQ_Table[[#This Row],[Rate]]=""),"Missing","OK")</f>
        <v>OK</v>
      </c>
    </row>
    <row r="1512" spans="1:9" x14ac:dyDescent="0.35">
      <c r="A1512" t="s">
        <v>1536</v>
      </c>
      <c r="B1512" t="s">
        <v>16</v>
      </c>
      <c r="C1512" t="s">
        <v>12</v>
      </c>
      <c r="D1512">
        <v>225.42</v>
      </c>
      <c r="E1512" t="s">
        <v>18</v>
      </c>
      <c r="F1512">
        <v>2043.01</v>
      </c>
      <c r="G1512">
        <f t="shared" si="25"/>
        <v>460535.31419999996</v>
      </c>
      <c r="H1512" t="str">
        <f>IF(BOQ_Table[[#This Row],[Amount]]&gt;100000,"Over Budget","OK")</f>
        <v>Over Budget</v>
      </c>
      <c r="I1512" t="str">
        <f>IF(OR(BOQ_Table[[#This Row],[Quantity]]="",BOQ_Table[[#This Row],[Rate]]=""),"Missing","OK")</f>
        <v>OK</v>
      </c>
    </row>
    <row r="1513" spans="1:9" x14ac:dyDescent="0.35">
      <c r="A1513" t="s">
        <v>1537</v>
      </c>
      <c r="B1513" t="s">
        <v>56</v>
      </c>
      <c r="C1513" t="s">
        <v>38</v>
      </c>
      <c r="D1513">
        <v>398.3</v>
      </c>
      <c r="E1513" t="s">
        <v>18</v>
      </c>
      <c r="F1513">
        <v>2570.25</v>
      </c>
      <c r="G1513">
        <f t="shared" si="25"/>
        <v>1023730.5750000001</v>
      </c>
      <c r="H1513" t="str">
        <f>IF(BOQ_Table[[#This Row],[Amount]]&gt;100000,"Over Budget","OK")</f>
        <v>Over Budget</v>
      </c>
      <c r="I1513" t="str">
        <f>IF(OR(BOQ_Table[[#This Row],[Quantity]]="",BOQ_Table[[#This Row],[Rate]]=""),"Missing","OK")</f>
        <v>OK</v>
      </c>
    </row>
    <row r="1514" spans="1:9" x14ac:dyDescent="0.35">
      <c r="A1514" t="s">
        <v>1538</v>
      </c>
      <c r="B1514" t="s">
        <v>46</v>
      </c>
      <c r="C1514" t="s">
        <v>17</v>
      </c>
      <c r="D1514">
        <v>477.99</v>
      </c>
      <c r="E1514" t="s">
        <v>18</v>
      </c>
      <c r="F1514">
        <v>3910.03</v>
      </c>
      <c r="G1514">
        <f t="shared" si="25"/>
        <v>1868955.2397</v>
      </c>
      <c r="H1514" t="str">
        <f>IF(BOQ_Table[[#This Row],[Amount]]&gt;100000,"Over Budget","OK")</f>
        <v>Over Budget</v>
      </c>
      <c r="I1514" t="str">
        <f>IF(OR(BOQ_Table[[#This Row],[Quantity]]="",BOQ_Table[[#This Row],[Rate]]=""),"Missing","OK")</f>
        <v>OK</v>
      </c>
    </row>
    <row r="1515" spans="1:9" x14ac:dyDescent="0.35">
      <c r="A1515" t="s">
        <v>1539</v>
      </c>
      <c r="B1515" t="s">
        <v>40</v>
      </c>
      <c r="C1515" t="s">
        <v>38</v>
      </c>
      <c r="D1515">
        <v>472.3</v>
      </c>
      <c r="E1515" t="s">
        <v>18</v>
      </c>
      <c r="F1515">
        <v>1939.68</v>
      </c>
      <c r="G1515">
        <f t="shared" si="25"/>
        <v>916110.86400000006</v>
      </c>
      <c r="H1515" t="str">
        <f>IF(BOQ_Table[[#This Row],[Amount]]&gt;100000,"Over Budget","OK")</f>
        <v>Over Budget</v>
      </c>
      <c r="I1515" t="str">
        <f>IF(OR(BOQ_Table[[#This Row],[Quantity]]="",BOQ_Table[[#This Row],[Rate]]=""),"Missing","OK")</f>
        <v>OK</v>
      </c>
    </row>
    <row r="1516" spans="1:9" x14ac:dyDescent="0.35">
      <c r="A1516" t="s">
        <v>1540</v>
      </c>
      <c r="B1516" t="s">
        <v>16</v>
      </c>
      <c r="C1516" t="s">
        <v>17</v>
      </c>
      <c r="D1516">
        <v>224.11</v>
      </c>
      <c r="E1516" t="s">
        <v>14</v>
      </c>
      <c r="F1516">
        <v>3924.45</v>
      </c>
      <c r="G1516">
        <f t="shared" si="25"/>
        <v>879508.48950000003</v>
      </c>
      <c r="H1516" t="str">
        <f>IF(BOQ_Table[[#This Row],[Amount]]&gt;100000,"Over Budget","OK")</f>
        <v>Over Budget</v>
      </c>
      <c r="I1516" t="str">
        <f>IF(OR(BOQ_Table[[#This Row],[Quantity]]="",BOQ_Table[[#This Row],[Rate]]=""),"Missing","OK")</f>
        <v>OK</v>
      </c>
    </row>
    <row r="1517" spans="1:9" x14ac:dyDescent="0.35">
      <c r="A1517" t="s">
        <v>1541</v>
      </c>
      <c r="B1517" t="s">
        <v>20</v>
      </c>
      <c r="C1517" t="s">
        <v>17</v>
      </c>
      <c r="D1517">
        <v>380.34</v>
      </c>
      <c r="E1517" t="s">
        <v>9</v>
      </c>
      <c r="F1517">
        <v>2029.5</v>
      </c>
      <c r="G1517">
        <f t="shared" si="25"/>
        <v>771900.02999999991</v>
      </c>
      <c r="H1517" t="str">
        <f>IF(BOQ_Table[[#This Row],[Amount]]&gt;100000,"Over Budget","OK")</f>
        <v>Over Budget</v>
      </c>
      <c r="I1517" t="str">
        <f>IF(OR(BOQ_Table[[#This Row],[Quantity]]="",BOQ_Table[[#This Row],[Rate]]=""),"Missing","OK")</f>
        <v>OK</v>
      </c>
    </row>
    <row r="1518" spans="1:9" x14ac:dyDescent="0.35">
      <c r="A1518" t="s">
        <v>1542</v>
      </c>
      <c r="B1518" t="s">
        <v>20</v>
      </c>
      <c r="C1518" t="s">
        <v>21</v>
      </c>
      <c r="D1518">
        <v>175.63</v>
      </c>
      <c r="E1518" t="s">
        <v>27</v>
      </c>
      <c r="F1518">
        <v>1960.67</v>
      </c>
      <c r="G1518">
        <f t="shared" si="25"/>
        <v>344352.47210000001</v>
      </c>
      <c r="H1518" t="str">
        <f>IF(BOQ_Table[[#This Row],[Amount]]&gt;100000,"Over Budget","OK")</f>
        <v>Over Budget</v>
      </c>
      <c r="I1518" t="str">
        <f>IF(OR(BOQ_Table[[#This Row],[Quantity]]="",BOQ_Table[[#This Row],[Rate]]=""),"Missing","OK")</f>
        <v>OK</v>
      </c>
    </row>
    <row r="1519" spans="1:9" x14ac:dyDescent="0.35">
      <c r="A1519" t="s">
        <v>1543</v>
      </c>
      <c r="B1519" t="s">
        <v>30</v>
      </c>
      <c r="C1519" t="s">
        <v>38</v>
      </c>
      <c r="D1519">
        <v>480.78</v>
      </c>
      <c r="E1519" t="s">
        <v>9</v>
      </c>
      <c r="F1519">
        <v>4535.9399999999996</v>
      </c>
      <c r="G1519">
        <f t="shared" si="25"/>
        <v>2180789.2331999997</v>
      </c>
      <c r="H1519" t="str">
        <f>IF(BOQ_Table[[#This Row],[Amount]]&gt;100000,"Over Budget","OK")</f>
        <v>Over Budget</v>
      </c>
      <c r="I1519" t="str">
        <f>IF(OR(BOQ_Table[[#This Row],[Quantity]]="",BOQ_Table[[#This Row],[Rate]]=""),"Missing","OK")</f>
        <v>OK</v>
      </c>
    </row>
    <row r="1520" spans="1:9" x14ac:dyDescent="0.35">
      <c r="A1520" t="s">
        <v>1544</v>
      </c>
      <c r="B1520" t="s">
        <v>46</v>
      </c>
      <c r="C1520" t="s">
        <v>38</v>
      </c>
      <c r="D1520">
        <v>302.70999999999998</v>
      </c>
      <c r="E1520" t="s">
        <v>27</v>
      </c>
      <c r="F1520">
        <v>4980.83</v>
      </c>
      <c r="G1520">
        <f t="shared" si="25"/>
        <v>1507747.0492999998</v>
      </c>
      <c r="H1520" t="str">
        <f>IF(BOQ_Table[[#This Row],[Amount]]&gt;100000,"Over Budget","OK")</f>
        <v>Over Budget</v>
      </c>
      <c r="I1520" t="str">
        <f>IF(OR(BOQ_Table[[#This Row],[Quantity]]="",BOQ_Table[[#This Row],[Rate]]=""),"Missing","OK")</f>
        <v>OK</v>
      </c>
    </row>
    <row r="1521" spans="1:9" x14ac:dyDescent="0.35">
      <c r="A1521" t="s">
        <v>1545</v>
      </c>
      <c r="B1521" t="s">
        <v>11</v>
      </c>
      <c r="C1521" t="s">
        <v>12</v>
      </c>
      <c r="D1521">
        <v>325.45</v>
      </c>
      <c r="E1521" t="s">
        <v>22</v>
      </c>
      <c r="F1521">
        <v>2448.29</v>
      </c>
      <c r="G1521">
        <f t="shared" si="25"/>
        <v>796795.98049999995</v>
      </c>
      <c r="H1521" t="str">
        <f>IF(BOQ_Table[[#This Row],[Amount]]&gt;100000,"Over Budget","OK")</f>
        <v>Over Budget</v>
      </c>
      <c r="I1521" t="str">
        <f>IF(OR(BOQ_Table[[#This Row],[Quantity]]="",BOQ_Table[[#This Row],[Rate]]=""),"Missing","OK")</f>
        <v>OK</v>
      </c>
    </row>
    <row r="1522" spans="1:9" x14ac:dyDescent="0.35">
      <c r="A1522" t="s">
        <v>1546</v>
      </c>
      <c r="B1522" t="s">
        <v>40</v>
      </c>
      <c r="C1522" t="s">
        <v>12</v>
      </c>
      <c r="D1522">
        <v>473.3</v>
      </c>
      <c r="E1522" t="s">
        <v>9</v>
      </c>
      <c r="F1522">
        <v>287.95</v>
      </c>
      <c r="G1522">
        <f t="shared" si="25"/>
        <v>136286.73499999999</v>
      </c>
      <c r="H1522" t="str">
        <f>IF(BOQ_Table[[#This Row],[Amount]]&gt;100000,"Over Budget","OK")</f>
        <v>Over Budget</v>
      </c>
      <c r="I1522" t="str">
        <f>IF(OR(BOQ_Table[[#This Row],[Quantity]]="",BOQ_Table[[#This Row],[Rate]]=""),"Missing","OK")</f>
        <v>OK</v>
      </c>
    </row>
    <row r="1523" spans="1:9" x14ac:dyDescent="0.35">
      <c r="A1523" t="s">
        <v>1547</v>
      </c>
      <c r="B1523" t="s">
        <v>56</v>
      </c>
      <c r="C1523" t="s">
        <v>21</v>
      </c>
      <c r="D1523">
        <v>390.19</v>
      </c>
      <c r="E1523" t="s">
        <v>9</v>
      </c>
      <c r="F1523">
        <v>2217.87</v>
      </c>
      <c r="G1523">
        <f t="shared" si="25"/>
        <v>865390.6952999999</v>
      </c>
      <c r="H1523" t="str">
        <f>IF(BOQ_Table[[#This Row],[Amount]]&gt;100000,"Over Budget","OK")</f>
        <v>Over Budget</v>
      </c>
      <c r="I1523" t="str">
        <f>IF(OR(BOQ_Table[[#This Row],[Quantity]]="",BOQ_Table[[#This Row],[Rate]]=""),"Missing","OK")</f>
        <v>OK</v>
      </c>
    </row>
    <row r="1524" spans="1:9" x14ac:dyDescent="0.35">
      <c r="A1524" t="s">
        <v>1548</v>
      </c>
      <c r="B1524" t="s">
        <v>46</v>
      </c>
      <c r="C1524" t="s">
        <v>12</v>
      </c>
      <c r="D1524">
        <v>264.23</v>
      </c>
      <c r="E1524" t="s">
        <v>14</v>
      </c>
      <c r="F1524">
        <v>3776.9</v>
      </c>
      <c r="G1524">
        <f t="shared" si="25"/>
        <v>997970.28700000013</v>
      </c>
      <c r="H1524" t="str">
        <f>IF(BOQ_Table[[#This Row],[Amount]]&gt;100000,"Over Budget","OK")</f>
        <v>Over Budget</v>
      </c>
      <c r="I1524" t="str">
        <f>IF(OR(BOQ_Table[[#This Row],[Quantity]]="",BOQ_Table[[#This Row],[Rate]]=""),"Missing","OK")</f>
        <v>OK</v>
      </c>
    </row>
    <row r="1525" spans="1:9" x14ac:dyDescent="0.35">
      <c r="A1525" t="s">
        <v>1549</v>
      </c>
      <c r="B1525" t="s">
        <v>46</v>
      </c>
      <c r="C1525" t="s">
        <v>17</v>
      </c>
      <c r="D1525">
        <v>170.85</v>
      </c>
      <c r="E1525" t="s">
        <v>27</v>
      </c>
      <c r="F1525">
        <v>176.64</v>
      </c>
      <c r="G1525">
        <f t="shared" si="25"/>
        <v>30178.943999999996</v>
      </c>
      <c r="H1525" t="str">
        <f>IF(BOQ_Table[[#This Row],[Amount]]&gt;100000,"Over Budget","OK")</f>
        <v>OK</v>
      </c>
      <c r="I1525" t="str">
        <f>IF(OR(BOQ_Table[[#This Row],[Quantity]]="",BOQ_Table[[#This Row],[Rate]]=""),"Missing","OK")</f>
        <v>OK</v>
      </c>
    </row>
    <row r="1526" spans="1:9" x14ac:dyDescent="0.35">
      <c r="A1526" t="s">
        <v>1550</v>
      </c>
      <c r="B1526" t="s">
        <v>7</v>
      </c>
      <c r="C1526" t="s">
        <v>21</v>
      </c>
      <c r="D1526">
        <v>218.31</v>
      </c>
      <c r="E1526" t="s">
        <v>9</v>
      </c>
      <c r="F1526">
        <v>2060.8000000000002</v>
      </c>
      <c r="G1526">
        <f t="shared" si="25"/>
        <v>449893.24800000002</v>
      </c>
      <c r="H1526" t="str">
        <f>IF(BOQ_Table[[#This Row],[Amount]]&gt;100000,"Over Budget","OK")</f>
        <v>Over Budget</v>
      </c>
      <c r="I1526" t="str">
        <f>IF(OR(BOQ_Table[[#This Row],[Quantity]]="",BOQ_Table[[#This Row],[Rate]]=""),"Missing","OK")</f>
        <v>OK</v>
      </c>
    </row>
    <row r="1527" spans="1:9" x14ac:dyDescent="0.35">
      <c r="A1527" t="s">
        <v>1551</v>
      </c>
      <c r="B1527" t="s">
        <v>16</v>
      </c>
      <c r="C1527" t="s">
        <v>21</v>
      </c>
      <c r="D1527">
        <v>9.89</v>
      </c>
      <c r="E1527" t="s">
        <v>18</v>
      </c>
      <c r="F1527">
        <v>202.58</v>
      </c>
      <c r="G1527">
        <f t="shared" si="25"/>
        <v>2003.5162000000003</v>
      </c>
      <c r="H1527" t="str">
        <f>IF(BOQ_Table[[#This Row],[Amount]]&gt;100000,"Over Budget","OK")</f>
        <v>OK</v>
      </c>
      <c r="I1527" t="str">
        <f>IF(OR(BOQ_Table[[#This Row],[Quantity]]="",BOQ_Table[[#This Row],[Rate]]=""),"Missing","OK")</f>
        <v>OK</v>
      </c>
    </row>
    <row r="1528" spans="1:9" x14ac:dyDescent="0.35">
      <c r="A1528" t="s">
        <v>1552</v>
      </c>
      <c r="B1528" t="s">
        <v>7</v>
      </c>
      <c r="C1528" t="s">
        <v>17</v>
      </c>
      <c r="D1528">
        <v>29.72</v>
      </c>
      <c r="E1528" t="s">
        <v>22</v>
      </c>
      <c r="F1528">
        <v>540.25</v>
      </c>
      <c r="G1528">
        <f t="shared" si="25"/>
        <v>16056.23</v>
      </c>
      <c r="H1528" t="str">
        <f>IF(BOQ_Table[[#This Row],[Amount]]&gt;100000,"Over Budget","OK")</f>
        <v>OK</v>
      </c>
      <c r="I1528" t="str">
        <f>IF(OR(BOQ_Table[[#This Row],[Quantity]]="",BOQ_Table[[#This Row],[Rate]]=""),"Missing","OK")</f>
        <v>OK</v>
      </c>
    </row>
    <row r="1529" spans="1:9" x14ac:dyDescent="0.35">
      <c r="A1529" t="s">
        <v>1553</v>
      </c>
      <c r="B1529" t="s">
        <v>7</v>
      </c>
      <c r="C1529" t="s">
        <v>38</v>
      </c>
      <c r="D1529">
        <v>29.65</v>
      </c>
      <c r="E1529" t="s">
        <v>27</v>
      </c>
      <c r="F1529">
        <v>432.72</v>
      </c>
      <c r="G1529">
        <f t="shared" si="25"/>
        <v>12830.148000000001</v>
      </c>
      <c r="H1529" t="str">
        <f>IF(BOQ_Table[[#This Row],[Amount]]&gt;100000,"Over Budget","OK")</f>
        <v>OK</v>
      </c>
      <c r="I1529" t="str">
        <f>IF(OR(BOQ_Table[[#This Row],[Quantity]]="",BOQ_Table[[#This Row],[Rate]]=""),"Missing","OK")</f>
        <v>OK</v>
      </c>
    </row>
    <row r="1530" spans="1:9" x14ac:dyDescent="0.35">
      <c r="A1530" t="s">
        <v>1554</v>
      </c>
      <c r="B1530" t="s">
        <v>42</v>
      </c>
      <c r="C1530" t="s">
        <v>17</v>
      </c>
      <c r="D1530">
        <v>291.73</v>
      </c>
      <c r="E1530" t="s">
        <v>9</v>
      </c>
      <c r="F1530">
        <v>3723.71</v>
      </c>
      <c r="G1530">
        <f t="shared" si="25"/>
        <v>1086317.9183</v>
      </c>
      <c r="H1530" t="str">
        <f>IF(BOQ_Table[[#This Row],[Amount]]&gt;100000,"Over Budget","OK")</f>
        <v>Over Budget</v>
      </c>
      <c r="I1530" t="str">
        <f>IF(OR(BOQ_Table[[#This Row],[Quantity]]="",BOQ_Table[[#This Row],[Rate]]=""),"Missing","OK")</f>
        <v>OK</v>
      </c>
    </row>
    <row r="1531" spans="1:9" x14ac:dyDescent="0.35">
      <c r="A1531" t="s">
        <v>1555</v>
      </c>
      <c r="B1531" t="s">
        <v>11</v>
      </c>
      <c r="C1531" t="s">
        <v>21</v>
      </c>
      <c r="D1531">
        <v>65.959999999999994</v>
      </c>
      <c r="E1531" t="s">
        <v>22</v>
      </c>
      <c r="F1531">
        <v>2915.57</v>
      </c>
      <c r="G1531">
        <f t="shared" si="25"/>
        <v>192310.99719999998</v>
      </c>
      <c r="H1531" t="str">
        <f>IF(BOQ_Table[[#This Row],[Amount]]&gt;100000,"Over Budget","OK")</f>
        <v>Over Budget</v>
      </c>
      <c r="I1531" t="str">
        <f>IF(OR(BOQ_Table[[#This Row],[Quantity]]="",BOQ_Table[[#This Row],[Rate]]=""),"Missing","OK")</f>
        <v>OK</v>
      </c>
    </row>
    <row r="1532" spans="1:9" x14ac:dyDescent="0.35">
      <c r="A1532" t="s">
        <v>1556</v>
      </c>
      <c r="B1532" t="s">
        <v>7</v>
      </c>
      <c r="C1532" t="s">
        <v>21</v>
      </c>
      <c r="D1532">
        <v>381.53</v>
      </c>
      <c r="E1532" t="s">
        <v>27</v>
      </c>
      <c r="F1532">
        <v>209.28</v>
      </c>
      <c r="G1532">
        <f t="shared" si="25"/>
        <v>79846.598399999988</v>
      </c>
      <c r="H1532" t="str">
        <f>IF(BOQ_Table[[#This Row],[Amount]]&gt;100000,"Over Budget","OK")</f>
        <v>OK</v>
      </c>
      <c r="I1532" t="str">
        <f>IF(OR(BOQ_Table[[#This Row],[Quantity]]="",BOQ_Table[[#This Row],[Rate]]=""),"Missing","OK")</f>
        <v>OK</v>
      </c>
    </row>
    <row r="1533" spans="1:9" x14ac:dyDescent="0.35">
      <c r="A1533" t="s">
        <v>1557</v>
      </c>
      <c r="B1533" t="s">
        <v>46</v>
      </c>
      <c r="C1533" t="s">
        <v>12</v>
      </c>
      <c r="D1533">
        <v>198.86</v>
      </c>
      <c r="E1533" t="s">
        <v>18</v>
      </c>
      <c r="F1533">
        <v>2972.87</v>
      </c>
      <c r="G1533">
        <f t="shared" si="25"/>
        <v>591184.92819999997</v>
      </c>
      <c r="H1533" t="str">
        <f>IF(BOQ_Table[[#This Row],[Amount]]&gt;100000,"Over Budget","OK")</f>
        <v>Over Budget</v>
      </c>
      <c r="I1533" t="str">
        <f>IF(OR(BOQ_Table[[#This Row],[Quantity]]="",BOQ_Table[[#This Row],[Rate]]=""),"Missing","OK")</f>
        <v>OK</v>
      </c>
    </row>
    <row r="1534" spans="1:9" x14ac:dyDescent="0.35">
      <c r="A1534" t="s">
        <v>1558</v>
      </c>
      <c r="B1534" t="s">
        <v>46</v>
      </c>
      <c r="C1534" t="s">
        <v>8</v>
      </c>
      <c r="D1534">
        <v>73.34</v>
      </c>
      <c r="E1534" t="s">
        <v>18</v>
      </c>
      <c r="F1534">
        <v>2515.23</v>
      </c>
      <c r="G1534">
        <f t="shared" si="25"/>
        <v>184466.9682</v>
      </c>
      <c r="H1534" t="str">
        <f>IF(BOQ_Table[[#This Row],[Amount]]&gt;100000,"Over Budget","OK")</f>
        <v>Over Budget</v>
      </c>
      <c r="I1534" t="str">
        <f>IF(OR(BOQ_Table[[#This Row],[Quantity]]="",BOQ_Table[[#This Row],[Rate]]=""),"Missing","OK")</f>
        <v>OK</v>
      </c>
    </row>
    <row r="1535" spans="1:9" x14ac:dyDescent="0.35">
      <c r="A1535" t="s">
        <v>1559</v>
      </c>
      <c r="B1535" t="s">
        <v>32</v>
      </c>
      <c r="C1535" t="s">
        <v>17</v>
      </c>
      <c r="D1535">
        <v>174.8</v>
      </c>
      <c r="E1535" t="s">
        <v>18</v>
      </c>
      <c r="F1535">
        <v>937.69</v>
      </c>
      <c r="G1535">
        <f t="shared" si="25"/>
        <v>163908.21200000003</v>
      </c>
      <c r="H1535" t="str">
        <f>IF(BOQ_Table[[#This Row],[Amount]]&gt;100000,"Over Budget","OK")</f>
        <v>Over Budget</v>
      </c>
      <c r="I1535" t="str">
        <f>IF(OR(BOQ_Table[[#This Row],[Quantity]]="",BOQ_Table[[#This Row],[Rate]]=""),"Missing","OK")</f>
        <v>OK</v>
      </c>
    </row>
    <row r="1536" spans="1:9" x14ac:dyDescent="0.35">
      <c r="A1536" t="s">
        <v>1560</v>
      </c>
      <c r="B1536" t="s">
        <v>16</v>
      </c>
      <c r="C1536" t="s">
        <v>8</v>
      </c>
      <c r="D1536">
        <v>352.07</v>
      </c>
      <c r="E1536" t="s">
        <v>18</v>
      </c>
      <c r="F1536">
        <v>2907.8</v>
      </c>
      <c r="G1536">
        <f t="shared" si="25"/>
        <v>1023749.1460000001</v>
      </c>
      <c r="H1536" t="str">
        <f>IF(BOQ_Table[[#This Row],[Amount]]&gt;100000,"Over Budget","OK")</f>
        <v>Over Budget</v>
      </c>
      <c r="I1536" t="str">
        <f>IF(OR(BOQ_Table[[#This Row],[Quantity]]="",BOQ_Table[[#This Row],[Rate]]=""),"Missing","OK")</f>
        <v>OK</v>
      </c>
    </row>
    <row r="1537" spans="1:9" x14ac:dyDescent="0.35">
      <c r="A1537" t="s">
        <v>1561</v>
      </c>
      <c r="B1537" t="s">
        <v>11</v>
      </c>
      <c r="C1537" t="s">
        <v>21</v>
      </c>
      <c r="D1537">
        <v>65.209999999999994</v>
      </c>
      <c r="E1537" t="s">
        <v>14</v>
      </c>
      <c r="F1537">
        <v>1907.31</v>
      </c>
      <c r="G1537">
        <f t="shared" si="25"/>
        <v>124375.68509999999</v>
      </c>
      <c r="H1537" t="str">
        <f>IF(BOQ_Table[[#This Row],[Amount]]&gt;100000,"Over Budget","OK")</f>
        <v>Over Budget</v>
      </c>
      <c r="I1537" t="str">
        <f>IF(OR(BOQ_Table[[#This Row],[Quantity]]="",BOQ_Table[[#This Row],[Rate]]=""),"Missing","OK")</f>
        <v>OK</v>
      </c>
    </row>
    <row r="1538" spans="1:9" x14ac:dyDescent="0.35">
      <c r="A1538" t="s">
        <v>1562</v>
      </c>
      <c r="B1538" t="s">
        <v>20</v>
      </c>
      <c r="C1538" t="s">
        <v>38</v>
      </c>
      <c r="D1538">
        <v>214.6</v>
      </c>
      <c r="E1538" t="s">
        <v>9</v>
      </c>
      <c r="F1538">
        <v>4936.3900000000003</v>
      </c>
      <c r="G1538">
        <f t="shared" ref="G1538:G1601" si="26">D1538*F1538</f>
        <v>1059349.294</v>
      </c>
      <c r="H1538" t="str">
        <f>IF(BOQ_Table[[#This Row],[Amount]]&gt;100000,"Over Budget","OK")</f>
        <v>Over Budget</v>
      </c>
      <c r="I1538" t="str">
        <f>IF(OR(BOQ_Table[[#This Row],[Quantity]]="",BOQ_Table[[#This Row],[Rate]]=""),"Missing","OK")</f>
        <v>OK</v>
      </c>
    </row>
    <row r="1539" spans="1:9" x14ac:dyDescent="0.35">
      <c r="A1539" t="s">
        <v>1563</v>
      </c>
      <c r="B1539" t="s">
        <v>56</v>
      </c>
      <c r="C1539" t="s">
        <v>38</v>
      </c>
      <c r="D1539">
        <v>143.05000000000001</v>
      </c>
      <c r="E1539" t="s">
        <v>14</v>
      </c>
      <c r="F1539">
        <v>4506.5200000000004</v>
      </c>
      <c r="G1539">
        <f t="shared" si="26"/>
        <v>644657.6860000001</v>
      </c>
      <c r="H1539" t="str">
        <f>IF(BOQ_Table[[#This Row],[Amount]]&gt;100000,"Over Budget","OK")</f>
        <v>Over Budget</v>
      </c>
      <c r="I1539" t="str">
        <f>IF(OR(BOQ_Table[[#This Row],[Quantity]]="",BOQ_Table[[#This Row],[Rate]]=""),"Missing","OK")</f>
        <v>OK</v>
      </c>
    </row>
    <row r="1540" spans="1:9" x14ac:dyDescent="0.35">
      <c r="A1540" t="s">
        <v>1564</v>
      </c>
      <c r="B1540" t="s">
        <v>42</v>
      </c>
      <c r="C1540" t="s">
        <v>38</v>
      </c>
      <c r="D1540">
        <v>165.77</v>
      </c>
      <c r="E1540" t="s">
        <v>22</v>
      </c>
      <c r="F1540">
        <v>4217.88</v>
      </c>
      <c r="G1540">
        <f t="shared" si="26"/>
        <v>699197.96760000009</v>
      </c>
      <c r="H1540" t="str">
        <f>IF(BOQ_Table[[#This Row],[Amount]]&gt;100000,"Over Budget","OK")</f>
        <v>Over Budget</v>
      </c>
      <c r="I1540" t="str">
        <f>IF(OR(BOQ_Table[[#This Row],[Quantity]]="",BOQ_Table[[#This Row],[Rate]]=""),"Missing","OK")</f>
        <v>OK</v>
      </c>
    </row>
    <row r="1541" spans="1:9" x14ac:dyDescent="0.35">
      <c r="A1541" t="s">
        <v>1565</v>
      </c>
      <c r="B1541" t="s">
        <v>56</v>
      </c>
      <c r="C1541" t="s">
        <v>17</v>
      </c>
      <c r="D1541">
        <v>402.46</v>
      </c>
      <c r="E1541" t="s">
        <v>22</v>
      </c>
      <c r="F1541">
        <v>2468.4899999999998</v>
      </c>
      <c r="G1541">
        <f t="shared" si="26"/>
        <v>993468.48539999989</v>
      </c>
      <c r="H1541" t="str">
        <f>IF(BOQ_Table[[#This Row],[Amount]]&gt;100000,"Over Budget","OK")</f>
        <v>Over Budget</v>
      </c>
      <c r="I1541" t="str">
        <f>IF(OR(BOQ_Table[[#This Row],[Quantity]]="",BOQ_Table[[#This Row],[Rate]]=""),"Missing","OK")</f>
        <v>OK</v>
      </c>
    </row>
    <row r="1542" spans="1:9" x14ac:dyDescent="0.35">
      <c r="A1542" t="s">
        <v>1566</v>
      </c>
      <c r="B1542" t="s">
        <v>56</v>
      </c>
      <c r="C1542" t="s">
        <v>8</v>
      </c>
      <c r="D1542">
        <v>465.92</v>
      </c>
      <c r="E1542" t="s">
        <v>27</v>
      </c>
      <c r="F1542">
        <v>4675.8500000000004</v>
      </c>
      <c r="G1542">
        <f t="shared" si="26"/>
        <v>2178572.0320000001</v>
      </c>
      <c r="H1542" t="str">
        <f>IF(BOQ_Table[[#This Row],[Amount]]&gt;100000,"Over Budget","OK")</f>
        <v>Over Budget</v>
      </c>
      <c r="I1542" t="str">
        <f>IF(OR(BOQ_Table[[#This Row],[Quantity]]="",BOQ_Table[[#This Row],[Rate]]=""),"Missing","OK")</f>
        <v>OK</v>
      </c>
    </row>
    <row r="1543" spans="1:9" x14ac:dyDescent="0.35">
      <c r="A1543" t="s">
        <v>1567</v>
      </c>
      <c r="B1543" t="s">
        <v>11</v>
      </c>
      <c r="C1543" t="s">
        <v>21</v>
      </c>
      <c r="D1543">
        <v>341.71</v>
      </c>
      <c r="E1543" t="s">
        <v>9</v>
      </c>
      <c r="F1543">
        <v>4013.49</v>
      </c>
      <c r="G1543">
        <f t="shared" si="26"/>
        <v>1371449.6678999998</v>
      </c>
      <c r="H1543" t="str">
        <f>IF(BOQ_Table[[#This Row],[Amount]]&gt;100000,"Over Budget","OK")</f>
        <v>Over Budget</v>
      </c>
      <c r="I1543" t="str">
        <f>IF(OR(BOQ_Table[[#This Row],[Quantity]]="",BOQ_Table[[#This Row],[Rate]]=""),"Missing","OK")</f>
        <v>OK</v>
      </c>
    </row>
    <row r="1544" spans="1:9" x14ac:dyDescent="0.35">
      <c r="A1544" t="s">
        <v>1568</v>
      </c>
      <c r="B1544" t="s">
        <v>40</v>
      </c>
      <c r="C1544" t="s">
        <v>8</v>
      </c>
      <c r="D1544">
        <v>484.65</v>
      </c>
      <c r="E1544" t="s">
        <v>22</v>
      </c>
      <c r="F1544">
        <v>3066.31</v>
      </c>
      <c r="G1544">
        <f t="shared" si="26"/>
        <v>1486087.1414999999</v>
      </c>
      <c r="H1544" t="str">
        <f>IF(BOQ_Table[[#This Row],[Amount]]&gt;100000,"Over Budget","OK")</f>
        <v>Over Budget</v>
      </c>
      <c r="I1544" t="str">
        <f>IF(OR(BOQ_Table[[#This Row],[Quantity]]="",BOQ_Table[[#This Row],[Rate]]=""),"Missing","OK")</f>
        <v>OK</v>
      </c>
    </row>
    <row r="1545" spans="1:9" x14ac:dyDescent="0.35">
      <c r="A1545" t="s">
        <v>1569</v>
      </c>
      <c r="B1545" t="s">
        <v>32</v>
      </c>
      <c r="C1545" t="s">
        <v>38</v>
      </c>
      <c r="D1545">
        <v>179.45</v>
      </c>
      <c r="E1545" t="s">
        <v>9</v>
      </c>
      <c r="F1545">
        <v>3254.99</v>
      </c>
      <c r="G1545">
        <f t="shared" si="26"/>
        <v>584107.95549999992</v>
      </c>
      <c r="H1545" t="str">
        <f>IF(BOQ_Table[[#This Row],[Amount]]&gt;100000,"Over Budget","OK")</f>
        <v>Over Budget</v>
      </c>
      <c r="I1545" t="str">
        <f>IF(OR(BOQ_Table[[#This Row],[Quantity]]="",BOQ_Table[[#This Row],[Rate]]=""),"Missing","OK")</f>
        <v>OK</v>
      </c>
    </row>
    <row r="1546" spans="1:9" x14ac:dyDescent="0.35">
      <c r="A1546" t="s">
        <v>1570</v>
      </c>
      <c r="B1546" t="s">
        <v>32</v>
      </c>
      <c r="C1546" t="s">
        <v>21</v>
      </c>
      <c r="D1546">
        <v>178.41</v>
      </c>
      <c r="E1546" t="s">
        <v>27</v>
      </c>
      <c r="F1546">
        <v>1894.87</v>
      </c>
      <c r="G1546">
        <f t="shared" si="26"/>
        <v>338063.75669999997</v>
      </c>
      <c r="H1546" t="str">
        <f>IF(BOQ_Table[[#This Row],[Amount]]&gt;100000,"Over Budget","OK")</f>
        <v>Over Budget</v>
      </c>
      <c r="I1546" t="str">
        <f>IF(OR(BOQ_Table[[#This Row],[Quantity]]="",BOQ_Table[[#This Row],[Rate]]=""),"Missing","OK")</f>
        <v>OK</v>
      </c>
    </row>
    <row r="1547" spans="1:9" x14ac:dyDescent="0.35">
      <c r="A1547" t="s">
        <v>1571</v>
      </c>
      <c r="B1547" t="s">
        <v>20</v>
      </c>
      <c r="C1547" t="s">
        <v>12</v>
      </c>
      <c r="D1547">
        <v>51.79</v>
      </c>
      <c r="E1547" t="s">
        <v>14</v>
      </c>
      <c r="F1547">
        <v>1748.6</v>
      </c>
      <c r="G1547">
        <f t="shared" si="26"/>
        <v>90559.993999999992</v>
      </c>
      <c r="H1547" t="str">
        <f>IF(BOQ_Table[[#This Row],[Amount]]&gt;100000,"Over Budget","OK")</f>
        <v>OK</v>
      </c>
      <c r="I1547" t="str">
        <f>IF(OR(BOQ_Table[[#This Row],[Quantity]]="",BOQ_Table[[#This Row],[Rate]]=""),"Missing","OK")</f>
        <v>OK</v>
      </c>
    </row>
    <row r="1548" spans="1:9" x14ac:dyDescent="0.35">
      <c r="A1548" t="s">
        <v>1572</v>
      </c>
      <c r="B1548" t="s">
        <v>32</v>
      </c>
      <c r="C1548" t="s">
        <v>17</v>
      </c>
      <c r="D1548">
        <v>149.09</v>
      </c>
      <c r="E1548" t="s">
        <v>14</v>
      </c>
      <c r="F1548">
        <v>3924.46</v>
      </c>
      <c r="G1548">
        <f t="shared" si="26"/>
        <v>585097.74140000006</v>
      </c>
      <c r="H1548" t="str">
        <f>IF(BOQ_Table[[#This Row],[Amount]]&gt;100000,"Over Budget","OK")</f>
        <v>Over Budget</v>
      </c>
      <c r="I1548" t="str">
        <f>IF(OR(BOQ_Table[[#This Row],[Quantity]]="",BOQ_Table[[#This Row],[Rate]]=""),"Missing","OK")</f>
        <v>OK</v>
      </c>
    </row>
    <row r="1549" spans="1:9" x14ac:dyDescent="0.35">
      <c r="A1549" t="s">
        <v>1573</v>
      </c>
      <c r="B1549" t="s">
        <v>11</v>
      </c>
      <c r="C1549" t="s">
        <v>8</v>
      </c>
      <c r="D1549">
        <v>266.91000000000003</v>
      </c>
      <c r="E1549" t="s">
        <v>22</v>
      </c>
      <c r="F1549">
        <v>1593.84</v>
      </c>
      <c r="G1549">
        <f t="shared" si="26"/>
        <v>425411.83439999999</v>
      </c>
      <c r="H1549" t="str">
        <f>IF(BOQ_Table[[#This Row],[Amount]]&gt;100000,"Over Budget","OK")</f>
        <v>Over Budget</v>
      </c>
      <c r="I1549" t="str">
        <f>IF(OR(BOQ_Table[[#This Row],[Quantity]]="",BOQ_Table[[#This Row],[Rate]]=""),"Missing","OK")</f>
        <v>OK</v>
      </c>
    </row>
    <row r="1550" spans="1:9" x14ac:dyDescent="0.35">
      <c r="A1550" t="s">
        <v>1574</v>
      </c>
      <c r="B1550" t="s">
        <v>46</v>
      </c>
      <c r="C1550" t="s">
        <v>17</v>
      </c>
      <c r="D1550">
        <v>392.67</v>
      </c>
      <c r="E1550" t="s">
        <v>9</v>
      </c>
      <c r="F1550">
        <v>1065.78</v>
      </c>
      <c r="G1550">
        <f t="shared" si="26"/>
        <v>418499.83260000002</v>
      </c>
      <c r="H1550" t="str">
        <f>IF(BOQ_Table[[#This Row],[Amount]]&gt;100000,"Over Budget","OK")</f>
        <v>Over Budget</v>
      </c>
      <c r="I1550" t="str">
        <f>IF(OR(BOQ_Table[[#This Row],[Quantity]]="",BOQ_Table[[#This Row],[Rate]]=""),"Missing","OK")</f>
        <v>OK</v>
      </c>
    </row>
    <row r="1551" spans="1:9" x14ac:dyDescent="0.35">
      <c r="A1551" t="s">
        <v>1575</v>
      </c>
      <c r="B1551" t="s">
        <v>46</v>
      </c>
      <c r="C1551" t="s">
        <v>12</v>
      </c>
      <c r="D1551">
        <v>272.10000000000002</v>
      </c>
      <c r="E1551" t="s">
        <v>22</v>
      </c>
      <c r="F1551">
        <v>2158.81</v>
      </c>
      <c r="G1551">
        <f t="shared" si="26"/>
        <v>587412.201</v>
      </c>
      <c r="H1551" t="str">
        <f>IF(BOQ_Table[[#This Row],[Amount]]&gt;100000,"Over Budget","OK")</f>
        <v>Over Budget</v>
      </c>
      <c r="I1551" t="str">
        <f>IF(OR(BOQ_Table[[#This Row],[Quantity]]="",BOQ_Table[[#This Row],[Rate]]=""),"Missing","OK")</f>
        <v>OK</v>
      </c>
    </row>
    <row r="1552" spans="1:9" x14ac:dyDescent="0.35">
      <c r="A1552" t="s">
        <v>1576</v>
      </c>
      <c r="B1552" t="s">
        <v>11</v>
      </c>
      <c r="C1552" t="s">
        <v>12</v>
      </c>
      <c r="D1552">
        <v>388.1</v>
      </c>
      <c r="E1552" t="s">
        <v>27</v>
      </c>
      <c r="F1552">
        <v>4730.8500000000004</v>
      </c>
      <c r="G1552">
        <f t="shared" si="26"/>
        <v>1836042.8850000002</v>
      </c>
      <c r="H1552" t="str">
        <f>IF(BOQ_Table[[#This Row],[Amount]]&gt;100000,"Over Budget","OK")</f>
        <v>Over Budget</v>
      </c>
      <c r="I1552" t="str">
        <f>IF(OR(BOQ_Table[[#This Row],[Quantity]]="",BOQ_Table[[#This Row],[Rate]]=""),"Missing","OK")</f>
        <v>OK</v>
      </c>
    </row>
    <row r="1553" spans="1:9" x14ac:dyDescent="0.35">
      <c r="A1553" t="s">
        <v>1577</v>
      </c>
      <c r="B1553" t="s">
        <v>30</v>
      </c>
      <c r="C1553" t="s">
        <v>8</v>
      </c>
      <c r="D1553">
        <v>442.65</v>
      </c>
      <c r="E1553" t="s">
        <v>22</v>
      </c>
      <c r="F1553">
        <v>2544.38</v>
      </c>
      <c r="G1553">
        <f t="shared" si="26"/>
        <v>1126269.807</v>
      </c>
      <c r="H1553" t="str">
        <f>IF(BOQ_Table[[#This Row],[Amount]]&gt;100000,"Over Budget","OK")</f>
        <v>Over Budget</v>
      </c>
      <c r="I1553" t="str">
        <f>IF(OR(BOQ_Table[[#This Row],[Quantity]]="",BOQ_Table[[#This Row],[Rate]]=""),"Missing","OK")</f>
        <v>OK</v>
      </c>
    </row>
    <row r="1554" spans="1:9" x14ac:dyDescent="0.35">
      <c r="A1554" t="s">
        <v>1578</v>
      </c>
      <c r="B1554" t="s">
        <v>30</v>
      </c>
      <c r="C1554" t="s">
        <v>38</v>
      </c>
      <c r="D1554">
        <v>374.45</v>
      </c>
      <c r="E1554" t="s">
        <v>27</v>
      </c>
      <c r="F1554">
        <v>2902.81</v>
      </c>
      <c r="G1554">
        <f t="shared" si="26"/>
        <v>1086957.2045</v>
      </c>
      <c r="H1554" t="str">
        <f>IF(BOQ_Table[[#This Row],[Amount]]&gt;100000,"Over Budget","OK")</f>
        <v>Over Budget</v>
      </c>
      <c r="I1554" t="str">
        <f>IF(OR(BOQ_Table[[#This Row],[Quantity]]="",BOQ_Table[[#This Row],[Rate]]=""),"Missing","OK")</f>
        <v>OK</v>
      </c>
    </row>
    <row r="1555" spans="1:9" x14ac:dyDescent="0.35">
      <c r="A1555" t="s">
        <v>1579</v>
      </c>
      <c r="B1555" t="s">
        <v>56</v>
      </c>
      <c r="C1555" t="s">
        <v>38</v>
      </c>
      <c r="D1555">
        <v>241.94</v>
      </c>
      <c r="E1555" t="s">
        <v>18</v>
      </c>
      <c r="F1555">
        <v>1027.46</v>
      </c>
      <c r="G1555">
        <f t="shared" si="26"/>
        <v>248583.67240000001</v>
      </c>
      <c r="H1555" t="str">
        <f>IF(BOQ_Table[[#This Row],[Amount]]&gt;100000,"Over Budget","OK")</f>
        <v>Over Budget</v>
      </c>
      <c r="I1555" t="str">
        <f>IF(OR(BOQ_Table[[#This Row],[Quantity]]="",BOQ_Table[[#This Row],[Rate]]=""),"Missing","OK")</f>
        <v>OK</v>
      </c>
    </row>
    <row r="1556" spans="1:9" x14ac:dyDescent="0.35">
      <c r="A1556" t="s">
        <v>1580</v>
      </c>
      <c r="B1556" t="s">
        <v>7</v>
      </c>
      <c r="C1556" t="s">
        <v>8</v>
      </c>
      <c r="D1556">
        <v>424.13</v>
      </c>
      <c r="E1556" t="s">
        <v>27</v>
      </c>
      <c r="F1556">
        <v>170.75</v>
      </c>
      <c r="G1556">
        <f t="shared" si="26"/>
        <v>72420.197499999995</v>
      </c>
      <c r="H1556" t="str">
        <f>IF(BOQ_Table[[#This Row],[Amount]]&gt;100000,"Over Budget","OK")</f>
        <v>OK</v>
      </c>
      <c r="I1556" t="str">
        <f>IF(OR(BOQ_Table[[#This Row],[Quantity]]="",BOQ_Table[[#This Row],[Rate]]=""),"Missing","OK")</f>
        <v>OK</v>
      </c>
    </row>
    <row r="1557" spans="1:9" x14ac:dyDescent="0.35">
      <c r="A1557" t="s">
        <v>1581</v>
      </c>
      <c r="B1557" t="s">
        <v>16</v>
      </c>
      <c r="C1557" t="s">
        <v>17</v>
      </c>
      <c r="D1557">
        <v>20.86</v>
      </c>
      <c r="E1557" t="s">
        <v>27</v>
      </c>
      <c r="F1557">
        <v>1081.42</v>
      </c>
      <c r="G1557">
        <f t="shared" si="26"/>
        <v>22558.421200000001</v>
      </c>
      <c r="H1557" t="str">
        <f>IF(BOQ_Table[[#This Row],[Amount]]&gt;100000,"Over Budget","OK")</f>
        <v>OK</v>
      </c>
      <c r="I1557" t="str">
        <f>IF(OR(BOQ_Table[[#This Row],[Quantity]]="",BOQ_Table[[#This Row],[Rate]]=""),"Missing","OK")</f>
        <v>OK</v>
      </c>
    </row>
    <row r="1558" spans="1:9" x14ac:dyDescent="0.35">
      <c r="A1558" t="s">
        <v>1582</v>
      </c>
      <c r="B1558" t="s">
        <v>7</v>
      </c>
      <c r="C1558" t="s">
        <v>8</v>
      </c>
      <c r="D1558">
        <v>147</v>
      </c>
      <c r="E1558" t="s">
        <v>22</v>
      </c>
      <c r="F1558">
        <v>1903.6</v>
      </c>
      <c r="G1558">
        <f t="shared" si="26"/>
        <v>279829.2</v>
      </c>
      <c r="H1558" t="str">
        <f>IF(BOQ_Table[[#This Row],[Amount]]&gt;100000,"Over Budget","OK")</f>
        <v>Over Budget</v>
      </c>
      <c r="I1558" t="str">
        <f>IF(OR(BOQ_Table[[#This Row],[Quantity]]="",BOQ_Table[[#This Row],[Rate]]=""),"Missing","OK")</f>
        <v>OK</v>
      </c>
    </row>
    <row r="1559" spans="1:9" x14ac:dyDescent="0.35">
      <c r="A1559" t="s">
        <v>1583</v>
      </c>
      <c r="B1559" t="s">
        <v>20</v>
      </c>
      <c r="C1559" t="s">
        <v>38</v>
      </c>
      <c r="D1559">
        <v>33.47</v>
      </c>
      <c r="E1559" t="s">
        <v>9</v>
      </c>
      <c r="F1559">
        <v>3029.36</v>
      </c>
      <c r="G1559">
        <f t="shared" si="26"/>
        <v>101392.6792</v>
      </c>
      <c r="H1559" t="str">
        <f>IF(BOQ_Table[[#This Row],[Amount]]&gt;100000,"Over Budget","OK")</f>
        <v>Over Budget</v>
      </c>
      <c r="I1559" t="str">
        <f>IF(OR(BOQ_Table[[#This Row],[Quantity]]="",BOQ_Table[[#This Row],[Rate]]=""),"Missing","OK")</f>
        <v>OK</v>
      </c>
    </row>
    <row r="1560" spans="1:9" x14ac:dyDescent="0.35">
      <c r="A1560" t="s">
        <v>1584</v>
      </c>
      <c r="B1560" t="s">
        <v>20</v>
      </c>
      <c r="C1560" t="s">
        <v>12</v>
      </c>
      <c r="D1560">
        <v>426.24</v>
      </c>
      <c r="E1560" t="s">
        <v>22</v>
      </c>
      <c r="F1560">
        <v>1515.62</v>
      </c>
      <c r="G1560">
        <f t="shared" si="26"/>
        <v>646017.86879999994</v>
      </c>
      <c r="H1560" t="str">
        <f>IF(BOQ_Table[[#This Row],[Amount]]&gt;100000,"Over Budget","OK")</f>
        <v>Over Budget</v>
      </c>
      <c r="I1560" t="str">
        <f>IF(OR(BOQ_Table[[#This Row],[Quantity]]="",BOQ_Table[[#This Row],[Rate]]=""),"Missing","OK")</f>
        <v>OK</v>
      </c>
    </row>
    <row r="1561" spans="1:9" x14ac:dyDescent="0.35">
      <c r="A1561" t="s">
        <v>1585</v>
      </c>
      <c r="B1561" t="s">
        <v>16</v>
      </c>
      <c r="C1561" t="s">
        <v>8</v>
      </c>
      <c r="D1561">
        <v>283.97000000000003</v>
      </c>
      <c r="E1561" t="s">
        <v>18</v>
      </c>
      <c r="F1561">
        <v>328.58</v>
      </c>
      <c r="G1561">
        <f t="shared" si="26"/>
        <v>93306.862600000008</v>
      </c>
      <c r="H1561" t="str">
        <f>IF(BOQ_Table[[#This Row],[Amount]]&gt;100000,"Over Budget","OK")</f>
        <v>OK</v>
      </c>
      <c r="I1561" t="str">
        <f>IF(OR(BOQ_Table[[#This Row],[Quantity]]="",BOQ_Table[[#This Row],[Rate]]=""),"Missing","OK")</f>
        <v>OK</v>
      </c>
    </row>
    <row r="1562" spans="1:9" x14ac:dyDescent="0.35">
      <c r="A1562" t="s">
        <v>1586</v>
      </c>
      <c r="B1562" t="s">
        <v>20</v>
      </c>
      <c r="C1562" t="s">
        <v>17</v>
      </c>
      <c r="D1562">
        <v>227.71</v>
      </c>
      <c r="E1562" t="s">
        <v>18</v>
      </c>
      <c r="F1562">
        <v>2413.64</v>
      </c>
      <c r="G1562">
        <f t="shared" si="26"/>
        <v>549609.96439999994</v>
      </c>
      <c r="H1562" t="str">
        <f>IF(BOQ_Table[[#This Row],[Amount]]&gt;100000,"Over Budget","OK")</f>
        <v>Over Budget</v>
      </c>
      <c r="I1562" t="str">
        <f>IF(OR(BOQ_Table[[#This Row],[Quantity]]="",BOQ_Table[[#This Row],[Rate]]=""),"Missing","OK")</f>
        <v>OK</v>
      </c>
    </row>
    <row r="1563" spans="1:9" x14ac:dyDescent="0.35">
      <c r="A1563" t="s">
        <v>1587</v>
      </c>
      <c r="B1563" t="s">
        <v>40</v>
      </c>
      <c r="C1563" t="s">
        <v>12</v>
      </c>
      <c r="D1563">
        <v>165.38</v>
      </c>
      <c r="E1563" t="s">
        <v>9</v>
      </c>
      <c r="F1563">
        <v>2735.85</v>
      </c>
      <c r="G1563">
        <f t="shared" si="26"/>
        <v>452454.87299999996</v>
      </c>
      <c r="H1563" t="str">
        <f>IF(BOQ_Table[[#This Row],[Amount]]&gt;100000,"Over Budget","OK")</f>
        <v>Over Budget</v>
      </c>
      <c r="I1563" t="str">
        <f>IF(OR(BOQ_Table[[#This Row],[Quantity]]="",BOQ_Table[[#This Row],[Rate]]=""),"Missing","OK")</f>
        <v>OK</v>
      </c>
    </row>
    <row r="1564" spans="1:9" x14ac:dyDescent="0.35">
      <c r="A1564" t="s">
        <v>1588</v>
      </c>
      <c r="B1564" t="s">
        <v>16</v>
      </c>
      <c r="C1564" t="s">
        <v>38</v>
      </c>
      <c r="D1564">
        <v>175.63</v>
      </c>
      <c r="E1564" t="s">
        <v>22</v>
      </c>
      <c r="F1564">
        <v>2931.84</v>
      </c>
      <c r="G1564">
        <f t="shared" si="26"/>
        <v>514919.05920000002</v>
      </c>
      <c r="H1564" t="str">
        <f>IF(BOQ_Table[[#This Row],[Amount]]&gt;100000,"Over Budget","OK")</f>
        <v>Over Budget</v>
      </c>
      <c r="I1564" t="str">
        <f>IF(OR(BOQ_Table[[#This Row],[Quantity]]="",BOQ_Table[[#This Row],[Rate]]=""),"Missing","OK")</f>
        <v>OK</v>
      </c>
    </row>
    <row r="1565" spans="1:9" x14ac:dyDescent="0.35">
      <c r="A1565" t="s">
        <v>1589</v>
      </c>
      <c r="B1565" t="s">
        <v>40</v>
      </c>
      <c r="C1565" t="s">
        <v>17</v>
      </c>
      <c r="D1565">
        <v>289.44</v>
      </c>
      <c r="E1565" t="s">
        <v>14</v>
      </c>
      <c r="F1565">
        <v>2931.78</v>
      </c>
      <c r="G1565">
        <f t="shared" si="26"/>
        <v>848574.40320000006</v>
      </c>
      <c r="H1565" t="str">
        <f>IF(BOQ_Table[[#This Row],[Amount]]&gt;100000,"Over Budget","OK")</f>
        <v>Over Budget</v>
      </c>
      <c r="I1565" t="str">
        <f>IF(OR(BOQ_Table[[#This Row],[Quantity]]="",BOQ_Table[[#This Row],[Rate]]=""),"Missing","OK")</f>
        <v>OK</v>
      </c>
    </row>
    <row r="1566" spans="1:9" x14ac:dyDescent="0.35">
      <c r="A1566" t="s">
        <v>1590</v>
      </c>
      <c r="B1566" t="s">
        <v>30</v>
      </c>
      <c r="C1566" t="s">
        <v>8</v>
      </c>
      <c r="D1566">
        <v>376.91</v>
      </c>
      <c r="E1566" t="s">
        <v>9</v>
      </c>
      <c r="F1566">
        <v>2978.49</v>
      </c>
      <c r="G1566">
        <f t="shared" si="26"/>
        <v>1122622.6658999999</v>
      </c>
      <c r="H1566" t="str">
        <f>IF(BOQ_Table[[#This Row],[Amount]]&gt;100000,"Over Budget","OK")</f>
        <v>Over Budget</v>
      </c>
      <c r="I1566" t="str">
        <f>IF(OR(BOQ_Table[[#This Row],[Quantity]]="",BOQ_Table[[#This Row],[Rate]]=""),"Missing","OK")</f>
        <v>OK</v>
      </c>
    </row>
    <row r="1567" spans="1:9" x14ac:dyDescent="0.35">
      <c r="A1567" t="s">
        <v>1591</v>
      </c>
      <c r="B1567" t="s">
        <v>56</v>
      </c>
      <c r="C1567" t="s">
        <v>12</v>
      </c>
      <c r="D1567">
        <v>195.53</v>
      </c>
      <c r="E1567" t="s">
        <v>14</v>
      </c>
      <c r="F1567">
        <v>2491.59</v>
      </c>
      <c r="G1567">
        <f t="shared" si="26"/>
        <v>487180.59270000004</v>
      </c>
      <c r="H1567" t="str">
        <f>IF(BOQ_Table[[#This Row],[Amount]]&gt;100000,"Over Budget","OK")</f>
        <v>Over Budget</v>
      </c>
      <c r="I1567" t="str">
        <f>IF(OR(BOQ_Table[[#This Row],[Quantity]]="",BOQ_Table[[#This Row],[Rate]]=""),"Missing","OK")</f>
        <v>OK</v>
      </c>
    </row>
    <row r="1568" spans="1:9" x14ac:dyDescent="0.35">
      <c r="A1568" t="s">
        <v>1592</v>
      </c>
      <c r="B1568" t="s">
        <v>56</v>
      </c>
      <c r="C1568" t="s">
        <v>8</v>
      </c>
      <c r="D1568">
        <v>302.88</v>
      </c>
      <c r="E1568" t="s">
        <v>18</v>
      </c>
      <c r="F1568">
        <v>1179.07</v>
      </c>
      <c r="G1568">
        <f t="shared" si="26"/>
        <v>357116.72159999999</v>
      </c>
      <c r="H1568" t="str">
        <f>IF(BOQ_Table[[#This Row],[Amount]]&gt;100000,"Over Budget","OK")</f>
        <v>Over Budget</v>
      </c>
      <c r="I1568" t="str">
        <f>IF(OR(BOQ_Table[[#This Row],[Quantity]]="",BOQ_Table[[#This Row],[Rate]]=""),"Missing","OK")</f>
        <v>OK</v>
      </c>
    </row>
    <row r="1569" spans="1:9" x14ac:dyDescent="0.35">
      <c r="A1569" t="s">
        <v>1593</v>
      </c>
      <c r="B1569" t="s">
        <v>40</v>
      </c>
      <c r="C1569" t="s">
        <v>8</v>
      </c>
      <c r="D1569">
        <v>64.239999999999995</v>
      </c>
      <c r="E1569" t="s">
        <v>9</v>
      </c>
      <c r="F1569">
        <v>4986.3599999999997</v>
      </c>
      <c r="G1569">
        <f t="shared" si="26"/>
        <v>320323.76639999996</v>
      </c>
      <c r="H1569" t="str">
        <f>IF(BOQ_Table[[#This Row],[Amount]]&gt;100000,"Over Budget","OK")</f>
        <v>Over Budget</v>
      </c>
      <c r="I1569" t="str">
        <f>IF(OR(BOQ_Table[[#This Row],[Quantity]]="",BOQ_Table[[#This Row],[Rate]]=""),"Missing","OK")</f>
        <v>OK</v>
      </c>
    </row>
    <row r="1570" spans="1:9" x14ac:dyDescent="0.35">
      <c r="A1570" t="s">
        <v>1594</v>
      </c>
      <c r="B1570" t="s">
        <v>56</v>
      </c>
      <c r="C1570" t="s">
        <v>21</v>
      </c>
      <c r="D1570">
        <v>410.06</v>
      </c>
      <c r="E1570" t="s">
        <v>27</v>
      </c>
      <c r="F1570">
        <v>4379.66</v>
      </c>
      <c r="G1570">
        <f t="shared" si="26"/>
        <v>1795923.3795999999</v>
      </c>
      <c r="H1570" t="str">
        <f>IF(BOQ_Table[[#This Row],[Amount]]&gt;100000,"Over Budget","OK")</f>
        <v>Over Budget</v>
      </c>
      <c r="I1570" t="str">
        <f>IF(OR(BOQ_Table[[#This Row],[Quantity]]="",BOQ_Table[[#This Row],[Rate]]=""),"Missing","OK")</f>
        <v>OK</v>
      </c>
    </row>
    <row r="1571" spans="1:9" x14ac:dyDescent="0.35">
      <c r="A1571" t="s">
        <v>1595</v>
      </c>
      <c r="B1571" t="s">
        <v>56</v>
      </c>
      <c r="C1571" t="s">
        <v>21</v>
      </c>
      <c r="D1571">
        <v>82.73</v>
      </c>
      <c r="E1571" t="s">
        <v>27</v>
      </c>
      <c r="F1571">
        <v>4221.43</v>
      </c>
      <c r="G1571">
        <f t="shared" si="26"/>
        <v>349238.90390000003</v>
      </c>
      <c r="H1571" t="str">
        <f>IF(BOQ_Table[[#This Row],[Amount]]&gt;100000,"Over Budget","OK")</f>
        <v>Over Budget</v>
      </c>
      <c r="I1571" t="str">
        <f>IF(OR(BOQ_Table[[#This Row],[Quantity]]="",BOQ_Table[[#This Row],[Rate]]=""),"Missing","OK")</f>
        <v>OK</v>
      </c>
    </row>
    <row r="1572" spans="1:9" x14ac:dyDescent="0.35">
      <c r="A1572" t="s">
        <v>1596</v>
      </c>
      <c r="B1572" t="s">
        <v>7</v>
      </c>
      <c r="C1572" t="s">
        <v>38</v>
      </c>
      <c r="D1572">
        <v>271.10000000000002</v>
      </c>
      <c r="E1572" t="s">
        <v>22</v>
      </c>
      <c r="F1572">
        <v>1172.68</v>
      </c>
      <c r="G1572">
        <f t="shared" si="26"/>
        <v>317913.54800000007</v>
      </c>
      <c r="H1572" t="str">
        <f>IF(BOQ_Table[[#This Row],[Amount]]&gt;100000,"Over Budget","OK")</f>
        <v>Over Budget</v>
      </c>
      <c r="I1572" t="str">
        <f>IF(OR(BOQ_Table[[#This Row],[Quantity]]="",BOQ_Table[[#This Row],[Rate]]=""),"Missing","OK")</f>
        <v>OK</v>
      </c>
    </row>
    <row r="1573" spans="1:9" x14ac:dyDescent="0.35">
      <c r="A1573" t="s">
        <v>1597</v>
      </c>
      <c r="B1573" t="s">
        <v>11</v>
      </c>
      <c r="C1573" t="s">
        <v>8</v>
      </c>
      <c r="D1573">
        <v>453.02</v>
      </c>
      <c r="E1573" t="s">
        <v>9</v>
      </c>
      <c r="F1573">
        <v>3588.85</v>
      </c>
      <c r="G1573">
        <f t="shared" si="26"/>
        <v>1625820.8269999998</v>
      </c>
      <c r="H1573" t="str">
        <f>IF(BOQ_Table[[#This Row],[Amount]]&gt;100000,"Over Budget","OK")</f>
        <v>Over Budget</v>
      </c>
      <c r="I1573" t="str">
        <f>IF(OR(BOQ_Table[[#This Row],[Quantity]]="",BOQ_Table[[#This Row],[Rate]]=""),"Missing","OK")</f>
        <v>OK</v>
      </c>
    </row>
    <row r="1574" spans="1:9" x14ac:dyDescent="0.35">
      <c r="A1574" t="s">
        <v>1598</v>
      </c>
      <c r="B1574" t="s">
        <v>11</v>
      </c>
      <c r="C1574" t="s">
        <v>38</v>
      </c>
      <c r="D1574">
        <v>367.09</v>
      </c>
      <c r="E1574" t="s">
        <v>22</v>
      </c>
      <c r="F1574">
        <v>1607.78</v>
      </c>
      <c r="G1574">
        <f t="shared" si="26"/>
        <v>590199.96019999997</v>
      </c>
      <c r="H1574" t="str">
        <f>IF(BOQ_Table[[#This Row],[Amount]]&gt;100000,"Over Budget","OK")</f>
        <v>Over Budget</v>
      </c>
      <c r="I1574" t="str">
        <f>IF(OR(BOQ_Table[[#This Row],[Quantity]]="",BOQ_Table[[#This Row],[Rate]]=""),"Missing","OK")</f>
        <v>OK</v>
      </c>
    </row>
    <row r="1575" spans="1:9" x14ac:dyDescent="0.35">
      <c r="A1575" t="s">
        <v>1599</v>
      </c>
      <c r="B1575" t="s">
        <v>20</v>
      </c>
      <c r="C1575" t="s">
        <v>8</v>
      </c>
      <c r="D1575">
        <v>111.38</v>
      </c>
      <c r="E1575" t="s">
        <v>27</v>
      </c>
      <c r="F1575">
        <v>4222.8100000000004</v>
      </c>
      <c r="G1575">
        <f t="shared" si="26"/>
        <v>470336.57780000003</v>
      </c>
      <c r="H1575" t="str">
        <f>IF(BOQ_Table[[#This Row],[Amount]]&gt;100000,"Over Budget","OK")</f>
        <v>Over Budget</v>
      </c>
      <c r="I1575" t="str">
        <f>IF(OR(BOQ_Table[[#This Row],[Quantity]]="",BOQ_Table[[#This Row],[Rate]]=""),"Missing","OK")</f>
        <v>OK</v>
      </c>
    </row>
    <row r="1576" spans="1:9" x14ac:dyDescent="0.35">
      <c r="A1576" t="s">
        <v>1600</v>
      </c>
      <c r="B1576" t="s">
        <v>32</v>
      </c>
      <c r="C1576" t="s">
        <v>21</v>
      </c>
      <c r="D1576">
        <v>438.86</v>
      </c>
      <c r="E1576" t="s">
        <v>9</v>
      </c>
      <c r="F1576">
        <v>195.24</v>
      </c>
      <c r="G1576">
        <f t="shared" si="26"/>
        <v>85683.026400000002</v>
      </c>
      <c r="H1576" t="str">
        <f>IF(BOQ_Table[[#This Row],[Amount]]&gt;100000,"Over Budget","OK")</f>
        <v>OK</v>
      </c>
      <c r="I1576" t="str">
        <f>IF(OR(BOQ_Table[[#This Row],[Quantity]]="",BOQ_Table[[#This Row],[Rate]]=""),"Missing","OK")</f>
        <v>OK</v>
      </c>
    </row>
    <row r="1577" spans="1:9" x14ac:dyDescent="0.35">
      <c r="A1577" t="s">
        <v>1601</v>
      </c>
      <c r="B1577" t="s">
        <v>40</v>
      </c>
      <c r="C1577" t="s">
        <v>8</v>
      </c>
      <c r="D1577">
        <v>423.64</v>
      </c>
      <c r="E1577" t="s">
        <v>27</v>
      </c>
      <c r="F1577">
        <v>97.52</v>
      </c>
      <c r="G1577">
        <f t="shared" si="26"/>
        <v>41313.372799999997</v>
      </c>
      <c r="H1577" t="str">
        <f>IF(BOQ_Table[[#This Row],[Amount]]&gt;100000,"Over Budget","OK")</f>
        <v>OK</v>
      </c>
      <c r="I1577" t="str">
        <f>IF(OR(BOQ_Table[[#This Row],[Quantity]]="",BOQ_Table[[#This Row],[Rate]]=""),"Missing","OK")</f>
        <v>OK</v>
      </c>
    </row>
    <row r="1578" spans="1:9" x14ac:dyDescent="0.35">
      <c r="A1578" t="s">
        <v>1602</v>
      </c>
      <c r="B1578" t="s">
        <v>40</v>
      </c>
      <c r="C1578" t="s">
        <v>21</v>
      </c>
      <c r="D1578">
        <v>230.61</v>
      </c>
      <c r="E1578" t="s">
        <v>27</v>
      </c>
      <c r="F1578">
        <v>2882.14</v>
      </c>
      <c r="G1578">
        <f t="shared" si="26"/>
        <v>664650.30539999995</v>
      </c>
      <c r="H1578" t="str">
        <f>IF(BOQ_Table[[#This Row],[Amount]]&gt;100000,"Over Budget","OK")</f>
        <v>Over Budget</v>
      </c>
      <c r="I1578" t="str">
        <f>IF(OR(BOQ_Table[[#This Row],[Quantity]]="",BOQ_Table[[#This Row],[Rate]]=""),"Missing","OK")</f>
        <v>OK</v>
      </c>
    </row>
    <row r="1579" spans="1:9" x14ac:dyDescent="0.35">
      <c r="A1579" t="s">
        <v>1603</v>
      </c>
      <c r="B1579" t="s">
        <v>32</v>
      </c>
      <c r="C1579" t="s">
        <v>21</v>
      </c>
      <c r="D1579">
        <v>25.89</v>
      </c>
      <c r="E1579" t="s">
        <v>9</v>
      </c>
      <c r="F1579">
        <v>1808.5</v>
      </c>
      <c r="G1579">
        <f t="shared" si="26"/>
        <v>46822.065000000002</v>
      </c>
      <c r="H1579" t="str">
        <f>IF(BOQ_Table[[#This Row],[Amount]]&gt;100000,"Over Budget","OK")</f>
        <v>OK</v>
      </c>
      <c r="I1579" t="str">
        <f>IF(OR(BOQ_Table[[#This Row],[Quantity]]="",BOQ_Table[[#This Row],[Rate]]=""),"Missing","OK")</f>
        <v>OK</v>
      </c>
    </row>
    <row r="1580" spans="1:9" x14ac:dyDescent="0.35">
      <c r="A1580" t="s">
        <v>1604</v>
      </c>
      <c r="B1580" t="s">
        <v>32</v>
      </c>
      <c r="C1580" t="s">
        <v>38</v>
      </c>
      <c r="D1580">
        <v>374.82</v>
      </c>
      <c r="E1580" t="s">
        <v>22</v>
      </c>
      <c r="F1580">
        <v>2581.5</v>
      </c>
      <c r="G1580">
        <f t="shared" si="26"/>
        <v>967597.83</v>
      </c>
      <c r="H1580" t="str">
        <f>IF(BOQ_Table[[#This Row],[Amount]]&gt;100000,"Over Budget","OK")</f>
        <v>Over Budget</v>
      </c>
      <c r="I1580" t="str">
        <f>IF(OR(BOQ_Table[[#This Row],[Quantity]]="",BOQ_Table[[#This Row],[Rate]]=""),"Missing","OK")</f>
        <v>OK</v>
      </c>
    </row>
    <row r="1581" spans="1:9" x14ac:dyDescent="0.35">
      <c r="A1581" t="s">
        <v>1605</v>
      </c>
      <c r="B1581" t="s">
        <v>42</v>
      </c>
      <c r="C1581" t="s">
        <v>8</v>
      </c>
      <c r="D1581">
        <v>65.37</v>
      </c>
      <c r="E1581" t="s">
        <v>18</v>
      </c>
      <c r="F1581">
        <v>3644.51</v>
      </c>
      <c r="G1581">
        <f t="shared" si="26"/>
        <v>238241.61870000002</v>
      </c>
      <c r="H1581" t="str">
        <f>IF(BOQ_Table[[#This Row],[Amount]]&gt;100000,"Over Budget","OK")</f>
        <v>Over Budget</v>
      </c>
      <c r="I1581" t="str">
        <f>IF(OR(BOQ_Table[[#This Row],[Quantity]]="",BOQ_Table[[#This Row],[Rate]]=""),"Missing","OK")</f>
        <v>OK</v>
      </c>
    </row>
    <row r="1582" spans="1:9" x14ac:dyDescent="0.35">
      <c r="A1582" t="s">
        <v>1606</v>
      </c>
      <c r="B1582" t="s">
        <v>7</v>
      </c>
      <c r="C1582" t="s">
        <v>21</v>
      </c>
      <c r="D1582">
        <v>299.3</v>
      </c>
      <c r="E1582" t="s">
        <v>22</v>
      </c>
      <c r="F1582">
        <v>2370.5700000000002</v>
      </c>
      <c r="G1582">
        <f t="shared" si="26"/>
        <v>709511.60100000002</v>
      </c>
      <c r="H1582" t="str">
        <f>IF(BOQ_Table[[#This Row],[Amount]]&gt;100000,"Over Budget","OK")</f>
        <v>Over Budget</v>
      </c>
      <c r="I1582" t="str">
        <f>IF(OR(BOQ_Table[[#This Row],[Quantity]]="",BOQ_Table[[#This Row],[Rate]]=""),"Missing","OK")</f>
        <v>OK</v>
      </c>
    </row>
    <row r="1583" spans="1:9" x14ac:dyDescent="0.35">
      <c r="A1583" t="s">
        <v>1607</v>
      </c>
      <c r="B1583" t="s">
        <v>16</v>
      </c>
      <c r="C1583" t="s">
        <v>17</v>
      </c>
      <c r="D1583">
        <v>137.38</v>
      </c>
      <c r="E1583" t="s">
        <v>22</v>
      </c>
      <c r="F1583">
        <v>3568.37</v>
      </c>
      <c r="G1583">
        <f t="shared" si="26"/>
        <v>490222.67059999995</v>
      </c>
      <c r="H1583" t="str">
        <f>IF(BOQ_Table[[#This Row],[Amount]]&gt;100000,"Over Budget","OK")</f>
        <v>Over Budget</v>
      </c>
      <c r="I1583" t="str">
        <f>IF(OR(BOQ_Table[[#This Row],[Quantity]]="",BOQ_Table[[#This Row],[Rate]]=""),"Missing","OK")</f>
        <v>OK</v>
      </c>
    </row>
    <row r="1584" spans="1:9" x14ac:dyDescent="0.35">
      <c r="A1584" t="s">
        <v>1608</v>
      </c>
      <c r="B1584" t="s">
        <v>32</v>
      </c>
      <c r="C1584" t="s">
        <v>8</v>
      </c>
      <c r="D1584">
        <v>5.93</v>
      </c>
      <c r="E1584" t="s">
        <v>14</v>
      </c>
      <c r="F1584">
        <v>3312.34</v>
      </c>
      <c r="G1584">
        <f t="shared" si="26"/>
        <v>19642.176200000002</v>
      </c>
      <c r="H1584" t="str">
        <f>IF(BOQ_Table[[#This Row],[Amount]]&gt;100000,"Over Budget","OK")</f>
        <v>OK</v>
      </c>
      <c r="I1584" t="str">
        <f>IF(OR(BOQ_Table[[#This Row],[Quantity]]="",BOQ_Table[[#This Row],[Rate]]=""),"Missing","OK")</f>
        <v>OK</v>
      </c>
    </row>
    <row r="1585" spans="1:9" x14ac:dyDescent="0.35">
      <c r="A1585" t="s">
        <v>1609</v>
      </c>
      <c r="B1585" t="s">
        <v>32</v>
      </c>
      <c r="C1585" t="s">
        <v>17</v>
      </c>
      <c r="D1585">
        <v>15.06</v>
      </c>
      <c r="E1585" t="s">
        <v>27</v>
      </c>
      <c r="F1585">
        <v>1297.83</v>
      </c>
      <c r="G1585">
        <f t="shared" si="26"/>
        <v>19545.319800000001</v>
      </c>
      <c r="H1585" t="str">
        <f>IF(BOQ_Table[[#This Row],[Amount]]&gt;100000,"Over Budget","OK")</f>
        <v>OK</v>
      </c>
      <c r="I1585" t="str">
        <f>IF(OR(BOQ_Table[[#This Row],[Quantity]]="",BOQ_Table[[#This Row],[Rate]]=""),"Missing","OK")</f>
        <v>OK</v>
      </c>
    </row>
    <row r="1586" spans="1:9" x14ac:dyDescent="0.35">
      <c r="A1586" t="s">
        <v>1610</v>
      </c>
      <c r="B1586" t="s">
        <v>7</v>
      </c>
      <c r="C1586" t="s">
        <v>21</v>
      </c>
      <c r="D1586">
        <v>176.15</v>
      </c>
      <c r="E1586" t="s">
        <v>18</v>
      </c>
      <c r="F1586">
        <v>1443.22</v>
      </c>
      <c r="G1586">
        <f t="shared" si="26"/>
        <v>254223.20300000001</v>
      </c>
      <c r="H1586" t="str">
        <f>IF(BOQ_Table[[#This Row],[Amount]]&gt;100000,"Over Budget","OK")</f>
        <v>Over Budget</v>
      </c>
      <c r="I1586" t="str">
        <f>IF(OR(BOQ_Table[[#This Row],[Quantity]]="",BOQ_Table[[#This Row],[Rate]]=""),"Missing","OK")</f>
        <v>OK</v>
      </c>
    </row>
    <row r="1587" spans="1:9" x14ac:dyDescent="0.35">
      <c r="A1587" t="s">
        <v>1611</v>
      </c>
      <c r="B1587" t="s">
        <v>16</v>
      </c>
      <c r="C1587" t="s">
        <v>17</v>
      </c>
      <c r="D1587">
        <v>66.56</v>
      </c>
      <c r="E1587" t="s">
        <v>22</v>
      </c>
      <c r="F1587">
        <v>1453.64</v>
      </c>
      <c r="G1587">
        <f t="shared" si="26"/>
        <v>96754.27840000001</v>
      </c>
      <c r="H1587" t="str">
        <f>IF(BOQ_Table[[#This Row],[Amount]]&gt;100000,"Over Budget","OK")</f>
        <v>OK</v>
      </c>
      <c r="I1587" t="str">
        <f>IF(OR(BOQ_Table[[#This Row],[Quantity]]="",BOQ_Table[[#This Row],[Rate]]=""),"Missing","OK")</f>
        <v>OK</v>
      </c>
    </row>
    <row r="1588" spans="1:9" x14ac:dyDescent="0.35">
      <c r="A1588" t="s">
        <v>1612</v>
      </c>
      <c r="B1588" t="s">
        <v>16</v>
      </c>
      <c r="C1588" t="s">
        <v>8</v>
      </c>
      <c r="D1588">
        <v>254.28</v>
      </c>
      <c r="E1588" t="s">
        <v>14</v>
      </c>
      <c r="F1588">
        <v>1987.95</v>
      </c>
      <c r="G1588">
        <f t="shared" si="26"/>
        <v>505495.92600000004</v>
      </c>
      <c r="H1588" t="str">
        <f>IF(BOQ_Table[[#This Row],[Amount]]&gt;100000,"Over Budget","OK")</f>
        <v>Over Budget</v>
      </c>
      <c r="I1588" t="str">
        <f>IF(OR(BOQ_Table[[#This Row],[Quantity]]="",BOQ_Table[[#This Row],[Rate]]=""),"Missing","OK")</f>
        <v>OK</v>
      </c>
    </row>
    <row r="1589" spans="1:9" x14ac:dyDescent="0.35">
      <c r="A1589" t="s">
        <v>1613</v>
      </c>
      <c r="B1589" t="s">
        <v>30</v>
      </c>
      <c r="C1589" t="s">
        <v>12</v>
      </c>
      <c r="D1589">
        <v>455.69</v>
      </c>
      <c r="E1589" t="s">
        <v>9</v>
      </c>
      <c r="F1589">
        <v>3394.1</v>
      </c>
      <c r="G1589">
        <f t="shared" si="26"/>
        <v>1546657.429</v>
      </c>
      <c r="H1589" t="str">
        <f>IF(BOQ_Table[[#This Row],[Amount]]&gt;100000,"Over Budget","OK")</f>
        <v>Over Budget</v>
      </c>
      <c r="I1589" t="str">
        <f>IF(OR(BOQ_Table[[#This Row],[Quantity]]="",BOQ_Table[[#This Row],[Rate]]=""),"Missing","OK")</f>
        <v>OK</v>
      </c>
    </row>
    <row r="1590" spans="1:9" x14ac:dyDescent="0.35">
      <c r="A1590" t="s">
        <v>1614</v>
      </c>
      <c r="B1590" t="s">
        <v>7</v>
      </c>
      <c r="C1590" t="s">
        <v>17</v>
      </c>
      <c r="D1590">
        <v>84.53</v>
      </c>
      <c r="E1590" t="s">
        <v>27</v>
      </c>
      <c r="F1590">
        <v>2400.15</v>
      </c>
      <c r="G1590">
        <f t="shared" si="26"/>
        <v>202884.6795</v>
      </c>
      <c r="H1590" t="str">
        <f>IF(BOQ_Table[[#This Row],[Amount]]&gt;100000,"Over Budget","OK")</f>
        <v>Over Budget</v>
      </c>
      <c r="I1590" t="str">
        <f>IF(OR(BOQ_Table[[#This Row],[Quantity]]="",BOQ_Table[[#This Row],[Rate]]=""),"Missing","OK")</f>
        <v>OK</v>
      </c>
    </row>
    <row r="1591" spans="1:9" x14ac:dyDescent="0.35">
      <c r="A1591" t="s">
        <v>1615</v>
      </c>
      <c r="B1591" t="s">
        <v>40</v>
      </c>
      <c r="C1591" t="s">
        <v>12</v>
      </c>
      <c r="D1591">
        <v>102.52</v>
      </c>
      <c r="E1591" t="s">
        <v>27</v>
      </c>
      <c r="F1591">
        <v>4537.38</v>
      </c>
      <c r="G1591">
        <f t="shared" si="26"/>
        <v>465172.19760000001</v>
      </c>
      <c r="H1591" t="str">
        <f>IF(BOQ_Table[[#This Row],[Amount]]&gt;100000,"Over Budget","OK")</f>
        <v>Over Budget</v>
      </c>
      <c r="I1591" t="str">
        <f>IF(OR(BOQ_Table[[#This Row],[Quantity]]="",BOQ_Table[[#This Row],[Rate]]=""),"Missing","OK")</f>
        <v>OK</v>
      </c>
    </row>
    <row r="1592" spans="1:9" x14ac:dyDescent="0.35">
      <c r="A1592" t="s">
        <v>1616</v>
      </c>
      <c r="B1592" t="s">
        <v>30</v>
      </c>
      <c r="C1592" t="s">
        <v>12</v>
      </c>
      <c r="D1592">
        <v>328.72</v>
      </c>
      <c r="E1592" t="s">
        <v>22</v>
      </c>
      <c r="F1592">
        <v>3990.45</v>
      </c>
      <c r="G1592">
        <f t="shared" si="26"/>
        <v>1311740.7240000002</v>
      </c>
      <c r="H1592" t="str">
        <f>IF(BOQ_Table[[#This Row],[Amount]]&gt;100000,"Over Budget","OK")</f>
        <v>Over Budget</v>
      </c>
      <c r="I1592" t="str">
        <f>IF(OR(BOQ_Table[[#This Row],[Quantity]]="",BOQ_Table[[#This Row],[Rate]]=""),"Missing","OK")</f>
        <v>OK</v>
      </c>
    </row>
    <row r="1593" spans="1:9" x14ac:dyDescent="0.35">
      <c r="A1593" t="s">
        <v>1617</v>
      </c>
      <c r="B1593" t="s">
        <v>46</v>
      </c>
      <c r="C1593" t="s">
        <v>17</v>
      </c>
      <c r="D1593">
        <v>50.46</v>
      </c>
      <c r="E1593" t="s">
        <v>18</v>
      </c>
      <c r="F1593">
        <v>2314.38</v>
      </c>
      <c r="G1593">
        <f t="shared" si="26"/>
        <v>116783.61480000001</v>
      </c>
      <c r="H1593" t="str">
        <f>IF(BOQ_Table[[#This Row],[Amount]]&gt;100000,"Over Budget","OK")</f>
        <v>Over Budget</v>
      </c>
      <c r="I1593" t="str">
        <f>IF(OR(BOQ_Table[[#This Row],[Quantity]]="",BOQ_Table[[#This Row],[Rate]]=""),"Missing","OK")</f>
        <v>OK</v>
      </c>
    </row>
    <row r="1594" spans="1:9" x14ac:dyDescent="0.35">
      <c r="A1594" t="s">
        <v>1618</v>
      </c>
      <c r="B1594" t="s">
        <v>30</v>
      </c>
      <c r="C1594" t="s">
        <v>8</v>
      </c>
      <c r="D1594">
        <v>276.19</v>
      </c>
      <c r="E1594" t="s">
        <v>9</v>
      </c>
      <c r="F1594">
        <v>4358.18</v>
      </c>
      <c r="G1594">
        <f t="shared" si="26"/>
        <v>1203685.7342000001</v>
      </c>
      <c r="H1594" t="str">
        <f>IF(BOQ_Table[[#This Row],[Amount]]&gt;100000,"Over Budget","OK")</f>
        <v>Over Budget</v>
      </c>
      <c r="I1594" t="str">
        <f>IF(OR(BOQ_Table[[#This Row],[Quantity]]="",BOQ_Table[[#This Row],[Rate]]=""),"Missing","OK")</f>
        <v>OK</v>
      </c>
    </row>
    <row r="1595" spans="1:9" x14ac:dyDescent="0.35">
      <c r="A1595" t="s">
        <v>1619</v>
      </c>
      <c r="B1595" t="s">
        <v>16</v>
      </c>
      <c r="C1595" t="s">
        <v>12</v>
      </c>
      <c r="D1595">
        <v>300.61</v>
      </c>
      <c r="E1595" t="s">
        <v>14</v>
      </c>
      <c r="F1595">
        <v>968.34</v>
      </c>
      <c r="G1595">
        <f t="shared" si="26"/>
        <v>291092.6874</v>
      </c>
      <c r="H1595" t="str">
        <f>IF(BOQ_Table[[#This Row],[Amount]]&gt;100000,"Over Budget","OK")</f>
        <v>Over Budget</v>
      </c>
      <c r="I1595" t="str">
        <f>IF(OR(BOQ_Table[[#This Row],[Quantity]]="",BOQ_Table[[#This Row],[Rate]]=""),"Missing","OK")</f>
        <v>OK</v>
      </c>
    </row>
    <row r="1596" spans="1:9" x14ac:dyDescent="0.35">
      <c r="A1596" t="s">
        <v>1620</v>
      </c>
      <c r="B1596" t="s">
        <v>40</v>
      </c>
      <c r="C1596" t="s">
        <v>21</v>
      </c>
      <c r="D1596">
        <v>488.81</v>
      </c>
      <c r="E1596" t="s">
        <v>27</v>
      </c>
      <c r="F1596">
        <v>1592.19</v>
      </c>
      <c r="G1596">
        <f t="shared" si="26"/>
        <v>778278.39390000002</v>
      </c>
      <c r="H1596" t="str">
        <f>IF(BOQ_Table[[#This Row],[Amount]]&gt;100000,"Over Budget","OK")</f>
        <v>Over Budget</v>
      </c>
      <c r="I1596" t="str">
        <f>IF(OR(BOQ_Table[[#This Row],[Quantity]]="",BOQ_Table[[#This Row],[Rate]]=""),"Missing","OK")</f>
        <v>OK</v>
      </c>
    </row>
    <row r="1597" spans="1:9" x14ac:dyDescent="0.35">
      <c r="A1597" t="s">
        <v>1621</v>
      </c>
      <c r="B1597" t="s">
        <v>46</v>
      </c>
      <c r="C1597" t="s">
        <v>21</v>
      </c>
      <c r="D1597">
        <v>414.48</v>
      </c>
      <c r="E1597" t="s">
        <v>14</v>
      </c>
      <c r="F1597">
        <v>3461.14</v>
      </c>
      <c r="G1597">
        <f t="shared" si="26"/>
        <v>1434573.3071999999</v>
      </c>
      <c r="H1597" t="str">
        <f>IF(BOQ_Table[[#This Row],[Amount]]&gt;100000,"Over Budget","OK")</f>
        <v>Over Budget</v>
      </c>
      <c r="I1597" t="str">
        <f>IF(OR(BOQ_Table[[#This Row],[Quantity]]="",BOQ_Table[[#This Row],[Rate]]=""),"Missing","OK")</f>
        <v>OK</v>
      </c>
    </row>
    <row r="1598" spans="1:9" x14ac:dyDescent="0.35">
      <c r="A1598" t="s">
        <v>1622</v>
      </c>
      <c r="B1598" t="s">
        <v>11</v>
      </c>
      <c r="C1598" t="s">
        <v>12</v>
      </c>
      <c r="D1598">
        <v>349.43</v>
      </c>
      <c r="E1598" t="s">
        <v>18</v>
      </c>
      <c r="F1598">
        <v>2646.53</v>
      </c>
      <c r="G1598">
        <f t="shared" si="26"/>
        <v>924776.97790000006</v>
      </c>
      <c r="H1598" t="str">
        <f>IF(BOQ_Table[[#This Row],[Amount]]&gt;100000,"Over Budget","OK")</f>
        <v>Over Budget</v>
      </c>
      <c r="I1598" t="str">
        <f>IF(OR(BOQ_Table[[#This Row],[Quantity]]="",BOQ_Table[[#This Row],[Rate]]=""),"Missing","OK")</f>
        <v>OK</v>
      </c>
    </row>
    <row r="1599" spans="1:9" x14ac:dyDescent="0.35">
      <c r="A1599" t="s">
        <v>1623</v>
      </c>
      <c r="B1599" t="s">
        <v>7</v>
      </c>
      <c r="C1599" t="s">
        <v>8</v>
      </c>
      <c r="D1599">
        <v>112.61</v>
      </c>
      <c r="E1599" t="s">
        <v>22</v>
      </c>
      <c r="F1599">
        <v>4811.25</v>
      </c>
      <c r="G1599">
        <f t="shared" si="26"/>
        <v>541794.86250000005</v>
      </c>
      <c r="H1599" t="str">
        <f>IF(BOQ_Table[[#This Row],[Amount]]&gt;100000,"Over Budget","OK")</f>
        <v>Over Budget</v>
      </c>
      <c r="I1599" t="str">
        <f>IF(OR(BOQ_Table[[#This Row],[Quantity]]="",BOQ_Table[[#This Row],[Rate]]=""),"Missing","OK")</f>
        <v>OK</v>
      </c>
    </row>
    <row r="1600" spans="1:9" x14ac:dyDescent="0.35">
      <c r="A1600" t="s">
        <v>1624</v>
      </c>
      <c r="B1600" t="s">
        <v>46</v>
      </c>
      <c r="C1600" t="s">
        <v>38</v>
      </c>
      <c r="D1600">
        <v>452.2</v>
      </c>
      <c r="E1600" t="s">
        <v>18</v>
      </c>
      <c r="F1600">
        <v>192.49</v>
      </c>
      <c r="G1600">
        <f t="shared" si="26"/>
        <v>87043.978000000003</v>
      </c>
      <c r="H1600" t="str">
        <f>IF(BOQ_Table[[#This Row],[Amount]]&gt;100000,"Over Budget","OK")</f>
        <v>OK</v>
      </c>
      <c r="I1600" t="str">
        <f>IF(OR(BOQ_Table[[#This Row],[Quantity]]="",BOQ_Table[[#This Row],[Rate]]=""),"Missing","OK")</f>
        <v>OK</v>
      </c>
    </row>
    <row r="1601" spans="1:9" x14ac:dyDescent="0.35">
      <c r="A1601" t="s">
        <v>1625</v>
      </c>
      <c r="B1601" t="s">
        <v>46</v>
      </c>
      <c r="C1601" t="s">
        <v>12</v>
      </c>
      <c r="D1601">
        <v>13.76</v>
      </c>
      <c r="E1601" t="s">
        <v>14</v>
      </c>
      <c r="F1601">
        <v>4596.66</v>
      </c>
      <c r="G1601">
        <f t="shared" si="26"/>
        <v>63250.041599999997</v>
      </c>
      <c r="H1601" t="str">
        <f>IF(BOQ_Table[[#This Row],[Amount]]&gt;100000,"Over Budget","OK")</f>
        <v>OK</v>
      </c>
      <c r="I1601" t="str">
        <f>IF(OR(BOQ_Table[[#This Row],[Quantity]]="",BOQ_Table[[#This Row],[Rate]]=""),"Missing","OK")</f>
        <v>OK</v>
      </c>
    </row>
    <row r="1602" spans="1:9" x14ac:dyDescent="0.35">
      <c r="A1602" t="s">
        <v>1626</v>
      </c>
      <c r="B1602" t="s">
        <v>56</v>
      </c>
      <c r="C1602" t="s">
        <v>17</v>
      </c>
      <c r="D1602">
        <v>72.63</v>
      </c>
      <c r="E1602" t="s">
        <v>27</v>
      </c>
      <c r="F1602">
        <v>767.41</v>
      </c>
      <c r="G1602">
        <f t="shared" ref="G1602:G1665" si="27">D1602*F1602</f>
        <v>55736.988299999997</v>
      </c>
      <c r="H1602" t="str">
        <f>IF(BOQ_Table[[#This Row],[Amount]]&gt;100000,"Over Budget","OK")</f>
        <v>OK</v>
      </c>
      <c r="I1602" t="str">
        <f>IF(OR(BOQ_Table[[#This Row],[Quantity]]="",BOQ_Table[[#This Row],[Rate]]=""),"Missing","OK")</f>
        <v>OK</v>
      </c>
    </row>
    <row r="1603" spans="1:9" x14ac:dyDescent="0.35">
      <c r="A1603" t="s">
        <v>1627</v>
      </c>
      <c r="B1603" t="s">
        <v>40</v>
      </c>
      <c r="C1603" t="s">
        <v>17</v>
      </c>
      <c r="D1603">
        <v>148.09</v>
      </c>
      <c r="E1603" t="s">
        <v>27</v>
      </c>
      <c r="F1603">
        <v>720.9</v>
      </c>
      <c r="G1603">
        <f t="shared" si="27"/>
        <v>106758.08100000001</v>
      </c>
      <c r="H1603" t="str">
        <f>IF(BOQ_Table[[#This Row],[Amount]]&gt;100000,"Over Budget","OK")</f>
        <v>Over Budget</v>
      </c>
      <c r="I1603" t="str">
        <f>IF(OR(BOQ_Table[[#This Row],[Quantity]]="",BOQ_Table[[#This Row],[Rate]]=""),"Missing","OK")</f>
        <v>OK</v>
      </c>
    </row>
    <row r="1604" spans="1:9" x14ac:dyDescent="0.35">
      <c r="A1604" t="s">
        <v>1628</v>
      </c>
      <c r="B1604" t="s">
        <v>30</v>
      </c>
      <c r="C1604" t="s">
        <v>12</v>
      </c>
      <c r="D1604">
        <v>300.05</v>
      </c>
      <c r="E1604" t="s">
        <v>27</v>
      </c>
      <c r="F1604">
        <v>2347.08</v>
      </c>
      <c r="G1604">
        <f t="shared" si="27"/>
        <v>704241.35400000005</v>
      </c>
      <c r="H1604" t="str">
        <f>IF(BOQ_Table[[#This Row],[Amount]]&gt;100000,"Over Budget","OK")</f>
        <v>Over Budget</v>
      </c>
      <c r="I1604" t="str">
        <f>IF(OR(BOQ_Table[[#This Row],[Quantity]]="",BOQ_Table[[#This Row],[Rate]]=""),"Missing","OK")</f>
        <v>OK</v>
      </c>
    </row>
    <row r="1605" spans="1:9" x14ac:dyDescent="0.35">
      <c r="A1605" t="s">
        <v>1629</v>
      </c>
      <c r="B1605" t="s">
        <v>40</v>
      </c>
      <c r="C1605" t="s">
        <v>38</v>
      </c>
      <c r="D1605">
        <v>269.8</v>
      </c>
      <c r="E1605" t="s">
        <v>22</v>
      </c>
      <c r="F1605">
        <v>840.46</v>
      </c>
      <c r="G1605">
        <f t="shared" si="27"/>
        <v>226756.10800000001</v>
      </c>
      <c r="H1605" t="str">
        <f>IF(BOQ_Table[[#This Row],[Amount]]&gt;100000,"Over Budget","OK")</f>
        <v>Over Budget</v>
      </c>
      <c r="I1605" t="str">
        <f>IF(OR(BOQ_Table[[#This Row],[Quantity]]="",BOQ_Table[[#This Row],[Rate]]=""),"Missing","OK")</f>
        <v>OK</v>
      </c>
    </row>
    <row r="1606" spans="1:9" x14ac:dyDescent="0.35">
      <c r="A1606" t="s">
        <v>1630</v>
      </c>
      <c r="B1606" t="s">
        <v>7</v>
      </c>
      <c r="C1606" t="s">
        <v>8</v>
      </c>
      <c r="D1606">
        <v>429.89</v>
      </c>
      <c r="E1606" t="s">
        <v>9</v>
      </c>
      <c r="F1606">
        <v>2771.2</v>
      </c>
      <c r="G1606">
        <f t="shared" si="27"/>
        <v>1191311.1679999998</v>
      </c>
      <c r="H1606" t="str">
        <f>IF(BOQ_Table[[#This Row],[Amount]]&gt;100000,"Over Budget","OK")</f>
        <v>Over Budget</v>
      </c>
      <c r="I1606" t="str">
        <f>IF(OR(BOQ_Table[[#This Row],[Quantity]]="",BOQ_Table[[#This Row],[Rate]]=""),"Missing","OK")</f>
        <v>OK</v>
      </c>
    </row>
    <row r="1607" spans="1:9" x14ac:dyDescent="0.35">
      <c r="A1607" t="s">
        <v>1631</v>
      </c>
      <c r="B1607" t="s">
        <v>20</v>
      </c>
      <c r="C1607" t="s">
        <v>8</v>
      </c>
      <c r="D1607">
        <v>83.31</v>
      </c>
      <c r="E1607" t="s">
        <v>27</v>
      </c>
      <c r="F1607">
        <v>143.56</v>
      </c>
      <c r="G1607">
        <f t="shared" si="27"/>
        <v>11959.983600000001</v>
      </c>
      <c r="H1607" t="str">
        <f>IF(BOQ_Table[[#This Row],[Amount]]&gt;100000,"Over Budget","OK")</f>
        <v>OK</v>
      </c>
      <c r="I1607" t="str">
        <f>IF(OR(BOQ_Table[[#This Row],[Quantity]]="",BOQ_Table[[#This Row],[Rate]]=""),"Missing","OK")</f>
        <v>OK</v>
      </c>
    </row>
    <row r="1608" spans="1:9" x14ac:dyDescent="0.35">
      <c r="A1608" t="s">
        <v>1632</v>
      </c>
      <c r="B1608" t="s">
        <v>20</v>
      </c>
      <c r="C1608" t="s">
        <v>8</v>
      </c>
      <c r="D1608">
        <v>253.75</v>
      </c>
      <c r="E1608" t="s">
        <v>9</v>
      </c>
      <c r="F1608">
        <v>3579.25</v>
      </c>
      <c r="G1608">
        <f t="shared" si="27"/>
        <v>908234.6875</v>
      </c>
      <c r="H1608" t="str">
        <f>IF(BOQ_Table[[#This Row],[Amount]]&gt;100000,"Over Budget","OK")</f>
        <v>Over Budget</v>
      </c>
      <c r="I1608" t="str">
        <f>IF(OR(BOQ_Table[[#This Row],[Quantity]]="",BOQ_Table[[#This Row],[Rate]]=""),"Missing","OK")</f>
        <v>OK</v>
      </c>
    </row>
    <row r="1609" spans="1:9" x14ac:dyDescent="0.35">
      <c r="A1609" t="s">
        <v>1633</v>
      </c>
      <c r="B1609" t="s">
        <v>32</v>
      </c>
      <c r="C1609" t="s">
        <v>17</v>
      </c>
      <c r="D1609">
        <v>263.27</v>
      </c>
      <c r="E1609" t="s">
        <v>9</v>
      </c>
      <c r="F1609">
        <v>3143.38</v>
      </c>
      <c r="G1609">
        <f t="shared" si="27"/>
        <v>827557.65259999991</v>
      </c>
      <c r="H1609" t="str">
        <f>IF(BOQ_Table[[#This Row],[Amount]]&gt;100000,"Over Budget","OK")</f>
        <v>Over Budget</v>
      </c>
      <c r="I1609" t="str">
        <f>IF(OR(BOQ_Table[[#This Row],[Quantity]]="",BOQ_Table[[#This Row],[Rate]]=""),"Missing","OK")</f>
        <v>OK</v>
      </c>
    </row>
    <row r="1610" spans="1:9" x14ac:dyDescent="0.35">
      <c r="A1610" t="s">
        <v>1634</v>
      </c>
      <c r="B1610" t="s">
        <v>30</v>
      </c>
      <c r="C1610" t="s">
        <v>17</v>
      </c>
      <c r="D1610">
        <v>312.5</v>
      </c>
      <c r="E1610" t="s">
        <v>27</v>
      </c>
      <c r="F1610">
        <v>2636.35</v>
      </c>
      <c r="G1610">
        <f t="shared" si="27"/>
        <v>823859.375</v>
      </c>
      <c r="H1610" t="str">
        <f>IF(BOQ_Table[[#This Row],[Amount]]&gt;100000,"Over Budget","OK")</f>
        <v>Over Budget</v>
      </c>
      <c r="I1610" t="str">
        <f>IF(OR(BOQ_Table[[#This Row],[Quantity]]="",BOQ_Table[[#This Row],[Rate]]=""),"Missing","OK")</f>
        <v>OK</v>
      </c>
    </row>
    <row r="1611" spans="1:9" x14ac:dyDescent="0.35">
      <c r="A1611" t="s">
        <v>1635</v>
      </c>
      <c r="B1611" t="s">
        <v>30</v>
      </c>
      <c r="C1611" t="s">
        <v>8</v>
      </c>
      <c r="D1611">
        <v>141.87</v>
      </c>
      <c r="E1611" t="s">
        <v>18</v>
      </c>
      <c r="F1611">
        <v>4598.4799999999996</v>
      </c>
      <c r="G1611">
        <f t="shared" si="27"/>
        <v>652386.35759999999</v>
      </c>
      <c r="H1611" t="str">
        <f>IF(BOQ_Table[[#This Row],[Amount]]&gt;100000,"Over Budget","OK")</f>
        <v>Over Budget</v>
      </c>
      <c r="I1611" t="str">
        <f>IF(OR(BOQ_Table[[#This Row],[Quantity]]="",BOQ_Table[[#This Row],[Rate]]=""),"Missing","OK")</f>
        <v>OK</v>
      </c>
    </row>
    <row r="1612" spans="1:9" x14ac:dyDescent="0.35">
      <c r="A1612" t="s">
        <v>1636</v>
      </c>
      <c r="B1612" t="s">
        <v>16</v>
      </c>
      <c r="C1612" t="s">
        <v>12</v>
      </c>
      <c r="D1612">
        <v>183.99</v>
      </c>
      <c r="E1612" t="s">
        <v>14</v>
      </c>
      <c r="F1612">
        <v>2265.58</v>
      </c>
      <c r="G1612">
        <f t="shared" si="27"/>
        <v>416844.06420000002</v>
      </c>
      <c r="H1612" t="str">
        <f>IF(BOQ_Table[[#This Row],[Amount]]&gt;100000,"Over Budget","OK")</f>
        <v>Over Budget</v>
      </c>
      <c r="I1612" t="str">
        <f>IF(OR(BOQ_Table[[#This Row],[Quantity]]="",BOQ_Table[[#This Row],[Rate]]=""),"Missing","OK")</f>
        <v>OK</v>
      </c>
    </row>
    <row r="1613" spans="1:9" x14ac:dyDescent="0.35">
      <c r="A1613" t="s">
        <v>1637</v>
      </c>
      <c r="B1613" t="s">
        <v>7</v>
      </c>
      <c r="C1613" t="s">
        <v>17</v>
      </c>
      <c r="D1613">
        <v>164.64</v>
      </c>
      <c r="E1613" t="s">
        <v>18</v>
      </c>
      <c r="F1613">
        <v>1128.25</v>
      </c>
      <c r="G1613">
        <f t="shared" si="27"/>
        <v>185755.08</v>
      </c>
      <c r="H1613" t="str">
        <f>IF(BOQ_Table[[#This Row],[Amount]]&gt;100000,"Over Budget","OK")</f>
        <v>Over Budget</v>
      </c>
      <c r="I1613" t="str">
        <f>IF(OR(BOQ_Table[[#This Row],[Quantity]]="",BOQ_Table[[#This Row],[Rate]]=""),"Missing","OK")</f>
        <v>OK</v>
      </c>
    </row>
    <row r="1614" spans="1:9" x14ac:dyDescent="0.35">
      <c r="A1614" t="s">
        <v>1638</v>
      </c>
      <c r="B1614" t="s">
        <v>7</v>
      </c>
      <c r="C1614" t="s">
        <v>21</v>
      </c>
      <c r="D1614">
        <v>188.91</v>
      </c>
      <c r="E1614" t="s">
        <v>14</v>
      </c>
      <c r="F1614">
        <v>2612.2399999999998</v>
      </c>
      <c r="G1614">
        <f t="shared" si="27"/>
        <v>493478.25839999993</v>
      </c>
      <c r="H1614" t="str">
        <f>IF(BOQ_Table[[#This Row],[Amount]]&gt;100000,"Over Budget","OK")</f>
        <v>Over Budget</v>
      </c>
      <c r="I1614" t="str">
        <f>IF(OR(BOQ_Table[[#This Row],[Quantity]]="",BOQ_Table[[#This Row],[Rate]]=""),"Missing","OK")</f>
        <v>OK</v>
      </c>
    </row>
    <row r="1615" spans="1:9" x14ac:dyDescent="0.35">
      <c r="A1615" t="s">
        <v>1639</v>
      </c>
      <c r="B1615" t="s">
        <v>56</v>
      </c>
      <c r="C1615" t="s">
        <v>17</v>
      </c>
      <c r="D1615">
        <v>408.35</v>
      </c>
      <c r="E1615" t="s">
        <v>14</v>
      </c>
      <c r="F1615">
        <v>3549.82</v>
      </c>
      <c r="G1615">
        <f t="shared" si="27"/>
        <v>1449568.9970000002</v>
      </c>
      <c r="H1615" t="str">
        <f>IF(BOQ_Table[[#This Row],[Amount]]&gt;100000,"Over Budget","OK")</f>
        <v>Over Budget</v>
      </c>
      <c r="I1615" t="str">
        <f>IF(OR(BOQ_Table[[#This Row],[Quantity]]="",BOQ_Table[[#This Row],[Rate]]=""),"Missing","OK")</f>
        <v>OK</v>
      </c>
    </row>
    <row r="1616" spans="1:9" x14ac:dyDescent="0.35">
      <c r="A1616" t="s">
        <v>1640</v>
      </c>
      <c r="B1616" t="s">
        <v>46</v>
      </c>
      <c r="C1616" t="s">
        <v>38</v>
      </c>
      <c r="D1616">
        <v>102.96</v>
      </c>
      <c r="E1616" t="s">
        <v>18</v>
      </c>
      <c r="F1616">
        <v>3366.85</v>
      </c>
      <c r="G1616">
        <f t="shared" si="27"/>
        <v>346650.87599999999</v>
      </c>
      <c r="H1616" t="str">
        <f>IF(BOQ_Table[[#This Row],[Amount]]&gt;100000,"Over Budget","OK")</f>
        <v>Over Budget</v>
      </c>
      <c r="I1616" t="str">
        <f>IF(OR(BOQ_Table[[#This Row],[Quantity]]="",BOQ_Table[[#This Row],[Rate]]=""),"Missing","OK")</f>
        <v>OK</v>
      </c>
    </row>
    <row r="1617" spans="1:9" x14ac:dyDescent="0.35">
      <c r="A1617" t="s">
        <v>1641</v>
      </c>
      <c r="B1617" t="s">
        <v>30</v>
      </c>
      <c r="C1617" t="s">
        <v>38</v>
      </c>
      <c r="D1617">
        <v>231.61</v>
      </c>
      <c r="E1617" t="s">
        <v>9</v>
      </c>
      <c r="F1617">
        <v>634.54</v>
      </c>
      <c r="G1617">
        <f t="shared" si="27"/>
        <v>146965.8094</v>
      </c>
      <c r="H1617" t="str">
        <f>IF(BOQ_Table[[#This Row],[Amount]]&gt;100000,"Over Budget","OK")</f>
        <v>Over Budget</v>
      </c>
      <c r="I1617" t="str">
        <f>IF(OR(BOQ_Table[[#This Row],[Quantity]]="",BOQ_Table[[#This Row],[Rate]]=""),"Missing","OK")</f>
        <v>OK</v>
      </c>
    </row>
    <row r="1618" spans="1:9" x14ac:dyDescent="0.35">
      <c r="A1618" t="s">
        <v>1642</v>
      </c>
      <c r="B1618" t="s">
        <v>16</v>
      </c>
      <c r="C1618" t="s">
        <v>38</v>
      </c>
      <c r="D1618">
        <v>147.21</v>
      </c>
      <c r="E1618" t="s">
        <v>22</v>
      </c>
      <c r="F1618">
        <v>4392.2</v>
      </c>
      <c r="G1618">
        <f t="shared" si="27"/>
        <v>646575.76199999999</v>
      </c>
      <c r="H1618" t="str">
        <f>IF(BOQ_Table[[#This Row],[Amount]]&gt;100000,"Over Budget","OK")</f>
        <v>Over Budget</v>
      </c>
      <c r="I1618" t="str">
        <f>IF(OR(BOQ_Table[[#This Row],[Quantity]]="",BOQ_Table[[#This Row],[Rate]]=""),"Missing","OK")</f>
        <v>OK</v>
      </c>
    </row>
    <row r="1619" spans="1:9" x14ac:dyDescent="0.35">
      <c r="A1619" t="s">
        <v>1643</v>
      </c>
      <c r="B1619" t="s">
        <v>20</v>
      </c>
      <c r="C1619" t="s">
        <v>12</v>
      </c>
      <c r="D1619">
        <v>332.48</v>
      </c>
      <c r="E1619" t="s">
        <v>18</v>
      </c>
      <c r="F1619">
        <v>3766.86</v>
      </c>
      <c r="G1619">
        <f t="shared" si="27"/>
        <v>1252405.6128</v>
      </c>
      <c r="H1619" t="str">
        <f>IF(BOQ_Table[[#This Row],[Amount]]&gt;100000,"Over Budget","OK")</f>
        <v>Over Budget</v>
      </c>
      <c r="I1619" t="str">
        <f>IF(OR(BOQ_Table[[#This Row],[Quantity]]="",BOQ_Table[[#This Row],[Rate]]=""),"Missing","OK")</f>
        <v>OK</v>
      </c>
    </row>
    <row r="1620" spans="1:9" x14ac:dyDescent="0.35">
      <c r="A1620" t="s">
        <v>1644</v>
      </c>
      <c r="B1620" t="s">
        <v>20</v>
      </c>
      <c r="C1620" t="s">
        <v>38</v>
      </c>
      <c r="D1620">
        <v>9.84</v>
      </c>
      <c r="E1620" t="s">
        <v>9</v>
      </c>
      <c r="F1620">
        <v>2201.46</v>
      </c>
      <c r="G1620">
        <f t="shared" si="27"/>
        <v>21662.366399999999</v>
      </c>
      <c r="H1620" t="str">
        <f>IF(BOQ_Table[[#This Row],[Amount]]&gt;100000,"Over Budget","OK")</f>
        <v>OK</v>
      </c>
      <c r="I1620" t="str">
        <f>IF(OR(BOQ_Table[[#This Row],[Quantity]]="",BOQ_Table[[#This Row],[Rate]]=""),"Missing","OK")</f>
        <v>OK</v>
      </c>
    </row>
    <row r="1621" spans="1:9" x14ac:dyDescent="0.35">
      <c r="A1621" t="s">
        <v>1645</v>
      </c>
      <c r="B1621" t="s">
        <v>7</v>
      </c>
      <c r="C1621" t="s">
        <v>38</v>
      </c>
      <c r="D1621">
        <v>275.89</v>
      </c>
      <c r="E1621" t="s">
        <v>27</v>
      </c>
      <c r="F1621">
        <v>1941.86</v>
      </c>
      <c r="G1621">
        <f t="shared" si="27"/>
        <v>535739.75539999991</v>
      </c>
      <c r="H1621" t="str">
        <f>IF(BOQ_Table[[#This Row],[Amount]]&gt;100000,"Over Budget","OK")</f>
        <v>Over Budget</v>
      </c>
      <c r="I1621" t="str">
        <f>IF(OR(BOQ_Table[[#This Row],[Quantity]]="",BOQ_Table[[#This Row],[Rate]]=""),"Missing","OK")</f>
        <v>OK</v>
      </c>
    </row>
    <row r="1622" spans="1:9" x14ac:dyDescent="0.35">
      <c r="A1622" t="s">
        <v>1646</v>
      </c>
      <c r="B1622" t="s">
        <v>16</v>
      </c>
      <c r="C1622" t="s">
        <v>8</v>
      </c>
      <c r="D1622">
        <v>320.02</v>
      </c>
      <c r="E1622" t="s">
        <v>14</v>
      </c>
      <c r="F1622">
        <v>4023.36</v>
      </c>
      <c r="G1622">
        <f t="shared" si="27"/>
        <v>1287555.6672</v>
      </c>
      <c r="H1622" t="str">
        <f>IF(BOQ_Table[[#This Row],[Amount]]&gt;100000,"Over Budget","OK")</f>
        <v>Over Budget</v>
      </c>
      <c r="I1622" t="str">
        <f>IF(OR(BOQ_Table[[#This Row],[Quantity]]="",BOQ_Table[[#This Row],[Rate]]=""),"Missing","OK")</f>
        <v>OK</v>
      </c>
    </row>
    <row r="1623" spans="1:9" x14ac:dyDescent="0.35">
      <c r="A1623" t="s">
        <v>1647</v>
      </c>
      <c r="B1623" t="s">
        <v>16</v>
      </c>
      <c r="C1623" t="s">
        <v>12</v>
      </c>
      <c r="D1623">
        <v>456.23</v>
      </c>
      <c r="E1623" t="s">
        <v>27</v>
      </c>
      <c r="F1623">
        <v>261.02999999999997</v>
      </c>
      <c r="G1623">
        <f t="shared" si="27"/>
        <v>119089.7169</v>
      </c>
      <c r="H1623" t="str">
        <f>IF(BOQ_Table[[#This Row],[Amount]]&gt;100000,"Over Budget","OK")</f>
        <v>Over Budget</v>
      </c>
      <c r="I1623" t="str">
        <f>IF(OR(BOQ_Table[[#This Row],[Quantity]]="",BOQ_Table[[#This Row],[Rate]]=""),"Missing","OK")</f>
        <v>OK</v>
      </c>
    </row>
    <row r="1624" spans="1:9" x14ac:dyDescent="0.35">
      <c r="A1624" t="s">
        <v>1648</v>
      </c>
      <c r="B1624" t="s">
        <v>40</v>
      </c>
      <c r="C1624" t="s">
        <v>12</v>
      </c>
      <c r="D1624">
        <v>335.83</v>
      </c>
      <c r="E1624" t="s">
        <v>14</v>
      </c>
      <c r="F1624">
        <v>3897.32</v>
      </c>
      <c r="G1624">
        <f t="shared" si="27"/>
        <v>1308836.9756</v>
      </c>
      <c r="H1624" t="str">
        <f>IF(BOQ_Table[[#This Row],[Amount]]&gt;100000,"Over Budget","OK")</f>
        <v>Over Budget</v>
      </c>
      <c r="I1624" t="str">
        <f>IF(OR(BOQ_Table[[#This Row],[Quantity]]="",BOQ_Table[[#This Row],[Rate]]=""),"Missing","OK")</f>
        <v>OK</v>
      </c>
    </row>
    <row r="1625" spans="1:9" x14ac:dyDescent="0.35">
      <c r="A1625" t="s">
        <v>1649</v>
      </c>
      <c r="B1625" t="s">
        <v>20</v>
      </c>
      <c r="C1625" t="s">
        <v>12</v>
      </c>
      <c r="D1625">
        <v>182.12</v>
      </c>
      <c r="E1625" t="s">
        <v>27</v>
      </c>
      <c r="F1625">
        <v>4670.59</v>
      </c>
      <c r="G1625">
        <f t="shared" si="27"/>
        <v>850607.85080000001</v>
      </c>
      <c r="H1625" t="str">
        <f>IF(BOQ_Table[[#This Row],[Amount]]&gt;100000,"Over Budget","OK")</f>
        <v>Over Budget</v>
      </c>
      <c r="I1625" t="str">
        <f>IF(OR(BOQ_Table[[#This Row],[Quantity]]="",BOQ_Table[[#This Row],[Rate]]=""),"Missing","OK")</f>
        <v>OK</v>
      </c>
    </row>
    <row r="1626" spans="1:9" x14ac:dyDescent="0.35">
      <c r="A1626" t="s">
        <v>1650</v>
      </c>
      <c r="B1626" t="s">
        <v>42</v>
      </c>
      <c r="C1626" t="s">
        <v>12</v>
      </c>
      <c r="D1626">
        <v>309.17</v>
      </c>
      <c r="E1626" t="s">
        <v>18</v>
      </c>
      <c r="F1626">
        <v>1265.93</v>
      </c>
      <c r="G1626">
        <f t="shared" si="27"/>
        <v>391387.57810000004</v>
      </c>
      <c r="H1626" t="str">
        <f>IF(BOQ_Table[[#This Row],[Amount]]&gt;100000,"Over Budget","OK")</f>
        <v>Over Budget</v>
      </c>
      <c r="I1626" t="str">
        <f>IF(OR(BOQ_Table[[#This Row],[Quantity]]="",BOQ_Table[[#This Row],[Rate]]=""),"Missing","OK")</f>
        <v>OK</v>
      </c>
    </row>
    <row r="1627" spans="1:9" x14ac:dyDescent="0.35">
      <c r="A1627" t="s">
        <v>1651</v>
      </c>
      <c r="B1627" t="s">
        <v>20</v>
      </c>
      <c r="C1627" t="s">
        <v>12</v>
      </c>
      <c r="D1627">
        <v>455.48</v>
      </c>
      <c r="E1627" t="s">
        <v>9</v>
      </c>
      <c r="F1627">
        <v>3924.62</v>
      </c>
      <c r="G1627">
        <f t="shared" si="27"/>
        <v>1787585.9176</v>
      </c>
      <c r="H1627" t="str">
        <f>IF(BOQ_Table[[#This Row],[Amount]]&gt;100000,"Over Budget","OK")</f>
        <v>Over Budget</v>
      </c>
      <c r="I1627" t="str">
        <f>IF(OR(BOQ_Table[[#This Row],[Quantity]]="",BOQ_Table[[#This Row],[Rate]]=""),"Missing","OK")</f>
        <v>OK</v>
      </c>
    </row>
    <row r="1628" spans="1:9" x14ac:dyDescent="0.35">
      <c r="A1628" t="s">
        <v>1652</v>
      </c>
      <c r="B1628" t="s">
        <v>11</v>
      </c>
      <c r="C1628" t="s">
        <v>17</v>
      </c>
      <c r="D1628">
        <v>227.84</v>
      </c>
      <c r="E1628" t="s">
        <v>18</v>
      </c>
      <c r="F1628">
        <v>2212.31</v>
      </c>
      <c r="G1628">
        <f t="shared" si="27"/>
        <v>504052.71039999998</v>
      </c>
      <c r="H1628" t="str">
        <f>IF(BOQ_Table[[#This Row],[Amount]]&gt;100000,"Over Budget","OK")</f>
        <v>Over Budget</v>
      </c>
      <c r="I1628" t="str">
        <f>IF(OR(BOQ_Table[[#This Row],[Quantity]]="",BOQ_Table[[#This Row],[Rate]]=""),"Missing","OK")</f>
        <v>OK</v>
      </c>
    </row>
    <row r="1629" spans="1:9" x14ac:dyDescent="0.35">
      <c r="A1629" t="s">
        <v>1653</v>
      </c>
      <c r="B1629" t="s">
        <v>7</v>
      </c>
      <c r="C1629" t="s">
        <v>12</v>
      </c>
      <c r="D1629">
        <v>44.09</v>
      </c>
      <c r="E1629" t="s">
        <v>9</v>
      </c>
      <c r="F1629">
        <v>4805.3</v>
      </c>
      <c r="G1629">
        <f t="shared" si="27"/>
        <v>211865.67700000003</v>
      </c>
      <c r="H1629" t="str">
        <f>IF(BOQ_Table[[#This Row],[Amount]]&gt;100000,"Over Budget","OK")</f>
        <v>Over Budget</v>
      </c>
      <c r="I1629" t="str">
        <f>IF(OR(BOQ_Table[[#This Row],[Quantity]]="",BOQ_Table[[#This Row],[Rate]]=""),"Missing","OK")</f>
        <v>OK</v>
      </c>
    </row>
    <row r="1630" spans="1:9" x14ac:dyDescent="0.35">
      <c r="A1630" t="s">
        <v>1654</v>
      </c>
      <c r="B1630" t="s">
        <v>46</v>
      </c>
      <c r="C1630" t="s">
        <v>12</v>
      </c>
      <c r="D1630">
        <v>25.79</v>
      </c>
      <c r="E1630" t="s">
        <v>9</v>
      </c>
      <c r="F1630">
        <v>4765.6400000000003</v>
      </c>
      <c r="G1630">
        <f t="shared" si="27"/>
        <v>122905.85560000001</v>
      </c>
      <c r="H1630" t="str">
        <f>IF(BOQ_Table[[#This Row],[Amount]]&gt;100000,"Over Budget","OK")</f>
        <v>Over Budget</v>
      </c>
      <c r="I1630" t="str">
        <f>IF(OR(BOQ_Table[[#This Row],[Quantity]]="",BOQ_Table[[#This Row],[Rate]]=""),"Missing","OK")</f>
        <v>OK</v>
      </c>
    </row>
    <row r="1631" spans="1:9" x14ac:dyDescent="0.35">
      <c r="A1631" t="s">
        <v>1655</v>
      </c>
      <c r="B1631" t="s">
        <v>56</v>
      </c>
      <c r="C1631" t="s">
        <v>38</v>
      </c>
      <c r="D1631">
        <v>36.15</v>
      </c>
      <c r="E1631" t="s">
        <v>14</v>
      </c>
      <c r="F1631">
        <v>3771.53</v>
      </c>
      <c r="G1631">
        <f t="shared" si="27"/>
        <v>136340.8095</v>
      </c>
      <c r="H1631" t="str">
        <f>IF(BOQ_Table[[#This Row],[Amount]]&gt;100000,"Over Budget","OK")</f>
        <v>Over Budget</v>
      </c>
      <c r="I1631" t="str">
        <f>IF(OR(BOQ_Table[[#This Row],[Quantity]]="",BOQ_Table[[#This Row],[Rate]]=""),"Missing","OK")</f>
        <v>OK</v>
      </c>
    </row>
    <row r="1632" spans="1:9" x14ac:dyDescent="0.35">
      <c r="A1632" t="s">
        <v>1656</v>
      </c>
      <c r="B1632" t="s">
        <v>46</v>
      </c>
      <c r="C1632" t="s">
        <v>12</v>
      </c>
      <c r="D1632">
        <v>363.57</v>
      </c>
      <c r="E1632" t="s">
        <v>27</v>
      </c>
      <c r="F1632">
        <v>1087.1099999999999</v>
      </c>
      <c r="G1632">
        <f t="shared" si="27"/>
        <v>395240.58269999997</v>
      </c>
      <c r="H1632" t="str">
        <f>IF(BOQ_Table[[#This Row],[Amount]]&gt;100000,"Over Budget","OK")</f>
        <v>Over Budget</v>
      </c>
      <c r="I1632" t="str">
        <f>IF(OR(BOQ_Table[[#This Row],[Quantity]]="",BOQ_Table[[#This Row],[Rate]]=""),"Missing","OK")</f>
        <v>OK</v>
      </c>
    </row>
    <row r="1633" spans="1:9" x14ac:dyDescent="0.35">
      <c r="A1633" t="s">
        <v>1657</v>
      </c>
      <c r="B1633" t="s">
        <v>56</v>
      </c>
      <c r="C1633" t="s">
        <v>17</v>
      </c>
      <c r="D1633">
        <v>445.9</v>
      </c>
      <c r="E1633" t="s">
        <v>9</v>
      </c>
      <c r="F1633">
        <v>1269.4000000000001</v>
      </c>
      <c r="G1633">
        <f t="shared" si="27"/>
        <v>566025.46</v>
      </c>
      <c r="H1633" t="str">
        <f>IF(BOQ_Table[[#This Row],[Amount]]&gt;100000,"Over Budget","OK")</f>
        <v>Over Budget</v>
      </c>
      <c r="I1633" t="str">
        <f>IF(OR(BOQ_Table[[#This Row],[Quantity]]="",BOQ_Table[[#This Row],[Rate]]=""),"Missing","OK")</f>
        <v>OK</v>
      </c>
    </row>
    <row r="1634" spans="1:9" x14ac:dyDescent="0.35">
      <c r="A1634" t="s">
        <v>1658</v>
      </c>
      <c r="B1634" t="s">
        <v>46</v>
      </c>
      <c r="C1634" t="s">
        <v>21</v>
      </c>
      <c r="D1634">
        <v>375.65</v>
      </c>
      <c r="E1634" t="s">
        <v>14</v>
      </c>
      <c r="F1634">
        <v>2060.67</v>
      </c>
      <c r="G1634">
        <f t="shared" si="27"/>
        <v>774090.68550000002</v>
      </c>
      <c r="H1634" t="str">
        <f>IF(BOQ_Table[[#This Row],[Amount]]&gt;100000,"Over Budget","OK")</f>
        <v>Over Budget</v>
      </c>
      <c r="I1634" t="str">
        <f>IF(OR(BOQ_Table[[#This Row],[Quantity]]="",BOQ_Table[[#This Row],[Rate]]=""),"Missing","OK")</f>
        <v>OK</v>
      </c>
    </row>
    <row r="1635" spans="1:9" x14ac:dyDescent="0.35">
      <c r="A1635" t="s">
        <v>1659</v>
      </c>
      <c r="B1635" t="s">
        <v>16</v>
      </c>
      <c r="C1635" t="s">
        <v>38</v>
      </c>
      <c r="D1635">
        <v>64.989999999999995</v>
      </c>
      <c r="E1635" t="s">
        <v>9</v>
      </c>
      <c r="F1635">
        <v>2053.12</v>
      </c>
      <c r="G1635">
        <f t="shared" si="27"/>
        <v>133432.26879999999</v>
      </c>
      <c r="H1635" t="str">
        <f>IF(BOQ_Table[[#This Row],[Amount]]&gt;100000,"Over Budget","OK")</f>
        <v>Over Budget</v>
      </c>
      <c r="I1635" t="str">
        <f>IF(OR(BOQ_Table[[#This Row],[Quantity]]="",BOQ_Table[[#This Row],[Rate]]=""),"Missing","OK")</f>
        <v>OK</v>
      </c>
    </row>
    <row r="1636" spans="1:9" x14ac:dyDescent="0.35">
      <c r="A1636" t="s">
        <v>1660</v>
      </c>
      <c r="B1636" t="s">
        <v>56</v>
      </c>
      <c r="C1636" t="s">
        <v>12</v>
      </c>
      <c r="D1636">
        <v>19.34</v>
      </c>
      <c r="E1636" t="s">
        <v>22</v>
      </c>
      <c r="F1636">
        <v>4461.43</v>
      </c>
      <c r="G1636">
        <f t="shared" si="27"/>
        <v>86284.056200000006</v>
      </c>
      <c r="H1636" t="str">
        <f>IF(BOQ_Table[[#This Row],[Amount]]&gt;100000,"Over Budget","OK")</f>
        <v>OK</v>
      </c>
      <c r="I1636" t="str">
        <f>IF(OR(BOQ_Table[[#This Row],[Quantity]]="",BOQ_Table[[#This Row],[Rate]]=""),"Missing","OK")</f>
        <v>OK</v>
      </c>
    </row>
    <row r="1637" spans="1:9" x14ac:dyDescent="0.35">
      <c r="A1637" t="s">
        <v>1661</v>
      </c>
      <c r="B1637" t="s">
        <v>16</v>
      </c>
      <c r="C1637" t="s">
        <v>17</v>
      </c>
      <c r="D1637">
        <v>345.39</v>
      </c>
      <c r="E1637" t="s">
        <v>22</v>
      </c>
      <c r="F1637">
        <v>4446.6000000000004</v>
      </c>
      <c r="G1637">
        <f t="shared" si="27"/>
        <v>1535811.1740000001</v>
      </c>
      <c r="H1637" t="str">
        <f>IF(BOQ_Table[[#This Row],[Amount]]&gt;100000,"Over Budget","OK")</f>
        <v>Over Budget</v>
      </c>
      <c r="I1637" t="str">
        <f>IF(OR(BOQ_Table[[#This Row],[Quantity]]="",BOQ_Table[[#This Row],[Rate]]=""),"Missing","OK")</f>
        <v>OK</v>
      </c>
    </row>
    <row r="1638" spans="1:9" x14ac:dyDescent="0.35">
      <c r="A1638" t="s">
        <v>1662</v>
      </c>
      <c r="B1638" t="s">
        <v>30</v>
      </c>
      <c r="C1638" t="s">
        <v>17</v>
      </c>
      <c r="D1638">
        <v>314.92</v>
      </c>
      <c r="E1638" t="s">
        <v>22</v>
      </c>
      <c r="F1638">
        <v>4523.3500000000004</v>
      </c>
      <c r="G1638">
        <f t="shared" si="27"/>
        <v>1424493.3820000002</v>
      </c>
      <c r="H1638" t="str">
        <f>IF(BOQ_Table[[#This Row],[Amount]]&gt;100000,"Over Budget","OK")</f>
        <v>Over Budget</v>
      </c>
      <c r="I1638" t="str">
        <f>IF(OR(BOQ_Table[[#This Row],[Quantity]]="",BOQ_Table[[#This Row],[Rate]]=""),"Missing","OK")</f>
        <v>OK</v>
      </c>
    </row>
    <row r="1639" spans="1:9" x14ac:dyDescent="0.35">
      <c r="A1639" t="s">
        <v>1663</v>
      </c>
      <c r="B1639" t="s">
        <v>40</v>
      </c>
      <c r="C1639" t="s">
        <v>38</v>
      </c>
      <c r="D1639">
        <v>314.49</v>
      </c>
      <c r="E1639" t="s">
        <v>27</v>
      </c>
      <c r="F1639">
        <v>2919.5</v>
      </c>
      <c r="G1639">
        <f t="shared" si="27"/>
        <v>918153.55500000005</v>
      </c>
      <c r="H1639" t="str">
        <f>IF(BOQ_Table[[#This Row],[Amount]]&gt;100000,"Over Budget","OK")</f>
        <v>Over Budget</v>
      </c>
      <c r="I1639" t="str">
        <f>IF(OR(BOQ_Table[[#This Row],[Quantity]]="",BOQ_Table[[#This Row],[Rate]]=""),"Missing","OK")</f>
        <v>OK</v>
      </c>
    </row>
    <row r="1640" spans="1:9" x14ac:dyDescent="0.35">
      <c r="A1640" t="s">
        <v>1664</v>
      </c>
      <c r="B1640" t="s">
        <v>40</v>
      </c>
      <c r="C1640" t="s">
        <v>38</v>
      </c>
      <c r="D1640">
        <v>220.45</v>
      </c>
      <c r="E1640" t="s">
        <v>9</v>
      </c>
      <c r="F1640">
        <v>1908.79</v>
      </c>
      <c r="G1640">
        <f t="shared" si="27"/>
        <v>420792.75549999997</v>
      </c>
      <c r="H1640" t="str">
        <f>IF(BOQ_Table[[#This Row],[Amount]]&gt;100000,"Over Budget","OK")</f>
        <v>Over Budget</v>
      </c>
      <c r="I1640" t="str">
        <f>IF(OR(BOQ_Table[[#This Row],[Quantity]]="",BOQ_Table[[#This Row],[Rate]]=""),"Missing","OK")</f>
        <v>OK</v>
      </c>
    </row>
    <row r="1641" spans="1:9" x14ac:dyDescent="0.35">
      <c r="A1641" t="s">
        <v>1665</v>
      </c>
      <c r="B1641" t="s">
        <v>32</v>
      </c>
      <c r="C1641" t="s">
        <v>17</v>
      </c>
      <c r="D1641">
        <v>498.69</v>
      </c>
      <c r="E1641" t="s">
        <v>9</v>
      </c>
      <c r="F1641">
        <v>1287.97</v>
      </c>
      <c r="G1641">
        <f t="shared" si="27"/>
        <v>642297.75930000003</v>
      </c>
      <c r="H1641" t="str">
        <f>IF(BOQ_Table[[#This Row],[Amount]]&gt;100000,"Over Budget","OK")</f>
        <v>Over Budget</v>
      </c>
      <c r="I1641" t="str">
        <f>IF(OR(BOQ_Table[[#This Row],[Quantity]]="",BOQ_Table[[#This Row],[Rate]]=""),"Missing","OK")</f>
        <v>OK</v>
      </c>
    </row>
    <row r="1642" spans="1:9" x14ac:dyDescent="0.35">
      <c r="A1642" t="s">
        <v>1666</v>
      </c>
      <c r="B1642" t="s">
        <v>16</v>
      </c>
      <c r="C1642" t="s">
        <v>38</v>
      </c>
      <c r="D1642">
        <v>184.33</v>
      </c>
      <c r="E1642" t="s">
        <v>9</v>
      </c>
      <c r="F1642">
        <v>3200.66</v>
      </c>
      <c r="G1642">
        <f t="shared" si="27"/>
        <v>589977.65780000004</v>
      </c>
      <c r="H1642" t="str">
        <f>IF(BOQ_Table[[#This Row],[Amount]]&gt;100000,"Over Budget","OK")</f>
        <v>Over Budget</v>
      </c>
      <c r="I1642" t="str">
        <f>IF(OR(BOQ_Table[[#This Row],[Quantity]]="",BOQ_Table[[#This Row],[Rate]]=""),"Missing","OK")</f>
        <v>OK</v>
      </c>
    </row>
    <row r="1643" spans="1:9" x14ac:dyDescent="0.35">
      <c r="A1643" t="s">
        <v>1667</v>
      </c>
      <c r="B1643" t="s">
        <v>32</v>
      </c>
      <c r="C1643" t="s">
        <v>12</v>
      </c>
      <c r="D1643">
        <v>427.47</v>
      </c>
      <c r="E1643" t="s">
        <v>14</v>
      </c>
      <c r="F1643">
        <v>643.4</v>
      </c>
      <c r="G1643">
        <f t="shared" si="27"/>
        <v>275034.19800000003</v>
      </c>
      <c r="H1643" t="str">
        <f>IF(BOQ_Table[[#This Row],[Amount]]&gt;100000,"Over Budget","OK")</f>
        <v>Over Budget</v>
      </c>
      <c r="I1643" t="str">
        <f>IF(OR(BOQ_Table[[#This Row],[Quantity]]="",BOQ_Table[[#This Row],[Rate]]=""),"Missing","OK")</f>
        <v>OK</v>
      </c>
    </row>
    <row r="1644" spans="1:9" x14ac:dyDescent="0.35">
      <c r="A1644" t="s">
        <v>1668</v>
      </c>
      <c r="B1644" t="s">
        <v>40</v>
      </c>
      <c r="C1644" t="s">
        <v>8</v>
      </c>
      <c r="D1644">
        <v>224.88</v>
      </c>
      <c r="E1644" t="s">
        <v>22</v>
      </c>
      <c r="F1644">
        <v>471.73</v>
      </c>
      <c r="G1644">
        <f t="shared" si="27"/>
        <v>106082.6424</v>
      </c>
      <c r="H1644" t="str">
        <f>IF(BOQ_Table[[#This Row],[Amount]]&gt;100000,"Over Budget","OK")</f>
        <v>Over Budget</v>
      </c>
      <c r="I1644" t="str">
        <f>IF(OR(BOQ_Table[[#This Row],[Quantity]]="",BOQ_Table[[#This Row],[Rate]]=""),"Missing","OK")</f>
        <v>OK</v>
      </c>
    </row>
    <row r="1645" spans="1:9" x14ac:dyDescent="0.35">
      <c r="A1645" t="s">
        <v>1669</v>
      </c>
      <c r="B1645" t="s">
        <v>46</v>
      </c>
      <c r="C1645" t="s">
        <v>17</v>
      </c>
      <c r="D1645">
        <v>57.67</v>
      </c>
      <c r="E1645" t="s">
        <v>22</v>
      </c>
      <c r="F1645">
        <v>4176.16</v>
      </c>
      <c r="G1645">
        <f t="shared" si="27"/>
        <v>240839.14720000001</v>
      </c>
      <c r="H1645" t="str">
        <f>IF(BOQ_Table[[#This Row],[Amount]]&gt;100000,"Over Budget","OK")</f>
        <v>Over Budget</v>
      </c>
      <c r="I1645" t="str">
        <f>IF(OR(BOQ_Table[[#This Row],[Quantity]]="",BOQ_Table[[#This Row],[Rate]]=""),"Missing","OK")</f>
        <v>OK</v>
      </c>
    </row>
    <row r="1646" spans="1:9" x14ac:dyDescent="0.35">
      <c r="A1646" t="s">
        <v>1670</v>
      </c>
      <c r="B1646" t="s">
        <v>30</v>
      </c>
      <c r="C1646" t="s">
        <v>12</v>
      </c>
      <c r="D1646">
        <v>240.12</v>
      </c>
      <c r="E1646" t="s">
        <v>18</v>
      </c>
      <c r="F1646">
        <v>4596.1400000000003</v>
      </c>
      <c r="G1646">
        <f t="shared" si="27"/>
        <v>1103625.1368000002</v>
      </c>
      <c r="H1646" t="str">
        <f>IF(BOQ_Table[[#This Row],[Amount]]&gt;100000,"Over Budget","OK")</f>
        <v>Over Budget</v>
      </c>
      <c r="I1646" t="str">
        <f>IF(OR(BOQ_Table[[#This Row],[Quantity]]="",BOQ_Table[[#This Row],[Rate]]=""),"Missing","OK")</f>
        <v>OK</v>
      </c>
    </row>
    <row r="1647" spans="1:9" x14ac:dyDescent="0.35">
      <c r="A1647" t="s">
        <v>1671</v>
      </c>
      <c r="B1647" t="s">
        <v>30</v>
      </c>
      <c r="C1647" t="s">
        <v>17</v>
      </c>
      <c r="D1647">
        <v>167.03</v>
      </c>
      <c r="E1647" t="s">
        <v>22</v>
      </c>
      <c r="F1647">
        <v>1260.97</v>
      </c>
      <c r="G1647">
        <f t="shared" si="27"/>
        <v>210619.81909999999</v>
      </c>
      <c r="H1647" t="str">
        <f>IF(BOQ_Table[[#This Row],[Amount]]&gt;100000,"Over Budget","OK")</f>
        <v>Over Budget</v>
      </c>
      <c r="I1647" t="str">
        <f>IF(OR(BOQ_Table[[#This Row],[Quantity]]="",BOQ_Table[[#This Row],[Rate]]=""),"Missing","OK")</f>
        <v>OK</v>
      </c>
    </row>
    <row r="1648" spans="1:9" x14ac:dyDescent="0.35">
      <c r="A1648" t="s">
        <v>1672</v>
      </c>
      <c r="B1648" t="s">
        <v>20</v>
      </c>
      <c r="C1648" t="s">
        <v>8</v>
      </c>
      <c r="D1648">
        <v>263.61</v>
      </c>
      <c r="E1648" t="s">
        <v>22</v>
      </c>
      <c r="F1648">
        <v>1880.23</v>
      </c>
      <c r="G1648">
        <f t="shared" si="27"/>
        <v>495647.43030000001</v>
      </c>
      <c r="H1648" t="str">
        <f>IF(BOQ_Table[[#This Row],[Amount]]&gt;100000,"Over Budget","OK")</f>
        <v>Over Budget</v>
      </c>
      <c r="I1648" t="str">
        <f>IF(OR(BOQ_Table[[#This Row],[Quantity]]="",BOQ_Table[[#This Row],[Rate]]=""),"Missing","OK")</f>
        <v>OK</v>
      </c>
    </row>
    <row r="1649" spans="1:9" x14ac:dyDescent="0.35">
      <c r="A1649" t="s">
        <v>1673</v>
      </c>
      <c r="B1649" t="s">
        <v>20</v>
      </c>
      <c r="C1649" t="s">
        <v>8</v>
      </c>
      <c r="D1649">
        <v>319.75</v>
      </c>
      <c r="E1649" t="s">
        <v>14</v>
      </c>
      <c r="F1649">
        <v>1524.44</v>
      </c>
      <c r="G1649">
        <f t="shared" si="27"/>
        <v>487439.69</v>
      </c>
      <c r="H1649" t="str">
        <f>IF(BOQ_Table[[#This Row],[Amount]]&gt;100000,"Over Budget","OK")</f>
        <v>Over Budget</v>
      </c>
      <c r="I1649" t="str">
        <f>IF(OR(BOQ_Table[[#This Row],[Quantity]]="",BOQ_Table[[#This Row],[Rate]]=""),"Missing","OK")</f>
        <v>OK</v>
      </c>
    </row>
    <row r="1650" spans="1:9" x14ac:dyDescent="0.35">
      <c r="A1650" t="s">
        <v>1674</v>
      </c>
      <c r="B1650" t="s">
        <v>40</v>
      </c>
      <c r="C1650" t="s">
        <v>8</v>
      </c>
      <c r="D1650">
        <v>12</v>
      </c>
      <c r="E1650" t="s">
        <v>22</v>
      </c>
      <c r="F1650">
        <v>120.51</v>
      </c>
      <c r="G1650">
        <f t="shared" si="27"/>
        <v>1446.1200000000001</v>
      </c>
      <c r="H1650" t="str">
        <f>IF(BOQ_Table[[#This Row],[Amount]]&gt;100000,"Over Budget","OK")</f>
        <v>OK</v>
      </c>
      <c r="I1650" t="str">
        <f>IF(OR(BOQ_Table[[#This Row],[Quantity]]="",BOQ_Table[[#This Row],[Rate]]=""),"Missing","OK")</f>
        <v>OK</v>
      </c>
    </row>
    <row r="1651" spans="1:9" x14ac:dyDescent="0.35">
      <c r="A1651" t="s">
        <v>1675</v>
      </c>
      <c r="B1651" t="s">
        <v>32</v>
      </c>
      <c r="C1651" t="s">
        <v>12</v>
      </c>
      <c r="D1651">
        <v>16.309999999999999</v>
      </c>
      <c r="E1651" t="s">
        <v>27</v>
      </c>
      <c r="F1651">
        <v>1073.43</v>
      </c>
      <c r="G1651">
        <f t="shared" si="27"/>
        <v>17507.6433</v>
      </c>
      <c r="H1651" t="str">
        <f>IF(BOQ_Table[[#This Row],[Amount]]&gt;100000,"Over Budget","OK")</f>
        <v>OK</v>
      </c>
      <c r="I1651" t="str">
        <f>IF(OR(BOQ_Table[[#This Row],[Quantity]]="",BOQ_Table[[#This Row],[Rate]]=""),"Missing","OK")</f>
        <v>OK</v>
      </c>
    </row>
    <row r="1652" spans="1:9" x14ac:dyDescent="0.35">
      <c r="A1652" t="s">
        <v>1676</v>
      </c>
      <c r="B1652" t="s">
        <v>7</v>
      </c>
      <c r="C1652" t="s">
        <v>12</v>
      </c>
      <c r="D1652">
        <v>107.96</v>
      </c>
      <c r="E1652" t="s">
        <v>14</v>
      </c>
      <c r="F1652">
        <v>4201.96</v>
      </c>
      <c r="G1652">
        <f t="shared" si="27"/>
        <v>453643.60159999999</v>
      </c>
      <c r="H1652" t="str">
        <f>IF(BOQ_Table[[#This Row],[Amount]]&gt;100000,"Over Budget","OK")</f>
        <v>Over Budget</v>
      </c>
      <c r="I1652" t="str">
        <f>IF(OR(BOQ_Table[[#This Row],[Quantity]]="",BOQ_Table[[#This Row],[Rate]]=""),"Missing","OK")</f>
        <v>OK</v>
      </c>
    </row>
    <row r="1653" spans="1:9" x14ac:dyDescent="0.35">
      <c r="A1653" t="s">
        <v>1677</v>
      </c>
      <c r="B1653" t="s">
        <v>56</v>
      </c>
      <c r="C1653" t="s">
        <v>12</v>
      </c>
      <c r="D1653">
        <v>478.43</v>
      </c>
      <c r="E1653" t="s">
        <v>27</v>
      </c>
      <c r="F1653">
        <v>4599.01</v>
      </c>
      <c r="G1653">
        <f t="shared" si="27"/>
        <v>2200304.3543000002</v>
      </c>
      <c r="H1653" t="str">
        <f>IF(BOQ_Table[[#This Row],[Amount]]&gt;100000,"Over Budget","OK")</f>
        <v>Over Budget</v>
      </c>
      <c r="I1653" t="str">
        <f>IF(OR(BOQ_Table[[#This Row],[Quantity]]="",BOQ_Table[[#This Row],[Rate]]=""),"Missing","OK")</f>
        <v>OK</v>
      </c>
    </row>
    <row r="1654" spans="1:9" x14ac:dyDescent="0.35">
      <c r="A1654" t="s">
        <v>1678</v>
      </c>
      <c r="B1654" t="s">
        <v>40</v>
      </c>
      <c r="C1654" t="s">
        <v>12</v>
      </c>
      <c r="D1654">
        <v>233.4</v>
      </c>
      <c r="E1654" t="s">
        <v>9</v>
      </c>
      <c r="F1654">
        <v>2353.88</v>
      </c>
      <c r="G1654">
        <f t="shared" si="27"/>
        <v>549395.59200000006</v>
      </c>
      <c r="H1654" t="str">
        <f>IF(BOQ_Table[[#This Row],[Amount]]&gt;100000,"Over Budget","OK")</f>
        <v>Over Budget</v>
      </c>
      <c r="I1654" t="str">
        <f>IF(OR(BOQ_Table[[#This Row],[Quantity]]="",BOQ_Table[[#This Row],[Rate]]=""),"Missing","OK")</f>
        <v>OK</v>
      </c>
    </row>
    <row r="1655" spans="1:9" x14ac:dyDescent="0.35">
      <c r="A1655" t="s">
        <v>1679</v>
      </c>
      <c r="B1655" t="s">
        <v>30</v>
      </c>
      <c r="C1655" t="s">
        <v>38</v>
      </c>
      <c r="D1655">
        <v>268.83</v>
      </c>
      <c r="E1655" t="s">
        <v>22</v>
      </c>
      <c r="F1655">
        <v>1909.96</v>
      </c>
      <c r="G1655">
        <f t="shared" si="27"/>
        <v>513454.54679999995</v>
      </c>
      <c r="H1655" t="str">
        <f>IF(BOQ_Table[[#This Row],[Amount]]&gt;100000,"Over Budget","OK")</f>
        <v>Over Budget</v>
      </c>
      <c r="I1655" t="str">
        <f>IF(OR(BOQ_Table[[#This Row],[Quantity]]="",BOQ_Table[[#This Row],[Rate]]=""),"Missing","OK")</f>
        <v>OK</v>
      </c>
    </row>
    <row r="1656" spans="1:9" x14ac:dyDescent="0.35">
      <c r="A1656" t="s">
        <v>1680</v>
      </c>
      <c r="B1656" t="s">
        <v>16</v>
      </c>
      <c r="C1656" t="s">
        <v>12</v>
      </c>
      <c r="D1656">
        <v>45.38</v>
      </c>
      <c r="E1656" t="s">
        <v>27</v>
      </c>
      <c r="F1656">
        <v>665.55</v>
      </c>
      <c r="G1656">
        <f t="shared" si="27"/>
        <v>30202.659</v>
      </c>
      <c r="H1656" t="str">
        <f>IF(BOQ_Table[[#This Row],[Amount]]&gt;100000,"Over Budget","OK")</f>
        <v>OK</v>
      </c>
      <c r="I1656" t="str">
        <f>IF(OR(BOQ_Table[[#This Row],[Quantity]]="",BOQ_Table[[#This Row],[Rate]]=""),"Missing","OK")</f>
        <v>OK</v>
      </c>
    </row>
    <row r="1657" spans="1:9" x14ac:dyDescent="0.35">
      <c r="A1657" t="s">
        <v>1681</v>
      </c>
      <c r="B1657" t="s">
        <v>7</v>
      </c>
      <c r="C1657" t="s">
        <v>8</v>
      </c>
      <c r="D1657">
        <v>82.45</v>
      </c>
      <c r="E1657" t="s">
        <v>9</v>
      </c>
      <c r="F1657">
        <v>4670.17</v>
      </c>
      <c r="G1657">
        <f t="shared" si="27"/>
        <v>385055.51650000003</v>
      </c>
      <c r="H1657" t="str">
        <f>IF(BOQ_Table[[#This Row],[Amount]]&gt;100000,"Over Budget","OK")</f>
        <v>Over Budget</v>
      </c>
      <c r="I1657" t="str">
        <f>IF(OR(BOQ_Table[[#This Row],[Quantity]]="",BOQ_Table[[#This Row],[Rate]]=""),"Missing","OK")</f>
        <v>OK</v>
      </c>
    </row>
    <row r="1658" spans="1:9" x14ac:dyDescent="0.35">
      <c r="A1658" t="s">
        <v>1682</v>
      </c>
      <c r="B1658" t="s">
        <v>56</v>
      </c>
      <c r="C1658" t="s">
        <v>17</v>
      </c>
      <c r="D1658">
        <v>252.94</v>
      </c>
      <c r="E1658" t="s">
        <v>22</v>
      </c>
      <c r="F1658">
        <v>382.88</v>
      </c>
      <c r="G1658">
        <f t="shared" si="27"/>
        <v>96845.667199999996</v>
      </c>
      <c r="H1658" t="str">
        <f>IF(BOQ_Table[[#This Row],[Amount]]&gt;100000,"Over Budget","OK")</f>
        <v>OK</v>
      </c>
      <c r="I1658" t="str">
        <f>IF(OR(BOQ_Table[[#This Row],[Quantity]]="",BOQ_Table[[#This Row],[Rate]]=""),"Missing","OK")</f>
        <v>OK</v>
      </c>
    </row>
    <row r="1659" spans="1:9" x14ac:dyDescent="0.35">
      <c r="A1659" t="s">
        <v>1683</v>
      </c>
      <c r="B1659" t="s">
        <v>32</v>
      </c>
      <c r="C1659" t="s">
        <v>38</v>
      </c>
      <c r="D1659">
        <v>305.73</v>
      </c>
      <c r="E1659" t="s">
        <v>18</v>
      </c>
      <c r="F1659">
        <v>4674.8599999999997</v>
      </c>
      <c r="G1659">
        <f t="shared" si="27"/>
        <v>1429244.9478</v>
      </c>
      <c r="H1659" t="str">
        <f>IF(BOQ_Table[[#This Row],[Amount]]&gt;100000,"Over Budget","OK")</f>
        <v>Over Budget</v>
      </c>
      <c r="I1659" t="str">
        <f>IF(OR(BOQ_Table[[#This Row],[Quantity]]="",BOQ_Table[[#This Row],[Rate]]=""),"Missing","OK")</f>
        <v>OK</v>
      </c>
    </row>
    <row r="1660" spans="1:9" x14ac:dyDescent="0.35">
      <c r="A1660" t="s">
        <v>1684</v>
      </c>
      <c r="B1660" t="s">
        <v>7</v>
      </c>
      <c r="C1660" t="s">
        <v>21</v>
      </c>
      <c r="D1660">
        <v>303.49</v>
      </c>
      <c r="E1660" t="s">
        <v>14</v>
      </c>
      <c r="F1660">
        <v>141.38999999999999</v>
      </c>
      <c r="G1660">
        <f t="shared" si="27"/>
        <v>42910.451099999998</v>
      </c>
      <c r="H1660" t="str">
        <f>IF(BOQ_Table[[#This Row],[Amount]]&gt;100000,"Over Budget","OK")</f>
        <v>OK</v>
      </c>
      <c r="I1660" t="str">
        <f>IF(OR(BOQ_Table[[#This Row],[Quantity]]="",BOQ_Table[[#This Row],[Rate]]=""),"Missing","OK")</f>
        <v>OK</v>
      </c>
    </row>
    <row r="1661" spans="1:9" x14ac:dyDescent="0.35">
      <c r="A1661" t="s">
        <v>1685</v>
      </c>
      <c r="B1661" t="s">
        <v>11</v>
      </c>
      <c r="C1661" t="s">
        <v>38</v>
      </c>
      <c r="D1661">
        <v>177.45</v>
      </c>
      <c r="E1661" t="s">
        <v>14</v>
      </c>
      <c r="F1661">
        <v>4935.33</v>
      </c>
      <c r="G1661">
        <f t="shared" si="27"/>
        <v>875774.30849999993</v>
      </c>
      <c r="H1661" t="str">
        <f>IF(BOQ_Table[[#This Row],[Amount]]&gt;100000,"Over Budget","OK")</f>
        <v>Over Budget</v>
      </c>
      <c r="I1661" t="str">
        <f>IF(OR(BOQ_Table[[#This Row],[Quantity]]="",BOQ_Table[[#This Row],[Rate]]=""),"Missing","OK")</f>
        <v>OK</v>
      </c>
    </row>
    <row r="1662" spans="1:9" x14ac:dyDescent="0.35">
      <c r="A1662" t="s">
        <v>1686</v>
      </c>
      <c r="B1662" t="s">
        <v>40</v>
      </c>
      <c r="C1662" t="s">
        <v>8</v>
      </c>
      <c r="D1662">
        <v>38.42</v>
      </c>
      <c r="E1662" t="s">
        <v>22</v>
      </c>
      <c r="F1662">
        <v>3955.04</v>
      </c>
      <c r="G1662">
        <f t="shared" si="27"/>
        <v>151952.63680000001</v>
      </c>
      <c r="H1662" t="str">
        <f>IF(BOQ_Table[[#This Row],[Amount]]&gt;100000,"Over Budget","OK")</f>
        <v>Over Budget</v>
      </c>
      <c r="I1662" t="str">
        <f>IF(OR(BOQ_Table[[#This Row],[Quantity]]="",BOQ_Table[[#This Row],[Rate]]=""),"Missing","OK")</f>
        <v>OK</v>
      </c>
    </row>
    <row r="1663" spans="1:9" x14ac:dyDescent="0.35">
      <c r="A1663" t="s">
        <v>1687</v>
      </c>
      <c r="B1663" t="s">
        <v>40</v>
      </c>
      <c r="C1663" t="s">
        <v>21</v>
      </c>
      <c r="D1663">
        <v>28.16</v>
      </c>
      <c r="E1663" t="s">
        <v>27</v>
      </c>
      <c r="F1663">
        <v>182.79</v>
      </c>
      <c r="G1663">
        <f t="shared" si="27"/>
        <v>5147.3663999999999</v>
      </c>
      <c r="H1663" t="str">
        <f>IF(BOQ_Table[[#This Row],[Amount]]&gt;100000,"Over Budget","OK")</f>
        <v>OK</v>
      </c>
      <c r="I1663" t="str">
        <f>IF(OR(BOQ_Table[[#This Row],[Quantity]]="",BOQ_Table[[#This Row],[Rate]]=""),"Missing","OK")</f>
        <v>OK</v>
      </c>
    </row>
    <row r="1664" spans="1:9" x14ac:dyDescent="0.35">
      <c r="A1664" t="s">
        <v>1688</v>
      </c>
      <c r="B1664" t="s">
        <v>20</v>
      </c>
      <c r="C1664" t="s">
        <v>17</v>
      </c>
      <c r="D1664">
        <v>60.92</v>
      </c>
      <c r="E1664" t="s">
        <v>22</v>
      </c>
      <c r="F1664">
        <v>2698.35</v>
      </c>
      <c r="G1664">
        <f t="shared" si="27"/>
        <v>164383.48199999999</v>
      </c>
      <c r="H1664" t="str">
        <f>IF(BOQ_Table[[#This Row],[Amount]]&gt;100000,"Over Budget","OK")</f>
        <v>Over Budget</v>
      </c>
      <c r="I1664" t="str">
        <f>IF(OR(BOQ_Table[[#This Row],[Quantity]]="",BOQ_Table[[#This Row],[Rate]]=""),"Missing","OK")</f>
        <v>OK</v>
      </c>
    </row>
    <row r="1665" spans="1:9" x14ac:dyDescent="0.35">
      <c r="A1665" t="s">
        <v>1689</v>
      </c>
      <c r="B1665" t="s">
        <v>56</v>
      </c>
      <c r="C1665" t="s">
        <v>38</v>
      </c>
      <c r="D1665">
        <v>433.14</v>
      </c>
      <c r="E1665" t="s">
        <v>22</v>
      </c>
      <c r="F1665">
        <v>732.08</v>
      </c>
      <c r="G1665">
        <f t="shared" si="27"/>
        <v>317093.1312</v>
      </c>
      <c r="H1665" t="str">
        <f>IF(BOQ_Table[[#This Row],[Amount]]&gt;100000,"Over Budget","OK")</f>
        <v>Over Budget</v>
      </c>
      <c r="I1665" t="str">
        <f>IF(OR(BOQ_Table[[#This Row],[Quantity]]="",BOQ_Table[[#This Row],[Rate]]=""),"Missing","OK")</f>
        <v>OK</v>
      </c>
    </row>
    <row r="1666" spans="1:9" x14ac:dyDescent="0.35">
      <c r="A1666" t="s">
        <v>1690</v>
      </c>
      <c r="B1666" t="s">
        <v>46</v>
      </c>
      <c r="C1666" t="s">
        <v>38</v>
      </c>
      <c r="D1666">
        <v>371.96</v>
      </c>
      <c r="E1666" t="s">
        <v>14</v>
      </c>
      <c r="F1666">
        <v>274.5</v>
      </c>
      <c r="G1666">
        <f t="shared" ref="G1666:G1729" si="28">D1666*F1666</f>
        <v>102103.01999999999</v>
      </c>
      <c r="H1666" t="str">
        <f>IF(BOQ_Table[[#This Row],[Amount]]&gt;100000,"Over Budget","OK")</f>
        <v>Over Budget</v>
      </c>
      <c r="I1666" t="str">
        <f>IF(OR(BOQ_Table[[#This Row],[Quantity]]="",BOQ_Table[[#This Row],[Rate]]=""),"Missing","OK")</f>
        <v>OK</v>
      </c>
    </row>
    <row r="1667" spans="1:9" x14ac:dyDescent="0.35">
      <c r="A1667" t="s">
        <v>1691</v>
      </c>
      <c r="B1667" t="s">
        <v>56</v>
      </c>
      <c r="C1667" t="s">
        <v>21</v>
      </c>
      <c r="D1667">
        <v>248.61</v>
      </c>
      <c r="E1667" t="s">
        <v>14</v>
      </c>
      <c r="F1667">
        <v>4217.8599999999997</v>
      </c>
      <c r="G1667">
        <f t="shared" si="28"/>
        <v>1048602.1746</v>
      </c>
      <c r="H1667" t="str">
        <f>IF(BOQ_Table[[#This Row],[Amount]]&gt;100000,"Over Budget","OK")</f>
        <v>Over Budget</v>
      </c>
      <c r="I1667" t="str">
        <f>IF(OR(BOQ_Table[[#This Row],[Quantity]]="",BOQ_Table[[#This Row],[Rate]]=""),"Missing","OK")</f>
        <v>OK</v>
      </c>
    </row>
    <row r="1668" spans="1:9" x14ac:dyDescent="0.35">
      <c r="A1668" t="s">
        <v>1692</v>
      </c>
      <c r="B1668" t="s">
        <v>30</v>
      </c>
      <c r="C1668" t="s">
        <v>38</v>
      </c>
      <c r="D1668">
        <v>377.41</v>
      </c>
      <c r="E1668" t="s">
        <v>22</v>
      </c>
      <c r="F1668">
        <v>4451.6899999999996</v>
      </c>
      <c r="G1668">
        <f t="shared" si="28"/>
        <v>1680112.3229</v>
      </c>
      <c r="H1668" t="str">
        <f>IF(BOQ_Table[[#This Row],[Amount]]&gt;100000,"Over Budget","OK")</f>
        <v>Over Budget</v>
      </c>
      <c r="I1668" t="str">
        <f>IF(OR(BOQ_Table[[#This Row],[Quantity]]="",BOQ_Table[[#This Row],[Rate]]=""),"Missing","OK")</f>
        <v>OK</v>
      </c>
    </row>
    <row r="1669" spans="1:9" x14ac:dyDescent="0.35">
      <c r="A1669" t="s">
        <v>1693</v>
      </c>
      <c r="B1669" t="s">
        <v>16</v>
      </c>
      <c r="C1669" t="s">
        <v>12</v>
      </c>
      <c r="D1669">
        <v>44.95</v>
      </c>
      <c r="E1669" t="s">
        <v>22</v>
      </c>
      <c r="F1669">
        <v>1850.88</v>
      </c>
      <c r="G1669">
        <f t="shared" si="28"/>
        <v>83197.056000000011</v>
      </c>
      <c r="H1669" t="str">
        <f>IF(BOQ_Table[[#This Row],[Amount]]&gt;100000,"Over Budget","OK")</f>
        <v>OK</v>
      </c>
      <c r="I1669" t="str">
        <f>IF(OR(BOQ_Table[[#This Row],[Quantity]]="",BOQ_Table[[#This Row],[Rate]]=""),"Missing","OK")</f>
        <v>OK</v>
      </c>
    </row>
    <row r="1670" spans="1:9" x14ac:dyDescent="0.35">
      <c r="A1670" t="s">
        <v>1694</v>
      </c>
      <c r="B1670" t="s">
        <v>46</v>
      </c>
      <c r="C1670" t="s">
        <v>12</v>
      </c>
      <c r="D1670">
        <v>66.14</v>
      </c>
      <c r="E1670" t="s">
        <v>9</v>
      </c>
      <c r="F1670">
        <v>157.19</v>
      </c>
      <c r="G1670">
        <f t="shared" si="28"/>
        <v>10396.5466</v>
      </c>
      <c r="H1670" t="str">
        <f>IF(BOQ_Table[[#This Row],[Amount]]&gt;100000,"Over Budget","OK")</f>
        <v>OK</v>
      </c>
      <c r="I1670" t="str">
        <f>IF(OR(BOQ_Table[[#This Row],[Quantity]]="",BOQ_Table[[#This Row],[Rate]]=""),"Missing","OK")</f>
        <v>OK</v>
      </c>
    </row>
    <row r="1671" spans="1:9" x14ac:dyDescent="0.35">
      <c r="A1671" t="s">
        <v>1695</v>
      </c>
      <c r="B1671" t="s">
        <v>32</v>
      </c>
      <c r="C1671" t="s">
        <v>8</v>
      </c>
      <c r="D1671">
        <v>395.91</v>
      </c>
      <c r="E1671" t="s">
        <v>18</v>
      </c>
      <c r="F1671">
        <v>3089.82</v>
      </c>
      <c r="G1671">
        <f t="shared" si="28"/>
        <v>1223290.6362000001</v>
      </c>
      <c r="H1671" t="str">
        <f>IF(BOQ_Table[[#This Row],[Amount]]&gt;100000,"Over Budget","OK")</f>
        <v>Over Budget</v>
      </c>
      <c r="I1671" t="str">
        <f>IF(OR(BOQ_Table[[#This Row],[Quantity]]="",BOQ_Table[[#This Row],[Rate]]=""),"Missing","OK")</f>
        <v>OK</v>
      </c>
    </row>
    <row r="1672" spans="1:9" x14ac:dyDescent="0.35">
      <c r="A1672" t="s">
        <v>1696</v>
      </c>
      <c r="B1672" t="s">
        <v>46</v>
      </c>
      <c r="C1672" t="s">
        <v>38</v>
      </c>
      <c r="D1672">
        <v>118.54</v>
      </c>
      <c r="E1672" t="s">
        <v>18</v>
      </c>
      <c r="F1672">
        <v>213.82</v>
      </c>
      <c r="G1672">
        <f t="shared" si="28"/>
        <v>25346.2228</v>
      </c>
      <c r="H1672" t="str">
        <f>IF(BOQ_Table[[#This Row],[Amount]]&gt;100000,"Over Budget","OK")</f>
        <v>OK</v>
      </c>
      <c r="I1672" t="str">
        <f>IF(OR(BOQ_Table[[#This Row],[Quantity]]="",BOQ_Table[[#This Row],[Rate]]=""),"Missing","OK")</f>
        <v>OK</v>
      </c>
    </row>
    <row r="1673" spans="1:9" x14ac:dyDescent="0.35">
      <c r="A1673" t="s">
        <v>1697</v>
      </c>
      <c r="B1673" t="s">
        <v>56</v>
      </c>
      <c r="C1673" t="s">
        <v>8</v>
      </c>
      <c r="D1673">
        <v>460.26</v>
      </c>
      <c r="E1673" t="s">
        <v>18</v>
      </c>
      <c r="F1673">
        <v>4434.67</v>
      </c>
      <c r="G1673">
        <f t="shared" si="28"/>
        <v>2041101.2142</v>
      </c>
      <c r="H1673" t="str">
        <f>IF(BOQ_Table[[#This Row],[Amount]]&gt;100000,"Over Budget","OK")</f>
        <v>Over Budget</v>
      </c>
      <c r="I1673" t="str">
        <f>IF(OR(BOQ_Table[[#This Row],[Quantity]]="",BOQ_Table[[#This Row],[Rate]]=""),"Missing","OK")</f>
        <v>OK</v>
      </c>
    </row>
    <row r="1674" spans="1:9" x14ac:dyDescent="0.35">
      <c r="A1674" t="s">
        <v>1698</v>
      </c>
      <c r="B1674" t="s">
        <v>56</v>
      </c>
      <c r="C1674" t="s">
        <v>8</v>
      </c>
      <c r="D1674">
        <v>21.7</v>
      </c>
      <c r="E1674" t="s">
        <v>9</v>
      </c>
      <c r="F1674">
        <v>650.03</v>
      </c>
      <c r="G1674">
        <f t="shared" si="28"/>
        <v>14105.651</v>
      </c>
      <c r="H1674" t="str">
        <f>IF(BOQ_Table[[#This Row],[Amount]]&gt;100000,"Over Budget","OK")</f>
        <v>OK</v>
      </c>
      <c r="I1674" t="str">
        <f>IF(OR(BOQ_Table[[#This Row],[Quantity]]="",BOQ_Table[[#This Row],[Rate]]=""),"Missing","OK")</f>
        <v>OK</v>
      </c>
    </row>
    <row r="1675" spans="1:9" x14ac:dyDescent="0.35">
      <c r="A1675" t="s">
        <v>1699</v>
      </c>
      <c r="B1675" t="s">
        <v>16</v>
      </c>
      <c r="C1675" t="s">
        <v>38</v>
      </c>
      <c r="D1675">
        <v>441.92</v>
      </c>
      <c r="E1675" t="s">
        <v>27</v>
      </c>
      <c r="F1675">
        <v>1137.9000000000001</v>
      </c>
      <c r="G1675">
        <f t="shared" si="28"/>
        <v>502860.76800000004</v>
      </c>
      <c r="H1675" t="str">
        <f>IF(BOQ_Table[[#This Row],[Amount]]&gt;100000,"Over Budget","OK")</f>
        <v>Over Budget</v>
      </c>
      <c r="I1675" t="str">
        <f>IF(OR(BOQ_Table[[#This Row],[Quantity]]="",BOQ_Table[[#This Row],[Rate]]=""),"Missing","OK")</f>
        <v>OK</v>
      </c>
    </row>
    <row r="1676" spans="1:9" x14ac:dyDescent="0.35">
      <c r="A1676" t="s">
        <v>1700</v>
      </c>
      <c r="B1676" t="s">
        <v>42</v>
      </c>
      <c r="C1676" t="s">
        <v>8</v>
      </c>
      <c r="D1676">
        <v>55.7</v>
      </c>
      <c r="E1676" t="s">
        <v>18</v>
      </c>
      <c r="F1676">
        <v>4832.8599999999997</v>
      </c>
      <c r="G1676">
        <f t="shared" si="28"/>
        <v>269190.30199999997</v>
      </c>
      <c r="H1676" t="str">
        <f>IF(BOQ_Table[[#This Row],[Amount]]&gt;100000,"Over Budget","OK")</f>
        <v>Over Budget</v>
      </c>
      <c r="I1676" t="str">
        <f>IF(OR(BOQ_Table[[#This Row],[Quantity]]="",BOQ_Table[[#This Row],[Rate]]=""),"Missing","OK")</f>
        <v>OK</v>
      </c>
    </row>
    <row r="1677" spans="1:9" x14ac:dyDescent="0.35">
      <c r="A1677" t="s">
        <v>1701</v>
      </c>
      <c r="B1677" t="s">
        <v>42</v>
      </c>
      <c r="C1677" t="s">
        <v>21</v>
      </c>
      <c r="D1677">
        <v>6.57</v>
      </c>
      <c r="E1677" t="s">
        <v>18</v>
      </c>
      <c r="F1677">
        <v>210.27</v>
      </c>
      <c r="G1677">
        <f t="shared" si="28"/>
        <v>1381.4739000000002</v>
      </c>
      <c r="H1677" t="str">
        <f>IF(BOQ_Table[[#This Row],[Amount]]&gt;100000,"Over Budget","OK")</f>
        <v>OK</v>
      </c>
      <c r="I1677" t="str">
        <f>IF(OR(BOQ_Table[[#This Row],[Quantity]]="",BOQ_Table[[#This Row],[Rate]]=""),"Missing","OK")</f>
        <v>OK</v>
      </c>
    </row>
    <row r="1678" spans="1:9" x14ac:dyDescent="0.35">
      <c r="A1678" t="s">
        <v>1702</v>
      </c>
      <c r="B1678" t="s">
        <v>30</v>
      </c>
      <c r="C1678" t="s">
        <v>21</v>
      </c>
      <c r="D1678">
        <v>180.54</v>
      </c>
      <c r="E1678" t="s">
        <v>18</v>
      </c>
      <c r="F1678">
        <v>318.14999999999998</v>
      </c>
      <c r="G1678">
        <f t="shared" si="28"/>
        <v>57438.800999999992</v>
      </c>
      <c r="H1678" t="str">
        <f>IF(BOQ_Table[[#This Row],[Amount]]&gt;100000,"Over Budget","OK")</f>
        <v>OK</v>
      </c>
      <c r="I1678" t="str">
        <f>IF(OR(BOQ_Table[[#This Row],[Quantity]]="",BOQ_Table[[#This Row],[Rate]]=""),"Missing","OK")</f>
        <v>OK</v>
      </c>
    </row>
    <row r="1679" spans="1:9" x14ac:dyDescent="0.35">
      <c r="A1679" t="s">
        <v>1703</v>
      </c>
      <c r="B1679" t="s">
        <v>40</v>
      </c>
      <c r="C1679" t="s">
        <v>21</v>
      </c>
      <c r="D1679">
        <v>249.63</v>
      </c>
      <c r="E1679" t="s">
        <v>22</v>
      </c>
      <c r="F1679">
        <v>1112.68</v>
      </c>
      <c r="G1679">
        <f t="shared" si="28"/>
        <v>277758.30840000004</v>
      </c>
      <c r="H1679" t="str">
        <f>IF(BOQ_Table[[#This Row],[Amount]]&gt;100000,"Over Budget","OK")</f>
        <v>Over Budget</v>
      </c>
      <c r="I1679" t="str">
        <f>IF(OR(BOQ_Table[[#This Row],[Quantity]]="",BOQ_Table[[#This Row],[Rate]]=""),"Missing","OK")</f>
        <v>OK</v>
      </c>
    </row>
    <row r="1680" spans="1:9" x14ac:dyDescent="0.35">
      <c r="A1680" t="s">
        <v>1704</v>
      </c>
      <c r="B1680" t="s">
        <v>20</v>
      </c>
      <c r="C1680" t="s">
        <v>21</v>
      </c>
      <c r="D1680">
        <v>80.52</v>
      </c>
      <c r="E1680" t="s">
        <v>14</v>
      </c>
      <c r="F1680">
        <v>3009.67</v>
      </c>
      <c r="G1680">
        <f t="shared" si="28"/>
        <v>242338.62839999999</v>
      </c>
      <c r="H1680" t="str">
        <f>IF(BOQ_Table[[#This Row],[Amount]]&gt;100000,"Over Budget","OK")</f>
        <v>Over Budget</v>
      </c>
      <c r="I1680" t="str">
        <f>IF(OR(BOQ_Table[[#This Row],[Quantity]]="",BOQ_Table[[#This Row],[Rate]]=""),"Missing","OK")</f>
        <v>OK</v>
      </c>
    </row>
    <row r="1681" spans="1:9" x14ac:dyDescent="0.35">
      <c r="A1681" t="s">
        <v>1705</v>
      </c>
      <c r="B1681" t="s">
        <v>46</v>
      </c>
      <c r="C1681" t="s">
        <v>38</v>
      </c>
      <c r="D1681">
        <v>214.84</v>
      </c>
      <c r="E1681" t="s">
        <v>18</v>
      </c>
      <c r="F1681">
        <v>2973.91</v>
      </c>
      <c r="G1681">
        <f t="shared" si="28"/>
        <v>638914.82439999992</v>
      </c>
      <c r="H1681" t="str">
        <f>IF(BOQ_Table[[#This Row],[Amount]]&gt;100000,"Over Budget","OK")</f>
        <v>Over Budget</v>
      </c>
      <c r="I1681" t="str">
        <f>IF(OR(BOQ_Table[[#This Row],[Quantity]]="",BOQ_Table[[#This Row],[Rate]]=""),"Missing","OK")</f>
        <v>OK</v>
      </c>
    </row>
    <row r="1682" spans="1:9" x14ac:dyDescent="0.35">
      <c r="A1682" t="s">
        <v>1706</v>
      </c>
      <c r="B1682" t="s">
        <v>30</v>
      </c>
      <c r="C1682" t="s">
        <v>21</v>
      </c>
      <c r="D1682">
        <v>439.81</v>
      </c>
      <c r="E1682" t="s">
        <v>14</v>
      </c>
      <c r="F1682">
        <v>3271.94</v>
      </c>
      <c r="G1682">
        <f t="shared" si="28"/>
        <v>1439031.9314000001</v>
      </c>
      <c r="H1682" t="str">
        <f>IF(BOQ_Table[[#This Row],[Amount]]&gt;100000,"Over Budget","OK")</f>
        <v>Over Budget</v>
      </c>
      <c r="I1682" t="str">
        <f>IF(OR(BOQ_Table[[#This Row],[Quantity]]="",BOQ_Table[[#This Row],[Rate]]=""),"Missing","OK")</f>
        <v>OK</v>
      </c>
    </row>
    <row r="1683" spans="1:9" x14ac:dyDescent="0.35">
      <c r="A1683" t="s">
        <v>1707</v>
      </c>
      <c r="B1683" t="s">
        <v>56</v>
      </c>
      <c r="C1683" t="s">
        <v>8</v>
      </c>
      <c r="D1683">
        <v>405.32</v>
      </c>
      <c r="E1683" t="s">
        <v>9</v>
      </c>
      <c r="F1683">
        <v>2422.87</v>
      </c>
      <c r="G1683">
        <f t="shared" si="28"/>
        <v>982037.66839999997</v>
      </c>
      <c r="H1683" t="str">
        <f>IF(BOQ_Table[[#This Row],[Amount]]&gt;100000,"Over Budget","OK")</f>
        <v>Over Budget</v>
      </c>
      <c r="I1683" t="str">
        <f>IF(OR(BOQ_Table[[#This Row],[Quantity]]="",BOQ_Table[[#This Row],[Rate]]=""),"Missing","OK")</f>
        <v>OK</v>
      </c>
    </row>
    <row r="1684" spans="1:9" x14ac:dyDescent="0.35">
      <c r="A1684" t="s">
        <v>1708</v>
      </c>
      <c r="B1684" t="s">
        <v>16</v>
      </c>
      <c r="C1684" t="s">
        <v>21</v>
      </c>
      <c r="D1684">
        <v>418.83</v>
      </c>
      <c r="E1684" t="s">
        <v>22</v>
      </c>
      <c r="F1684">
        <v>711.17</v>
      </c>
      <c r="G1684">
        <f t="shared" si="28"/>
        <v>297859.33109999995</v>
      </c>
      <c r="H1684" t="str">
        <f>IF(BOQ_Table[[#This Row],[Amount]]&gt;100000,"Over Budget","OK")</f>
        <v>Over Budget</v>
      </c>
      <c r="I1684" t="str">
        <f>IF(OR(BOQ_Table[[#This Row],[Quantity]]="",BOQ_Table[[#This Row],[Rate]]=""),"Missing","OK")</f>
        <v>OK</v>
      </c>
    </row>
    <row r="1685" spans="1:9" x14ac:dyDescent="0.35">
      <c r="A1685" t="s">
        <v>1709</v>
      </c>
      <c r="B1685" t="s">
        <v>16</v>
      </c>
      <c r="C1685" t="s">
        <v>17</v>
      </c>
      <c r="D1685">
        <v>261.08999999999997</v>
      </c>
      <c r="E1685" t="s">
        <v>14</v>
      </c>
      <c r="F1685">
        <v>4074.75</v>
      </c>
      <c r="G1685">
        <f t="shared" si="28"/>
        <v>1063876.4774999998</v>
      </c>
      <c r="H1685" t="str">
        <f>IF(BOQ_Table[[#This Row],[Amount]]&gt;100000,"Over Budget","OK")</f>
        <v>Over Budget</v>
      </c>
      <c r="I1685" t="str">
        <f>IF(OR(BOQ_Table[[#This Row],[Quantity]]="",BOQ_Table[[#This Row],[Rate]]=""),"Missing","OK")</f>
        <v>OK</v>
      </c>
    </row>
    <row r="1686" spans="1:9" x14ac:dyDescent="0.35">
      <c r="A1686" t="s">
        <v>1710</v>
      </c>
      <c r="B1686" t="s">
        <v>7</v>
      </c>
      <c r="C1686" t="s">
        <v>8</v>
      </c>
      <c r="D1686">
        <v>42.83</v>
      </c>
      <c r="E1686" t="s">
        <v>9</v>
      </c>
      <c r="F1686">
        <v>3920.91</v>
      </c>
      <c r="G1686">
        <f t="shared" si="28"/>
        <v>167932.5753</v>
      </c>
      <c r="H1686" t="str">
        <f>IF(BOQ_Table[[#This Row],[Amount]]&gt;100000,"Over Budget","OK")</f>
        <v>Over Budget</v>
      </c>
      <c r="I1686" t="str">
        <f>IF(OR(BOQ_Table[[#This Row],[Quantity]]="",BOQ_Table[[#This Row],[Rate]]=""),"Missing","OK")</f>
        <v>OK</v>
      </c>
    </row>
    <row r="1687" spans="1:9" x14ac:dyDescent="0.35">
      <c r="A1687" t="s">
        <v>1711</v>
      </c>
      <c r="B1687" t="s">
        <v>7</v>
      </c>
      <c r="C1687" t="s">
        <v>8</v>
      </c>
      <c r="D1687">
        <v>377.05</v>
      </c>
      <c r="E1687" t="s">
        <v>27</v>
      </c>
      <c r="F1687">
        <v>4974.37</v>
      </c>
      <c r="G1687">
        <f t="shared" si="28"/>
        <v>1875586.2084999999</v>
      </c>
      <c r="H1687" t="str">
        <f>IF(BOQ_Table[[#This Row],[Amount]]&gt;100000,"Over Budget","OK")</f>
        <v>Over Budget</v>
      </c>
      <c r="I1687" t="str">
        <f>IF(OR(BOQ_Table[[#This Row],[Quantity]]="",BOQ_Table[[#This Row],[Rate]]=""),"Missing","OK")</f>
        <v>OK</v>
      </c>
    </row>
    <row r="1688" spans="1:9" x14ac:dyDescent="0.35">
      <c r="A1688" t="s">
        <v>1712</v>
      </c>
      <c r="B1688" t="s">
        <v>46</v>
      </c>
      <c r="C1688" t="s">
        <v>21</v>
      </c>
      <c r="D1688">
        <v>228.08</v>
      </c>
      <c r="E1688" t="s">
        <v>9</v>
      </c>
      <c r="F1688">
        <v>4690.46</v>
      </c>
      <c r="G1688">
        <f t="shared" si="28"/>
        <v>1069800.1168</v>
      </c>
      <c r="H1688" t="str">
        <f>IF(BOQ_Table[[#This Row],[Amount]]&gt;100000,"Over Budget","OK")</f>
        <v>Over Budget</v>
      </c>
      <c r="I1688" t="str">
        <f>IF(OR(BOQ_Table[[#This Row],[Quantity]]="",BOQ_Table[[#This Row],[Rate]]=""),"Missing","OK")</f>
        <v>OK</v>
      </c>
    </row>
    <row r="1689" spans="1:9" x14ac:dyDescent="0.35">
      <c r="A1689" t="s">
        <v>1713</v>
      </c>
      <c r="B1689" t="s">
        <v>42</v>
      </c>
      <c r="C1689" t="s">
        <v>21</v>
      </c>
      <c r="D1689">
        <v>213.46</v>
      </c>
      <c r="E1689" t="s">
        <v>9</v>
      </c>
      <c r="F1689">
        <v>4204.4799999999996</v>
      </c>
      <c r="G1689">
        <f t="shared" si="28"/>
        <v>897488.30079999997</v>
      </c>
      <c r="H1689" t="str">
        <f>IF(BOQ_Table[[#This Row],[Amount]]&gt;100000,"Over Budget","OK")</f>
        <v>Over Budget</v>
      </c>
      <c r="I1689" t="str">
        <f>IF(OR(BOQ_Table[[#This Row],[Quantity]]="",BOQ_Table[[#This Row],[Rate]]=""),"Missing","OK")</f>
        <v>OK</v>
      </c>
    </row>
    <row r="1690" spans="1:9" x14ac:dyDescent="0.35">
      <c r="A1690" t="s">
        <v>1714</v>
      </c>
      <c r="B1690" t="s">
        <v>11</v>
      </c>
      <c r="C1690" t="s">
        <v>8</v>
      </c>
      <c r="D1690">
        <v>187.23</v>
      </c>
      <c r="E1690" t="s">
        <v>27</v>
      </c>
      <c r="F1690">
        <v>4914.05</v>
      </c>
      <c r="G1690">
        <f t="shared" si="28"/>
        <v>920057.58149999997</v>
      </c>
      <c r="H1690" t="str">
        <f>IF(BOQ_Table[[#This Row],[Amount]]&gt;100000,"Over Budget","OK")</f>
        <v>Over Budget</v>
      </c>
      <c r="I1690" t="str">
        <f>IF(OR(BOQ_Table[[#This Row],[Quantity]]="",BOQ_Table[[#This Row],[Rate]]=""),"Missing","OK")</f>
        <v>OK</v>
      </c>
    </row>
    <row r="1691" spans="1:9" x14ac:dyDescent="0.35">
      <c r="A1691" t="s">
        <v>1715</v>
      </c>
      <c r="B1691" t="s">
        <v>20</v>
      </c>
      <c r="C1691" t="s">
        <v>17</v>
      </c>
      <c r="D1691">
        <v>307.24</v>
      </c>
      <c r="E1691" t="s">
        <v>22</v>
      </c>
      <c r="F1691">
        <v>3164.09</v>
      </c>
      <c r="G1691">
        <f t="shared" si="28"/>
        <v>972135.01160000009</v>
      </c>
      <c r="H1691" t="str">
        <f>IF(BOQ_Table[[#This Row],[Amount]]&gt;100000,"Over Budget","OK")</f>
        <v>Over Budget</v>
      </c>
      <c r="I1691" t="str">
        <f>IF(OR(BOQ_Table[[#This Row],[Quantity]]="",BOQ_Table[[#This Row],[Rate]]=""),"Missing","OK")</f>
        <v>OK</v>
      </c>
    </row>
    <row r="1692" spans="1:9" x14ac:dyDescent="0.35">
      <c r="A1692" t="s">
        <v>1716</v>
      </c>
      <c r="B1692" t="s">
        <v>56</v>
      </c>
      <c r="C1692" t="s">
        <v>21</v>
      </c>
      <c r="D1692">
        <v>32.049999999999997</v>
      </c>
      <c r="E1692" t="s">
        <v>27</v>
      </c>
      <c r="F1692">
        <v>370.87</v>
      </c>
      <c r="G1692">
        <f t="shared" si="28"/>
        <v>11886.3835</v>
      </c>
      <c r="H1692" t="str">
        <f>IF(BOQ_Table[[#This Row],[Amount]]&gt;100000,"Over Budget","OK")</f>
        <v>OK</v>
      </c>
      <c r="I1692" t="str">
        <f>IF(OR(BOQ_Table[[#This Row],[Quantity]]="",BOQ_Table[[#This Row],[Rate]]=""),"Missing","OK")</f>
        <v>OK</v>
      </c>
    </row>
    <row r="1693" spans="1:9" x14ac:dyDescent="0.35">
      <c r="A1693" t="s">
        <v>1717</v>
      </c>
      <c r="B1693" t="s">
        <v>20</v>
      </c>
      <c r="C1693" t="s">
        <v>12</v>
      </c>
      <c r="D1693">
        <v>297.38</v>
      </c>
      <c r="E1693" t="s">
        <v>9</v>
      </c>
      <c r="F1693">
        <v>4844.9399999999996</v>
      </c>
      <c r="G1693">
        <f t="shared" si="28"/>
        <v>1440788.2571999999</v>
      </c>
      <c r="H1693" t="str">
        <f>IF(BOQ_Table[[#This Row],[Amount]]&gt;100000,"Over Budget","OK")</f>
        <v>Over Budget</v>
      </c>
      <c r="I1693" t="str">
        <f>IF(OR(BOQ_Table[[#This Row],[Quantity]]="",BOQ_Table[[#This Row],[Rate]]=""),"Missing","OK")</f>
        <v>OK</v>
      </c>
    </row>
    <row r="1694" spans="1:9" x14ac:dyDescent="0.35">
      <c r="A1694" t="s">
        <v>1718</v>
      </c>
      <c r="B1694" t="s">
        <v>30</v>
      </c>
      <c r="C1694" t="s">
        <v>21</v>
      </c>
      <c r="D1694">
        <v>392.89</v>
      </c>
      <c r="E1694" t="s">
        <v>18</v>
      </c>
      <c r="F1694">
        <v>1652.18</v>
      </c>
      <c r="G1694">
        <f t="shared" si="28"/>
        <v>649125.00020000001</v>
      </c>
      <c r="H1694" t="str">
        <f>IF(BOQ_Table[[#This Row],[Amount]]&gt;100000,"Over Budget","OK")</f>
        <v>Over Budget</v>
      </c>
      <c r="I1694" t="str">
        <f>IF(OR(BOQ_Table[[#This Row],[Quantity]]="",BOQ_Table[[#This Row],[Rate]]=""),"Missing","OK")</f>
        <v>OK</v>
      </c>
    </row>
    <row r="1695" spans="1:9" x14ac:dyDescent="0.35">
      <c r="A1695" t="s">
        <v>1719</v>
      </c>
      <c r="B1695" t="s">
        <v>56</v>
      </c>
      <c r="C1695" t="s">
        <v>21</v>
      </c>
      <c r="D1695">
        <v>436.57</v>
      </c>
      <c r="E1695" t="s">
        <v>14</v>
      </c>
      <c r="F1695">
        <v>2581.4499999999998</v>
      </c>
      <c r="G1695">
        <f t="shared" si="28"/>
        <v>1126983.6265</v>
      </c>
      <c r="H1695" t="str">
        <f>IF(BOQ_Table[[#This Row],[Amount]]&gt;100000,"Over Budget","OK")</f>
        <v>Over Budget</v>
      </c>
      <c r="I1695" t="str">
        <f>IF(OR(BOQ_Table[[#This Row],[Quantity]]="",BOQ_Table[[#This Row],[Rate]]=""),"Missing","OK")</f>
        <v>OK</v>
      </c>
    </row>
    <row r="1696" spans="1:9" x14ac:dyDescent="0.35">
      <c r="A1696" t="s">
        <v>1720</v>
      </c>
      <c r="B1696" t="s">
        <v>40</v>
      </c>
      <c r="C1696" t="s">
        <v>12</v>
      </c>
      <c r="D1696">
        <v>160.15</v>
      </c>
      <c r="E1696" t="s">
        <v>9</v>
      </c>
      <c r="F1696">
        <v>752.54</v>
      </c>
      <c r="G1696">
        <f t="shared" si="28"/>
        <v>120519.281</v>
      </c>
      <c r="H1696" t="str">
        <f>IF(BOQ_Table[[#This Row],[Amount]]&gt;100000,"Over Budget","OK")</f>
        <v>Over Budget</v>
      </c>
      <c r="I1696" t="str">
        <f>IF(OR(BOQ_Table[[#This Row],[Quantity]]="",BOQ_Table[[#This Row],[Rate]]=""),"Missing","OK")</f>
        <v>OK</v>
      </c>
    </row>
    <row r="1697" spans="1:9" x14ac:dyDescent="0.35">
      <c r="A1697" t="s">
        <v>1721</v>
      </c>
      <c r="B1697" t="s">
        <v>7</v>
      </c>
      <c r="C1697" t="s">
        <v>8</v>
      </c>
      <c r="D1697">
        <v>27.75</v>
      </c>
      <c r="E1697" t="s">
        <v>27</v>
      </c>
      <c r="F1697">
        <v>1400.77</v>
      </c>
      <c r="G1697">
        <f t="shared" si="28"/>
        <v>38871.3675</v>
      </c>
      <c r="H1697" t="str">
        <f>IF(BOQ_Table[[#This Row],[Amount]]&gt;100000,"Over Budget","OK")</f>
        <v>OK</v>
      </c>
      <c r="I1697" t="str">
        <f>IF(OR(BOQ_Table[[#This Row],[Quantity]]="",BOQ_Table[[#This Row],[Rate]]=""),"Missing","OK")</f>
        <v>OK</v>
      </c>
    </row>
    <row r="1698" spans="1:9" x14ac:dyDescent="0.35">
      <c r="A1698" t="s">
        <v>1722</v>
      </c>
      <c r="B1698" t="s">
        <v>16</v>
      </c>
      <c r="C1698" t="s">
        <v>38</v>
      </c>
      <c r="D1698">
        <v>397.3</v>
      </c>
      <c r="E1698" t="s">
        <v>18</v>
      </c>
      <c r="F1698">
        <v>1947.06</v>
      </c>
      <c r="G1698">
        <f t="shared" si="28"/>
        <v>773566.93799999997</v>
      </c>
      <c r="H1698" t="str">
        <f>IF(BOQ_Table[[#This Row],[Amount]]&gt;100000,"Over Budget","OK")</f>
        <v>Over Budget</v>
      </c>
      <c r="I1698" t="str">
        <f>IF(OR(BOQ_Table[[#This Row],[Quantity]]="",BOQ_Table[[#This Row],[Rate]]=""),"Missing","OK")</f>
        <v>OK</v>
      </c>
    </row>
    <row r="1699" spans="1:9" x14ac:dyDescent="0.35">
      <c r="A1699" t="s">
        <v>1723</v>
      </c>
      <c r="B1699" t="s">
        <v>11</v>
      </c>
      <c r="C1699" t="s">
        <v>21</v>
      </c>
      <c r="D1699">
        <v>452.42</v>
      </c>
      <c r="E1699" t="s">
        <v>9</v>
      </c>
      <c r="F1699">
        <v>4988.04</v>
      </c>
      <c r="G1699">
        <f t="shared" si="28"/>
        <v>2256689.0567999999</v>
      </c>
      <c r="H1699" t="str">
        <f>IF(BOQ_Table[[#This Row],[Amount]]&gt;100000,"Over Budget","OK")</f>
        <v>Over Budget</v>
      </c>
      <c r="I1699" t="str">
        <f>IF(OR(BOQ_Table[[#This Row],[Quantity]]="",BOQ_Table[[#This Row],[Rate]]=""),"Missing","OK")</f>
        <v>OK</v>
      </c>
    </row>
    <row r="1700" spans="1:9" x14ac:dyDescent="0.35">
      <c r="A1700" t="s">
        <v>1724</v>
      </c>
      <c r="B1700" t="s">
        <v>46</v>
      </c>
      <c r="C1700" t="s">
        <v>8</v>
      </c>
      <c r="D1700">
        <v>427.54</v>
      </c>
      <c r="E1700" t="s">
        <v>9</v>
      </c>
      <c r="F1700">
        <v>439.63</v>
      </c>
      <c r="G1700">
        <f t="shared" si="28"/>
        <v>187959.41020000001</v>
      </c>
      <c r="H1700" t="str">
        <f>IF(BOQ_Table[[#This Row],[Amount]]&gt;100000,"Over Budget","OK")</f>
        <v>Over Budget</v>
      </c>
      <c r="I1700" t="str">
        <f>IF(OR(BOQ_Table[[#This Row],[Quantity]]="",BOQ_Table[[#This Row],[Rate]]=""),"Missing","OK")</f>
        <v>OK</v>
      </c>
    </row>
    <row r="1701" spans="1:9" x14ac:dyDescent="0.35">
      <c r="A1701" t="s">
        <v>1725</v>
      </c>
      <c r="B1701" t="s">
        <v>16</v>
      </c>
      <c r="C1701" t="s">
        <v>21</v>
      </c>
      <c r="D1701">
        <v>380.38</v>
      </c>
      <c r="E1701" t="s">
        <v>27</v>
      </c>
      <c r="F1701">
        <v>1293.3599999999999</v>
      </c>
      <c r="G1701">
        <f t="shared" si="28"/>
        <v>491968.27679999993</v>
      </c>
      <c r="H1701" t="str">
        <f>IF(BOQ_Table[[#This Row],[Amount]]&gt;100000,"Over Budget","OK")</f>
        <v>Over Budget</v>
      </c>
      <c r="I1701" t="str">
        <f>IF(OR(BOQ_Table[[#This Row],[Quantity]]="",BOQ_Table[[#This Row],[Rate]]=""),"Missing","OK")</f>
        <v>OK</v>
      </c>
    </row>
    <row r="1702" spans="1:9" x14ac:dyDescent="0.35">
      <c r="A1702" t="s">
        <v>1726</v>
      </c>
      <c r="B1702" t="s">
        <v>30</v>
      </c>
      <c r="C1702" t="s">
        <v>8</v>
      </c>
      <c r="D1702">
        <v>479.8</v>
      </c>
      <c r="E1702" t="s">
        <v>9</v>
      </c>
      <c r="F1702">
        <v>3096.97</v>
      </c>
      <c r="G1702">
        <f t="shared" si="28"/>
        <v>1485926.206</v>
      </c>
      <c r="H1702" t="str">
        <f>IF(BOQ_Table[[#This Row],[Amount]]&gt;100000,"Over Budget","OK")</f>
        <v>Over Budget</v>
      </c>
      <c r="I1702" t="str">
        <f>IF(OR(BOQ_Table[[#This Row],[Quantity]]="",BOQ_Table[[#This Row],[Rate]]=""),"Missing","OK")</f>
        <v>OK</v>
      </c>
    </row>
    <row r="1703" spans="1:9" x14ac:dyDescent="0.35">
      <c r="A1703" t="s">
        <v>1727</v>
      </c>
      <c r="B1703" t="s">
        <v>32</v>
      </c>
      <c r="C1703" t="s">
        <v>17</v>
      </c>
      <c r="D1703">
        <v>179.78</v>
      </c>
      <c r="E1703" t="s">
        <v>9</v>
      </c>
      <c r="F1703">
        <v>635.87</v>
      </c>
      <c r="G1703">
        <f t="shared" si="28"/>
        <v>114316.7086</v>
      </c>
      <c r="H1703" t="str">
        <f>IF(BOQ_Table[[#This Row],[Amount]]&gt;100000,"Over Budget","OK")</f>
        <v>Over Budget</v>
      </c>
      <c r="I1703" t="str">
        <f>IF(OR(BOQ_Table[[#This Row],[Quantity]]="",BOQ_Table[[#This Row],[Rate]]=""),"Missing","OK")</f>
        <v>OK</v>
      </c>
    </row>
    <row r="1704" spans="1:9" x14ac:dyDescent="0.35">
      <c r="A1704" t="s">
        <v>1728</v>
      </c>
      <c r="B1704" t="s">
        <v>42</v>
      </c>
      <c r="C1704" t="s">
        <v>38</v>
      </c>
      <c r="D1704">
        <v>363.47</v>
      </c>
      <c r="E1704" t="s">
        <v>18</v>
      </c>
      <c r="F1704">
        <v>419.13</v>
      </c>
      <c r="G1704">
        <f t="shared" si="28"/>
        <v>152341.18110000002</v>
      </c>
      <c r="H1704" t="str">
        <f>IF(BOQ_Table[[#This Row],[Amount]]&gt;100000,"Over Budget","OK")</f>
        <v>Over Budget</v>
      </c>
      <c r="I1704" t="str">
        <f>IF(OR(BOQ_Table[[#This Row],[Quantity]]="",BOQ_Table[[#This Row],[Rate]]=""),"Missing","OK")</f>
        <v>OK</v>
      </c>
    </row>
    <row r="1705" spans="1:9" x14ac:dyDescent="0.35">
      <c r="A1705" t="s">
        <v>1729</v>
      </c>
      <c r="B1705" t="s">
        <v>20</v>
      </c>
      <c r="C1705" t="s">
        <v>17</v>
      </c>
      <c r="D1705">
        <v>239.86</v>
      </c>
      <c r="E1705" t="s">
        <v>22</v>
      </c>
      <c r="F1705">
        <v>2400.52</v>
      </c>
      <c r="G1705">
        <f t="shared" si="28"/>
        <v>575788.72720000008</v>
      </c>
      <c r="H1705" t="str">
        <f>IF(BOQ_Table[[#This Row],[Amount]]&gt;100000,"Over Budget","OK")</f>
        <v>Over Budget</v>
      </c>
      <c r="I1705" t="str">
        <f>IF(OR(BOQ_Table[[#This Row],[Quantity]]="",BOQ_Table[[#This Row],[Rate]]=""),"Missing","OK")</f>
        <v>OK</v>
      </c>
    </row>
    <row r="1706" spans="1:9" x14ac:dyDescent="0.35">
      <c r="A1706" t="s">
        <v>1730</v>
      </c>
      <c r="B1706" t="s">
        <v>20</v>
      </c>
      <c r="C1706" t="s">
        <v>21</v>
      </c>
      <c r="D1706">
        <v>57.38</v>
      </c>
      <c r="E1706" t="s">
        <v>22</v>
      </c>
      <c r="F1706">
        <v>4006.09</v>
      </c>
      <c r="G1706">
        <f t="shared" si="28"/>
        <v>229869.44420000003</v>
      </c>
      <c r="H1706" t="str">
        <f>IF(BOQ_Table[[#This Row],[Amount]]&gt;100000,"Over Budget","OK")</f>
        <v>Over Budget</v>
      </c>
      <c r="I1706" t="str">
        <f>IF(OR(BOQ_Table[[#This Row],[Quantity]]="",BOQ_Table[[#This Row],[Rate]]=""),"Missing","OK")</f>
        <v>OK</v>
      </c>
    </row>
    <row r="1707" spans="1:9" x14ac:dyDescent="0.35">
      <c r="A1707" t="s">
        <v>1731</v>
      </c>
      <c r="B1707" t="s">
        <v>46</v>
      </c>
      <c r="C1707" t="s">
        <v>17</v>
      </c>
      <c r="D1707">
        <v>269.62</v>
      </c>
      <c r="E1707" t="s">
        <v>9</v>
      </c>
      <c r="F1707">
        <v>3888.32</v>
      </c>
      <c r="G1707">
        <f t="shared" si="28"/>
        <v>1048368.8384</v>
      </c>
      <c r="H1707" t="str">
        <f>IF(BOQ_Table[[#This Row],[Amount]]&gt;100000,"Over Budget","OK")</f>
        <v>Over Budget</v>
      </c>
      <c r="I1707" t="str">
        <f>IF(OR(BOQ_Table[[#This Row],[Quantity]]="",BOQ_Table[[#This Row],[Rate]]=""),"Missing","OK")</f>
        <v>OK</v>
      </c>
    </row>
    <row r="1708" spans="1:9" x14ac:dyDescent="0.35">
      <c r="A1708" t="s">
        <v>1732</v>
      </c>
      <c r="B1708" t="s">
        <v>46</v>
      </c>
      <c r="C1708" t="s">
        <v>38</v>
      </c>
      <c r="D1708">
        <v>86.24</v>
      </c>
      <c r="E1708" t="s">
        <v>27</v>
      </c>
      <c r="F1708">
        <v>2945.29</v>
      </c>
      <c r="G1708">
        <f t="shared" si="28"/>
        <v>254001.80959999998</v>
      </c>
      <c r="H1708" t="str">
        <f>IF(BOQ_Table[[#This Row],[Amount]]&gt;100000,"Over Budget","OK")</f>
        <v>Over Budget</v>
      </c>
      <c r="I1708" t="str">
        <f>IF(OR(BOQ_Table[[#This Row],[Quantity]]="",BOQ_Table[[#This Row],[Rate]]=""),"Missing","OK")</f>
        <v>OK</v>
      </c>
    </row>
    <row r="1709" spans="1:9" x14ac:dyDescent="0.35">
      <c r="A1709" t="s">
        <v>1733</v>
      </c>
      <c r="B1709" t="s">
        <v>56</v>
      </c>
      <c r="C1709" t="s">
        <v>8</v>
      </c>
      <c r="D1709">
        <v>373.89</v>
      </c>
      <c r="E1709" t="s">
        <v>22</v>
      </c>
      <c r="F1709">
        <v>4685.57</v>
      </c>
      <c r="G1709">
        <f t="shared" si="28"/>
        <v>1751887.7672999997</v>
      </c>
      <c r="H1709" t="str">
        <f>IF(BOQ_Table[[#This Row],[Amount]]&gt;100000,"Over Budget","OK")</f>
        <v>Over Budget</v>
      </c>
      <c r="I1709" t="str">
        <f>IF(OR(BOQ_Table[[#This Row],[Quantity]]="",BOQ_Table[[#This Row],[Rate]]=""),"Missing","OK")</f>
        <v>OK</v>
      </c>
    </row>
    <row r="1710" spans="1:9" x14ac:dyDescent="0.35">
      <c r="A1710" t="s">
        <v>1734</v>
      </c>
      <c r="B1710" t="s">
        <v>42</v>
      </c>
      <c r="C1710" t="s">
        <v>8</v>
      </c>
      <c r="D1710">
        <v>459.48</v>
      </c>
      <c r="E1710" t="s">
        <v>9</v>
      </c>
      <c r="F1710">
        <v>953.38</v>
      </c>
      <c r="G1710">
        <f t="shared" si="28"/>
        <v>438059.04240000003</v>
      </c>
      <c r="H1710" t="str">
        <f>IF(BOQ_Table[[#This Row],[Amount]]&gt;100000,"Over Budget","OK")</f>
        <v>Over Budget</v>
      </c>
      <c r="I1710" t="str">
        <f>IF(OR(BOQ_Table[[#This Row],[Quantity]]="",BOQ_Table[[#This Row],[Rate]]=""),"Missing","OK")</f>
        <v>OK</v>
      </c>
    </row>
    <row r="1711" spans="1:9" x14ac:dyDescent="0.35">
      <c r="A1711" t="s">
        <v>1735</v>
      </c>
      <c r="B1711" t="s">
        <v>30</v>
      </c>
      <c r="C1711" t="s">
        <v>21</v>
      </c>
      <c r="D1711">
        <v>47.79</v>
      </c>
      <c r="E1711" t="s">
        <v>22</v>
      </c>
      <c r="F1711">
        <v>4984.33</v>
      </c>
      <c r="G1711">
        <f t="shared" si="28"/>
        <v>238201.13069999998</v>
      </c>
      <c r="H1711" t="str">
        <f>IF(BOQ_Table[[#This Row],[Amount]]&gt;100000,"Over Budget","OK")</f>
        <v>Over Budget</v>
      </c>
      <c r="I1711" t="str">
        <f>IF(OR(BOQ_Table[[#This Row],[Quantity]]="",BOQ_Table[[#This Row],[Rate]]=""),"Missing","OK")</f>
        <v>OK</v>
      </c>
    </row>
    <row r="1712" spans="1:9" x14ac:dyDescent="0.35">
      <c r="A1712" t="s">
        <v>1736</v>
      </c>
      <c r="B1712" t="s">
        <v>7</v>
      </c>
      <c r="C1712" t="s">
        <v>8</v>
      </c>
      <c r="D1712">
        <v>485.7</v>
      </c>
      <c r="E1712" t="s">
        <v>22</v>
      </c>
      <c r="F1712">
        <v>1285.45</v>
      </c>
      <c r="G1712">
        <f t="shared" si="28"/>
        <v>624343.06500000006</v>
      </c>
      <c r="H1712" t="str">
        <f>IF(BOQ_Table[[#This Row],[Amount]]&gt;100000,"Over Budget","OK")</f>
        <v>Over Budget</v>
      </c>
      <c r="I1712" t="str">
        <f>IF(OR(BOQ_Table[[#This Row],[Quantity]]="",BOQ_Table[[#This Row],[Rate]]=""),"Missing","OK")</f>
        <v>OK</v>
      </c>
    </row>
    <row r="1713" spans="1:9" x14ac:dyDescent="0.35">
      <c r="A1713" t="s">
        <v>1737</v>
      </c>
      <c r="B1713" t="s">
        <v>16</v>
      </c>
      <c r="C1713" t="s">
        <v>21</v>
      </c>
      <c r="D1713">
        <v>22.79</v>
      </c>
      <c r="E1713" t="s">
        <v>22</v>
      </c>
      <c r="F1713">
        <v>1606.94</v>
      </c>
      <c r="G1713">
        <f t="shared" si="28"/>
        <v>36622.162600000003</v>
      </c>
      <c r="H1713" t="str">
        <f>IF(BOQ_Table[[#This Row],[Amount]]&gt;100000,"Over Budget","OK")</f>
        <v>OK</v>
      </c>
      <c r="I1713" t="str">
        <f>IF(OR(BOQ_Table[[#This Row],[Quantity]]="",BOQ_Table[[#This Row],[Rate]]=""),"Missing","OK")</f>
        <v>OK</v>
      </c>
    </row>
    <row r="1714" spans="1:9" x14ac:dyDescent="0.35">
      <c r="A1714" t="s">
        <v>1738</v>
      </c>
      <c r="B1714" t="s">
        <v>30</v>
      </c>
      <c r="C1714" t="s">
        <v>8</v>
      </c>
      <c r="D1714">
        <v>175.1</v>
      </c>
      <c r="E1714" t="s">
        <v>9</v>
      </c>
      <c r="F1714">
        <v>4064.71</v>
      </c>
      <c r="G1714">
        <f t="shared" si="28"/>
        <v>711730.72100000002</v>
      </c>
      <c r="H1714" t="str">
        <f>IF(BOQ_Table[[#This Row],[Amount]]&gt;100000,"Over Budget","OK")</f>
        <v>Over Budget</v>
      </c>
      <c r="I1714" t="str">
        <f>IF(OR(BOQ_Table[[#This Row],[Quantity]]="",BOQ_Table[[#This Row],[Rate]]=""),"Missing","OK")</f>
        <v>OK</v>
      </c>
    </row>
    <row r="1715" spans="1:9" x14ac:dyDescent="0.35">
      <c r="A1715" t="s">
        <v>1739</v>
      </c>
      <c r="B1715" t="s">
        <v>40</v>
      </c>
      <c r="C1715" t="s">
        <v>17</v>
      </c>
      <c r="D1715">
        <v>362.09</v>
      </c>
      <c r="E1715" t="s">
        <v>14</v>
      </c>
      <c r="F1715">
        <v>1969.09</v>
      </c>
      <c r="G1715">
        <f t="shared" si="28"/>
        <v>712987.7980999999</v>
      </c>
      <c r="H1715" t="str">
        <f>IF(BOQ_Table[[#This Row],[Amount]]&gt;100000,"Over Budget","OK")</f>
        <v>Over Budget</v>
      </c>
      <c r="I1715" t="str">
        <f>IF(OR(BOQ_Table[[#This Row],[Quantity]]="",BOQ_Table[[#This Row],[Rate]]=""),"Missing","OK")</f>
        <v>OK</v>
      </c>
    </row>
    <row r="1716" spans="1:9" x14ac:dyDescent="0.35">
      <c r="A1716" t="s">
        <v>1740</v>
      </c>
      <c r="B1716" t="s">
        <v>42</v>
      </c>
      <c r="C1716" t="s">
        <v>21</v>
      </c>
      <c r="D1716">
        <v>453.26</v>
      </c>
      <c r="E1716" t="s">
        <v>27</v>
      </c>
      <c r="F1716">
        <v>1460.89</v>
      </c>
      <c r="G1716">
        <f t="shared" si="28"/>
        <v>662163.00140000007</v>
      </c>
      <c r="H1716" t="str">
        <f>IF(BOQ_Table[[#This Row],[Amount]]&gt;100000,"Over Budget","OK")</f>
        <v>Over Budget</v>
      </c>
      <c r="I1716" t="str">
        <f>IF(OR(BOQ_Table[[#This Row],[Quantity]]="",BOQ_Table[[#This Row],[Rate]]=""),"Missing","OK")</f>
        <v>OK</v>
      </c>
    </row>
    <row r="1717" spans="1:9" x14ac:dyDescent="0.35">
      <c r="A1717" t="s">
        <v>1741</v>
      </c>
      <c r="B1717" t="s">
        <v>16</v>
      </c>
      <c r="C1717" t="s">
        <v>12</v>
      </c>
      <c r="D1717">
        <v>390.39</v>
      </c>
      <c r="E1717" t="s">
        <v>14</v>
      </c>
      <c r="F1717">
        <v>3730.99</v>
      </c>
      <c r="G1717">
        <f t="shared" si="28"/>
        <v>1456541.1860999998</v>
      </c>
      <c r="H1717" t="str">
        <f>IF(BOQ_Table[[#This Row],[Amount]]&gt;100000,"Over Budget","OK")</f>
        <v>Over Budget</v>
      </c>
      <c r="I1717" t="str">
        <f>IF(OR(BOQ_Table[[#This Row],[Quantity]]="",BOQ_Table[[#This Row],[Rate]]=""),"Missing","OK")</f>
        <v>OK</v>
      </c>
    </row>
    <row r="1718" spans="1:9" x14ac:dyDescent="0.35">
      <c r="A1718" t="s">
        <v>1742</v>
      </c>
      <c r="B1718" t="s">
        <v>16</v>
      </c>
      <c r="C1718" t="s">
        <v>21</v>
      </c>
      <c r="D1718">
        <v>237.76</v>
      </c>
      <c r="E1718" t="s">
        <v>22</v>
      </c>
      <c r="F1718">
        <v>3020.21</v>
      </c>
      <c r="G1718">
        <f t="shared" si="28"/>
        <v>718085.12959999999</v>
      </c>
      <c r="H1718" t="str">
        <f>IF(BOQ_Table[[#This Row],[Amount]]&gt;100000,"Over Budget","OK")</f>
        <v>Over Budget</v>
      </c>
      <c r="I1718" t="str">
        <f>IF(OR(BOQ_Table[[#This Row],[Quantity]]="",BOQ_Table[[#This Row],[Rate]]=""),"Missing","OK")</f>
        <v>OK</v>
      </c>
    </row>
    <row r="1719" spans="1:9" x14ac:dyDescent="0.35">
      <c r="A1719" t="s">
        <v>1743</v>
      </c>
      <c r="B1719" t="s">
        <v>11</v>
      </c>
      <c r="C1719" t="s">
        <v>12</v>
      </c>
      <c r="D1719">
        <v>86.86</v>
      </c>
      <c r="E1719" t="s">
        <v>9</v>
      </c>
      <c r="F1719">
        <v>3653.17</v>
      </c>
      <c r="G1719">
        <f t="shared" si="28"/>
        <v>317314.34620000003</v>
      </c>
      <c r="H1719" t="str">
        <f>IF(BOQ_Table[[#This Row],[Amount]]&gt;100000,"Over Budget","OK")</f>
        <v>Over Budget</v>
      </c>
      <c r="I1719" t="str">
        <f>IF(OR(BOQ_Table[[#This Row],[Quantity]]="",BOQ_Table[[#This Row],[Rate]]=""),"Missing","OK")</f>
        <v>OK</v>
      </c>
    </row>
    <row r="1720" spans="1:9" x14ac:dyDescent="0.35">
      <c r="A1720" t="s">
        <v>1744</v>
      </c>
      <c r="B1720" t="s">
        <v>16</v>
      </c>
      <c r="C1720" t="s">
        <v>17</v>
      </c>
      <c r="D1720">
        <v>109.79</v>
      </c>
      <c r="E1720" t="s">
        <v>22</v>
      </c>
      <c r="F1720">
        <v>3830.64</v>
      </c>
      <c r="G1720">
        <f t="shared" si="28"/>
        <v>420565.9656</v>
      </c>
      <c r="H1720" t="str">
        <f>IF(BOQ_Table[[#This Row],[Amount]]&gt;100000,"Over Budget","OK")</f>
        <v>Over Budget</v>
      </c>
      <c r="I1720" t="str">
        <f>IF(OR(BOQ_Table[[#This Row],[Quantity]]="",BOQ_Table[[#This Row],[Rate]]=""),"Missing","OK")</f>
        <v>OK</v>
      </c>
    </row>
    <row r="1721" spans="1:9" x14ac:dyDescent="0.35">
      <c r="A1721" t="s">
        <v>1745</v>
      </c>
      <c r="B1721" t="s">
        <v>32</v>
      </c>
      <c r="C1721" t="s">
        <v>21</v>
      </c>
      <c r="D1721">
        <v>120.93</v>
      </c>
      <c r="E1721" t="s">
        <v>18</v>
      </c>
      <c r="F1721">
        <v>1563.16</v>
      </c>
      <c r="G1721">
        <f t="shared" si="28"/>
        <v>189032.93880000003</v>
      </c>
      <c r="H1721" t="str">
        <f>IF(BOQ_Table[[#This Row],[Amount]]&gt;100000,"Over Budget","OK")</f>
        <v>Over Budget</v>
      </c>
      <c r="I1721" t="str">
        <f>IF(OR(BOQ_Table[[#This Row],[Quantity]]="",BOQ_Table[[#This Row],[Rate]]=""),"Missing","OK")</f>
        <v>OK</v>
      </c>
    </row>
    <row r="1722" spans="1:9" x14ac:dyDescent="0.35">
      <c r="A1722" t="s">
        <v>1746</v>
      </c>
      <c r="B1722" t="s">
        <v>46</v>
      </c>
      <c r="C1722" t="s">
        <v>21</v>
      </c>
      <c r="D1722">
        <v>479.51</v>
      </c>
      <c r="E1722" t="s">
        <v>22</v>
      </c>
      <c r="F1722">
        <v>1932.47</v>
      </c>
      <c r="G1722">
        <f t="shared" si="28"/>
        <v>926638.68969999999</v>
      </c>
      <c r="H1722" t="str">
        <f>IF(BOQ_Table[[#This Row],[Amount]]&gt;100000,"Over Budget","OK")</f>
        <v>Over Budget</v>
      </c>
      <c r="I1722" t="str">
        <f>IF(OR(BOQ_Table[[#This Row],[Quantity]]="",BOQ_Table[[#This Row],[Rate]]=""),"Missing","OK")</f>
        <v>OK</v>
      </c>
    </row>
    <row r="1723" spans="1:9" x14ac:dyDescent="0.35">
      <c r="A1723" t="s">
        <v>1747</v>
      </c>
      <c r="B1723" t="s">
        <v>30</v>
      </c>
      <c r="C1723" t="s">
        <v>21</v>
      </c>
      <c r="D1723">
        <v>173.18</v>
      </c>
      <c r="E1723" t="s">
        <v>14</v>
      </c>
      <c r="F1723">
        <v>1045.45</v>
      </c>
      <c r="G1723">
        <f t="shared" si="28"/>
        <v>181051.03100000002</v>
      </c>
      <c r="H1723" t="str">
        <f>IF(BOQ_Table[[#This Row],[Amount]]&gt;100000,"Over Budget","OK")</f>
        <v>Over Budget</v>
      </c>
      <c r="I1723" t="str">
        <f>IF(OR(BOQ_Table[[#This Row],[Quantity]]="",BOQ_Table[[#This Row],[Rate]]=""),"Missing","OK")</f>
        <v>OK</v>
      </c>
    </row>
    <row r="1724" spans="1:9" x14ac:dyDescent="0.35">
      <c r="A1724" t="s">
        <v>1748</v>
      </c>
      <c r="B1724" t="s">
        <v>40</v>
      </c>
      <c r="C1724" t="s">
        <v>8</v>
      </c>
      <c r="D1724">
        <v>361.07</v>
      </c>
      <c r="E1724" t="s">
        <v>9</v>
      </c>
      <c r="F1724">
        <v>3849.29</v>
      </c>
      <c r="G1724">
        <f t="shared" si="28"/>
        <v>1389863.1402999999</v>
      </c>
      <c r="H1724" t="str">
        <f>IF(BOQ_Table[[#This Row],[Amount]]&gt;100000,"Over Budget","OK")</f>
        <v>Over Budget</v>
      </c>
      <c r="I1724" t="str">
        <f>IF(OR(BOQ_Table[[#This Row],[Quantity]]="",BOQ_Table[[#This Row],[Rate]]=""),"Missing","OK")</f>
        <v>OK</v>
      </c>
    </row>
    <row r="1725" spans="1:9" x14ac:dyDescent="0.35">
      <c r="A1725" t="s">
        <v>1749</v>
      </c>
      <c r="B1725" t="s">
        <v>42</v>
      </c>
      <c r="C1725" t="s">
        <v>12</v>
      </c>
      <c r="D1725">
        <v>216.29</v>
      </c>
      <c r="E1725" t="s">
        <v>14</v>
      </c>
      <c r="F1725">
        <v>564.16</v>
      </c>
      <c r="G1725">
        <f t="shared" si="28"/>
        <v>122022.16639999999</v>
      </c>
      <c r="H1725" t="str">
        <f>IF(BOQ_Table[[#This Row],[Amount]]&gt;100000,"Over Budget","OK")</f>
        <v>Over Budget</v>
      </c>
      <c r="I1725" t="str">
        <f>IF(OR(BOQ_Table[[#This Row],[Quantity]]="",BOQ_Table[[#This Row],[Rate]]=""),"Missing","OK")</f>
        <v>OK</v>
      </c>
    </row>
    <row r="1726" spans="1:9" x14ac:dyDescent="0.35">
      <c r="A1726" t="s">
        <v>1750</v>
      </c>
      <c r="B1726" t="s">
        <v>16</v>
      </c>
      <c r="C1726" t="s">
        <v>38</v>
      </c>
      <c r="D1726">
        <v>281.23</v>
      </c>
      <c r="E1726" t="s">
        <v>14</v>
      </c>
      <c r="F1726">
        <v>568.63</v>
      </c>
      <c r="G1726">
        <f t="shared" si="28"/>
        <v>159915.8149</v>
      </c>
      <c r="H1726" t="str">
        <f>IF(BOQ_Table[[#This Row],[Amount]]&gt;100000,"Over Budget","OK")</f>
        <v>Over Budget</v>
      </c>
      <c r="I1726" t="str">
        <f>IF(OR(BOQ_Table[[#This Row],[Quantity]]="",BOQ_Table[[#This Row],[Rate]]=""),"Missing","OK")</f>
        <v>OK</v>
      </c>
    </row>
    <row r="1727" spans="1:9" x14ac:dyDescent="0.35">
      <c r="A1727" t="s">
        <v>1751</v>
      </c>
      <c r="B1727" t="s">
        <v>42</v>
      </c>
      <c r="C1727" t="s">
        <v>12</v>
      </c>
      <c r="D1727">
        <v>265.60000000000002</v>
      </c>
      <c r="E1727" t="s">
        <v>27</v>
      </c>
      <c r="F1727">
        <v>1197.94</v>
      </c>
      <c r="G1727">
        <f t="shared" si="28"/>
        <v>318172.86400000006</v>
      </c>
      <c r="H1727" t="str">
        <f>IF(BOQ_Table[[#This Row],[Amount]]&gt;100000,"Over Budget","OK")</f>
        <v>Over Budget</v>
      </c>
      <c r="I1727" t="str">
        <f>IF(OR(BOQ_Table[[#This Row],[Quantity]]="",BOQ_Table[[#This Row],[Rate]]=""),"Missing","OK")</f>
        <v>OK</v>
      </c>
    </row>
    <row r="1728" spans="1:9" x14ac:dyDescent="0.35">
      <c r="A1728" t="s">
        <v>1752</v>
      </c>
      <c r="B1728" t="s">
        <v>11</v>
      </c>
      <c r="C1728" t="s">
        <v>21</v>
      </c>
      <c r="D1728">
        <v>398.46</v>
      </c>
      <c r="E1728" t="s">
        <v>27</v>
      </c>
      <c r="F1728">
        <v>302.31</v>
      </c>
      <c r="G1728">
        <f t="shared" si="28"/>
        <v>120458.44259999999</v>
      </c>
      <c r="H1728" t="str">
        <f>IF(BOQ_Table[[#This Row],[Amount]]&gt;100000,"Over Budget","OK")</f>
        <v>Over Budget</v>
      </c>
      <c r="I1728" t="str">
        <f>IF(OR(BOQ_Table[[#This Row],[Quantity]]="",BOQ_Table[[#This Row],[Rate]]=""),"Missing","OK")</f>
        <v>OK</v>
      </c>
    </row>
    <row r="1729" spans="1:9" x14ac:dyDescent="0.35">
      <c r="A1729" t="s">
        <v>1753</v>
      </c>
      <c r="B1729" t="s">
        <v>20</v>
      </c>
      <c r="C1729" t="s">
        <v>17</v>
      </c>
      <c r="D1729">
        <v>59.45</v>
      </c>
      <c r="E1729" t="s">
        <v>14</v>
      </c>
      <c r="F1729">
        <v>1763.2</v>
      </c>
      <c r="G1729">
        <f t="shared" si="28"/>
        <v>104822.24</v>
      </c>
      <c r="H1729" t="str">
        <f>IF(BOQ_Table[[#This Row],[Amount]]&gt;100000,"Over Budget","OK")</f>
        <v>Over Budget</v>
      </c>
      <c r="I1729" t="str">
        <f>IF(OR(BOQ_Table[[#This Row],[Quantity]]="",BOQ_Table[[#This Row],[Rate]]=""),"Missing","OK")</f>
        <v>OK</v>
      </c>
    </row>
    <row r="1730" spans="1:9" x14ac:dyDescent="0.35">
      <c r="A1730" t="s">
        <v>1754</v>
      </c>
      <c r="B1730" t="s">
        <v>16</v>
      </c>
      <c r="C1730" t="s">
        <v>17</v>
      </c>
      <c r="D1730">
        <v>76.94</v>
      </c>
      <c r="E1730" t="s">
        <v>27</v>
      </c>
      <c r="F1730">
        <v>1853.5</v>
      </c>
      <c r="G1730">
        <f t="shared" ref="G1730:G1793" si="29">D1730*F1730</f>
        <v>142608.29</v>
      </c>
      <c r="H1730" t="str">
        <f>IF(BOQ_Table[[#This Row],[Amount]]&gt;100000,"Over Budget","OK")</f>
        <v>Over Budget</v>
      </c>
      <c r="I1730" t="str">
        <f>IF(OR(BOQ_Table[[#This Row],[Quantity]]="",BOQ_Table[[#This Row],[Rate]]=""),"Missing","OK")</f>
        <v>OK</v>
      </c>
    </row>
    <row r="1731" spans="1:9" x14ac:dyDescent="0.35">
      <c r="A1731" t="s">
        <v>1755</v>
      </c>
      <c r="B1731" t="s">
        <v>20</v>
      </c>
      <c r="C1731" t="s">
        <v>38</v>
      </c>
      <c r="D1731">
        <v>6.32</v>
      </c>
      <c r="E1731" t="s">
        <v>27</v>
      </c>
      <c r="F1731">
        <v>4667.47</v>
      </c>
      <c r="G1731">
        <f t="shared" si="29"/>
        <v>29498.410400000004</v>
      </c>
      <c r="H1731" t="str">
        <f>IF(BOQ_Table[[#This Row],[Amount]]&gt;100000,"Over Budget","OK")</f>
        <v>OK</v>
      </c>
      <c r="I1731" t="str">
        <f>IF(OR(BOQ_Table[[#This Row],[Quantity]]="",BOQ_Table[[#This Row],[Rate]]=""),"Missing","OK")</f>
        <v>OK</v>
      </c>
    </row>
    <row r="1732" spans="1:9" x14ac:dyDescent="0.35">
      <c r="A1732" t="s">
        <v>1756</v>
      </c>
      <c r="B1732" t="s">
        <v>30</v>
      </c>
      <c r="C1732" t="s">
        <v>17</v>
      </c>
      <c r="D1732">
        <v>62.58</v>
      </c>
      <c r="E1732" t="s">
        <v>27</v>
      </c>
      <c r="F1732">
        <v>4165.51</v>
      </c>
      <c r="G1732">
        <f t="shared" si="29"/>
        <v>260677.6158</v>
      </c>
      <c r="H1732" t="str">
        <f>IF(BOQ_Table[[#This Row],[Amount]]&gt;100000,"Over Budget","OK")</f>
        <v>Over Budget</v>
      </c>
      <c r="I1732" t="str">
        <f>IF(OR(BOQ_Table[[#This Row],[Quantity]]="",BOQ_Table[[#This Row],[Rate]]=""),"Missing","OK")</f>
        <v>OK</v>
      </c>
    </row>
    <row r="1733" spans="1:9" x14ac:dyDescent="0.35">
      <c r="A1733" t="s">
        <v>1757</v>
      </c>
      <c r="B1733" t="s">
        <v>40</v>
      </c>
      <c r="C1733" t="s">
        <v>8</v>
      </c>
      <c r="D1733">
        <v>225.78</v>
      </c>
      <c r="E1733" t="s">
        <v>14</v>
      </c>
      <c r="F1733">
        <v>2011.82</v>
      </c>
      <c r="G1733">
        <f t="shared" si="29"/>
        <v>454228.71960000001</v>
      </c>
      <c r="H1733" t="str">
        <f>IF(BOQ_Table[[#This Row],[Amount]]&gt;100000,"Over Budget","OK")</f>
        <v>Over Budget</v>
      </c>
      <c r="I1733" t="str">
        <f>IF(OR(BOQ_Table[[#This Row],[Quantity]]="",BOQ_Table[[#This Row],[Rate]]=""),"Missing","OK")</f>
        <v>OK</v>
      </c>
    </row>
    <row r="1734" spans="1:9" x14ac:dyDescent="0.35">
      <c r="A1734" t="s">
        <v>1758</v>
      </c>
      <c r="B1734" t="s">
        <v>7</v>
      </c>
      <c r="C1734" t="s">
        <v>12</v>
      </c>
      <c r="D1734">
        <v>391.83</v>
      </c>
      <c r="E1734" t="s">
        <v>27</v>
      </c>
      <c r="F1734">
        <v>612.4</v>
      </c>
      <c r="G1734">
        <f t="shared" si="29"/>
        <v>239956.69199999998</v>
      </c>
      <c r="H1734" t="str">
        <f>IF(BOQ_Table[[#This Row],[Amount]]&gt;100000,"Over Budget","OK")</f>
        <v>Over Budget</v>
      </c>
      <c r="I1734" t="str">
        <f>IF(OR(BOQ_Table[[#This Row],[Quantity]]="",BOQ_Table[[#This Row],[Rate]]=""),"Missing","OK")</f>
        <v>OK</v>
      </c>
    </row>
    <row r="1735" spans="1:9" x14ac:dyDescent="0.35">
      <c r="A1735" t="s">
        <v>1759</v>
      </c>
      <c r="B1735" t="s">
        <v>56</v>
      </c>
      <c r="C1735" t="s">
        <v>12</v>
      </c>
      <c r="D1735">
        <v>203.27</v>
      </c>
      <c r="E1735" t="s">
        <v>22</v>
      </c>
      <c r="F1735">
        <v>3438.15</v>
      </c>
      <c r="G1735">
        <f t="shared" si="29"/>
        <v>698872.75050000008</v>
      </c>
      <c r="H1735" t="str">
        <f>IF(BOQ_Table[[#This Row],[Amount]]&gt;100000,"Over Budget","OK")</f>
        <v>Over Budget</v>
      </c>
      <c r="I1735" t="str">
        <f>IF(OR(BOQ_Table[[#This Row],[Quantity]]="",BOQ_Table[[#This Row],[Rate]]=""),"Missing","OK")</f>
        <v>OK</v>
      </c>
    </row>
    <row r="1736" spans="1:9" x14ac:dyDescent="0.35">
      <c r="A1736" t="s">
        <v>1760</v>
      </c>
      <c r="B1736" t="s">
        <v>56</v>
      </c>
      <c r="C1736" t="s">
        <v>17</v>
      </c>
      <c r="D1736">
        <v>455.55</v>
      </c>
      <c r="E1736" t="s">
        <v>27</v>
      </c>
      <c r="F1736">
        <v>1627.86</v>
      </c>
      <c r="G1736">
        <f t="shared" si="29"/>
        <v>741571.62300000002</v>
      </c>
      <c r="H1736" t="str">
        <f>IF(BOQ_Table[[#This Row],[Amount]]&gt;100000,"Over Budget","OK")</f>
        <v>Over Budget</v>
      </c>
      <c r="I1736" t="str">
        <f>IF(OR(BOQ_Table[[#This Row],[Quantity]]="",BOQ_Table[[#This Row],[Rate]]=""),"Missing","OK")</f>
        <v>OK</v>
      </c>
    </row>
    <row r="1737" spans="1:9" x14ac:dyDescent="0.35">
      <c r="A1737" t="s">
        <v>1761</v>
      </c>
      <c r="B1737" t="s">
        <v>46</v>
      </c>
      <c r="C1737" t="s">
        <v>21</v>
      </c>
      <c r="D1737">
        <v>181.45</v>
      </c>
      <c r="E1737" t="s">
        <v>9</v>
      </c>
      <c r="F1737">
        <v>1101.8399999999999</v>
      </c>
      <c r="G1737">
        <f t="shared" si="29"/>
        <v>199928.86799999996</v>
      </c>
      <c r="H1737" t="str">
        <f>IF(BOQ_Table[[#This Row],[Amount]]&gt;100000,"Over Budget","OK")</f>
        <v>Over Budget</v>
      </c>
      <c r="I1737" t="str">
        <f>IF(OR(BOQ_Table[[#This Row],[Quantity]]="",BOQ_Table[[#This Row],[Rate]]=""),"Missing","OK")</f>
        <v>OK</v>
      </c>
    </row>
    <row r="1738" spans="1:9" x14ac:dyDescent="0.35">
      <c r="A1738" t="s">
        <v>1762</v>
      </c>
      <c r="B1738" t="s">
        <v>40</v>
      </c>
      <c r="C1738" t="s">
        <v>38</v>
      </c>
      <c r="D1738">
        <v>446.74</v>
      </c>
      <c r="E1738" t="s">
        <v>27</v>
      </c>
      <c r="F1738">
        <v>1773.71</v>
      </c>
      <c r="G1738">
        <f t="shared" si="29"/>
        <v>792387.20539999998</v>
      </c>
      <c r="H1738" t="str">
        <f>IF(BOQ_Table[[#This Row],[Amount]]&gt;100000,"Over Budget","OK")</f>
        <v>Over Budget</v>
      </c>
      <c r="I1738" t="str">
        <f>IF(OR(BOQ_Table[[#This Row],[Quantity]]="",BOQ_Table[[#This Row],[Rate]]=""),"Missing","OK")</f>
        <v>OK</v>
      </c>
    </row>
    <row r="1739" spans="1:9" x14ac:dyDescent="0.35">
      <c r="A1739" t="s">
        <v>1763</v>
      </c>
      <c r="B1739" t="s">
        <v>56</v>
      </c>
      <c r="C1739" t="s">
        <v>21</v>
      </c>
      <c r="D1739">
        <v>168.99</v>
      </c>
      <c r="E1739" t="s">
        <v>18</v>
      </c>
      <c r="F1739">
        <v>1941.24</v>
      </c>
      <c r="G1739">
        <f t="shared" si="29"/>
        <v>328050.14760000003</v>
      </c>
      <c r="H1739" t="str">
        <f>IF(BOQ_Table[[#This Row],[Amount]]&gt;100000,"Over Budget","OK")</f>
        <v>Over Budget</v>
      </c>
      <c r="I1739" t="str">
        <f>IF(OR(BOQ_Table[[#This Row],[Quantity]]="",BOQ_Table[[#This Row],[Rate]]=""),"Missing","OK")</f>
        <v>OK</v>
      </c>
    </row>
    <row r="1740" spans="1:9" x14ac:dyDescent="0.35">
      <c r="A1740" t="s">
        <v>1764</v>
      </c>
      <c r="B1740" t="s">
        <v>56</v>
      </c>
      <c r="C1740" t="s">
        <v>38</v>
      </c>
      <c r="D1740">
        <v>250.84</v>
      </c>
      <c r="E1740" t="s">
        <v>27</v>
      </c>
      <c r="F1740">
        <v>4174.79</v>
      </c>
      <c r="G1740">
        <f t="shared" si="29"/>
        <v>1047204.3236</v>
      </c>
      <c r="H1740" t="str">
        <f>IF(BOQ_Table[[#This Row],[Amount]]&gt;100000,"Over Budget","OK")</f>
        <v>Over Budget</v>
      </c>
      <c r="I1740" t="str">
        <f>IF(OR(BOQ_Table[[#This Row],[Quantity]]="",BOQ_Table[[#This Row],[Rate]]=""),"Missing","OK")</f>
        <v>OK</v>
      </c>
    </row>
    <row r="1741" spans="1:9" x14ac:dyDescent="0.35">
      <c r="A1741" t="s">
        <v>1765</v>
      </c>
      <c r="B1741" t="s">
        <v>20</v>
      </c>
      <c r="C1741" t="s">
        <v>12</v>
      </c>
      <c r="D1741">
        <v>155.65</v>
      </c>
      <c r="E1741" t="s">
        <v>14</v>
      </c>
      <c r="F1741">
        <v>1002.39</v>
      </c>
      <c r="G1741">
        <f t="shared" si="29"/>
        <v>156022.00349999999</v>
      </c>
      <c r="H1741" t="str">
        <f>IF(BOQ_Table[[#This Row],[Amount]]&gt;100000,"Over Budget","OK")</f>
        <v>Over Budget</v>
      </c>
      <c r="I1741" t="str">
        <f>IF(OR(BOQ_Table[[#This Row],[Quantity]]="",BOQ_Table[[#This Row],[Rate]]=""),"Missing","OK")</f>
        <v>OK</v>
      </c>
    </row>
    <row r="1742" spans="1:9" x14ac:dyDescent="0.35">
      <c r="A1742" t="s">
        <v>1766</v>
      </c>
      <c r="B1742" t="s">
        <v>20</v>
      </c>
      <c r="C1742" t="s">
        <v>8</v>
      </c>
      <c r="D1742">
        <v>212.47</v>
      </c>
      <c r="E1742" t="s">
        <v>9</v>
      </c>
      <c r="F1742">
        <v>4987.7</v>
      </c>
      <c r="G1742">
        <f t="shared" si="29"/>
        <v>1059736.6189999999</v>
      </c>
      <c r="H1742" t="str">
        <f>IF(BOQ_Table[[#This Row],[Amount]]&gt;100000,"Over Budget","OK")</f>
        <v>Over Budget</v>
      </c>
      <c r="I1742" t="str">
        <f>IF(OR(BOQ_Table[[#This Row],[Quantity]]="",BOQ_Table[[#This Row],[Rate]]=""),"Missing","OK")</f>
        <v>OK</v>
      </c>
    </row>
    <row r="1743" spans="1:9" x14ac:dyDescent="0.35">
      <c r="A1743" t="s">
        <v>1767</v>
      </c>
      <c r="B1743" t="s">
        <v>40</v>
      </c>
      <c r="C1743" t="s">
        <v>12</v>
      </c>
      <c r="D1743">
        <v>119.1</v>
      </c>
      <c r="E1743" t="s">
        <v>9</v>
      </c>
      <c r="F1743">
        <v>4432.28</v>
      </c>
      <c r="G1743">
        <f t="shared" si="29"/>
        <v>527884.54799999995</v>
      </c>
      <c r="H1743" t="str">
        <f>IF(BOQ_Table[[#This Row],[Amount]]&gt;100000,"Over Budget","OK")</f>
        <v>Over Budget</v>
      </c>
      <c r="I1743" t="str">
        <f>IF(OR(BOQ_Table[[#This Row],[Quantity]]="",BOQ_Table[[#This Row],[Rate]]=""),"Missing","OK")</f>
        <v>OK</v>
      </c>
    </row>
    <row r="1744" spans="1:9" x14ac:dyDescent="0.35">
      <c r="A1744" t="s">
        <v>1768</v>
      </c>
      <c r="B1744" t="s">
        <v>30</v>
      </c>
      <c r="C1744" t="s">
        <v>17</v>
      </c>
      <c r="D1744">
        <v>269.44</v>
      </c>
      <c r="E1744" t="s">
        <v>22</v>
      </c>
      <c r="F1744">
        <v>1006.84</v>
      </c>
      <c r="G1744">
        <f t="shared" si="29"/>
        <v>271282.96960000001</v>
      </c>
      <c r="H1744" t="str">
        <f>IF(BOQ_Table[[#This Row],[Amount]]&gt;100000,"Over Budget","OK")</f>
        <v>Over Budget</v>
      </c>
      <c r="I1744" t="str">
        <f>IF(OR(BOQ_Table[[#This Row],[Quantity]]="",BOQ_Table[[#This Row],[Rate]]=""),"Missing","OK")</f>
        <v>OK</v>
      </c>
    </row>
    <row r="1745" spans="1:9" x14ac:dyDescent="0.35">
      <c r="A1745" t="s">
        <v>1769</v>
      </c>
      <c r="B1745" t="s">
        <v>32</v>
      </c>
      <c r="C1745" t="s">
        <v>38</v>
      </c>
      <c r="D1745">
        <v>249.84</v>
      </c>
      <c r="E1745" t="s">
        <v>22</v>
      </c>
      <c r="F1745">
        <v>3387.72</v>
      </c>
      <c r="G1745">
        <f t="shared" si="29"/>
        <v>846387.96479999996</v>
      </c>
      <c r="H1745" t="str">
        <f>IF(BOQ_Table[[#This Row],[Amount]]&gt;100000,"Over Budget","OK")</f>
        <v>Over Budget</v>
      </c>
      <c r="I1745" t="str">
        <f>IF(OR(BOQ_Table[[#This Row],[Quantity]]="",BOQ_Table[[#This Row],[Rate]]=""),"Missing","OK")</f>
        <v>OK</v>
      </c>
    </row>
    <row r="1746" spans="1:9" x14ac:dyDescent="0.35">
      <c r="A1746" t="s">
        <v>1770</v>
      </c>
      <c r="B1746" t="s">
        <v>40</v>
      </c>
      <c r="C1746" t="s">
        <v>12</v>
      </c>
      <c r="D1746">
        <v>235.82</v>
      </c>
      <c r="E1746" t="s">
        <v>27</v>
      </c>
      <c r="F1746">
        <v>4260.75</v>
      </c>
      <c r="G1746">
        <f t="shared" si="29"/>
        <v>1004770.0649999999</v>
      </c>
      <c r="H1746" t="str">
        <f>IF(BOQ_Table[[#This Row],[Amount]]&gt;100000,"Over Budget","OK")</f>
        <v>Over Budget</v>
      </c>
      <c r="I1746" t="str">
        <f>IF(OR(BOQ_Table[[#This Row],[Quantity]]="",BOQ_Table[[#This Row],[Rate]]=""),"Missing","OK")</f>
        <v>OK</v>
      </c>
    </row>
    <row r="1747" spans="1:9" x14ac:dyDescent="0.35">
      <c r="A1747" t="s">
        <v>1771</v>
      </c>
      <c r="B1747" t="s">
        <v>11</v>
      </c>
      <c r="C1747" t="s">
        <v>21</v>
      </c>
      <c r="D1747">
        <v>392.65</v>
      </c>
      <c r="E1747" t="s">
        <v>14</v>
      </c>
      <c r="F1747">
        <v>3697.45</v>
      </c>
      <c r="G1747">
        <f t="shared" si="29"/>
        <v>1451803.7424999999</v>
      </c>
      <c r="H1747" t="str">
        <f>IF(BOQ_Table[[#This Row],[Amount]]&gt;100000,"Over Budget","OK")</f>
        <v>Over Budget</v>
      </c>
      <c r="I1747" t="str">
        <f>IF(OR(BOQ_Table[[#This Row],[Quantity]]="",BOQ_Table[[#This Row],[Rate]]=""),"Missing","OK")</f>
        <v>OK</v>
      </c>
    </row>
    <row r="1748" spans="1:9" x14ac:dyDescent="0.35">
      <c r="A1748" t="s">
        <v>1772</v>
      </c>
      <c r="B1748" t="s">
        <v>16</v>
      </c>
      <c r="C1748" t="s">
        <v>21</v>
      </c>
      <c r="D1748">
        <v>223.81</v>
      </c>
      <c r="E1748" t="s">
        <v>18</v>
      </c>
      <c r="F1748">
        <v>2087.5</v>
      </c>
      <c r="G1748">
        <f t="shared" si="29"/>
        <v>467203.375</v>
      </c>
      <c r="H1748" t="str">
        <f>IF(BOQ_Table[[#This Row],[Amount]]&gt;100000,"Over Budget","OK")</f>
        <v>Over Budget</v>
      </c>
      <c r="I1748" t="str">
        <f>IF(OR(BOQ_Table[[#This Row],[Quantity]]="",BOQ_Table[[#This Row],[Rate]]=""),"Missing","OK")</f>
        <v>OK</v>
      </c>
    </row>
    <row r="1749" spans="1:9" x14ac:dyDescent="0.35">
      <c r="A1749" t="s">
        <v>1773</v>
      </c>
      <c r="B1749" t="s">
        <v>56</v>
      </c>
      <c r="C1749" t="s">
        <v>12</v>
      </c>
      <c r="D1749">
        <v>105.4</v>
      </c>
      <c r="E1749" t="s">
        <v>9</v>
      </c>
      <c r="F1749">
        <v>1890.46</v>
      </c>
      <c r="G1749">
        <f t="shared" si="29"/>
        <v>199254.48400000003</v>
      </c>
      <c r="H1749" t="str">
        <f>IF(BOQ_Table[[#This Row],[Amount]]&gt;100000,"Over Budget","OK")</f>
        <v>Over Budget</v>
      </c>
      <c r="I1749" t="str">
        <f>IF(OR(BOQ_Table[[#This Row],[Quantity]]="",BOQ_Table[[#This Row],[Rate]]=""),"Missing","OK")</f>
        <v>OK</v>
      </c>
    </row>
    <row r="1750" spans="1:9" x14ac:dyDescent="0.35">
      <c r="A1750" t="s">
        <v>1774</v>
      </c>
      <c r="B1750" t="s">
        <v>40</v>
      </c>
      <c r="C1750" t="s">
        <v>17</v>
      </c>
      <c r="D1750">
        <v>167.29</v>
      </c>
      <c r="E1750" t="s">
        <v>27</v>
      </c>
      <c r="F1750">
        <v>3894.12</v>
      </c>
      <c r="G1750">
        <f t="shared" si="29"/>
        <v>651447.33479999995</v>
      </c>
      <c r="H1750" t="str">
        <f>IF(BOQ_Table[[#This Row],[Amount]]&gt;100000,"Over Budget","OK")</f>
        <v>Over Budget</v>
      </c>
      <c r="I1750" t="str">
        <f>IF(OR(BOQ_Table[[#This Row],[Quantity]]="",BOQ_Table[[#This Row],[Rate]]=""),"Missing","OK")</f>
        <v>OK</v>
      </c>
    </row>
    <row r="1751" spans="1:9" x14ac:dyDescent="0.35">
      <c r="A1751" t="s">
        <v>1775</v>
      </c>
      <c r="B1751" t="s">
        <v>56</v>
      </c>
      <c r="C1751" t="s">
        <v>17</v>
      </c>
      <c r="D1751">
        <v>302.18</v>
      </c>
      <c r="E1751" t="s">
        <v>18</v>
      </c>
      <c r="F1751">
        <v>3640.31</v>
      </c>
      <c r="G1751">
        <f t="shared" si="29"/>
        <v>1100028.8758</v>
      </c>
      <c r="H1751" t="str">
        <f>IF(BOQ_Table[[#This Row],[Amount]]&gt;100000,"Over Budget","OK")</f>
        <v>Over Budget</v>
      </c>
      <c r="I1751" t="str">
        <f>IF(OR(BOQ_Table[[#This Row],[Quantity]]="",BOQ_Table[[#This Row],[Rate]]=""),"Missing","OK")</f>
        <v>OK</v>
      </c>
    </row>
    <row r="1752" spans="1:9" x14ac:dyDescent="0.35">
      <c r="A1752" t="s">
        <v>1776</v>
      </c>
      <c r="B1752" t="s">
        <v>40</v>
      </c>
      <c r="C1752" t="s">
        <v>12</v>
      </c>
      <c r="D1752">
        <v>473.78</v>
      </c>
      <c r="E1752" t="s">
        <v>14</v>
      </c>
      <c r="F1752">
        <v>1393.79</v>
      </c>
      <c r="G1752">
        <f t="shared" si="29"/>
        <v>660349.82619999989</v>
      </c>
      <c r="H1752" t="str">
        <f>IF(BOQ_Table[[#This Row],[Amount]]&gt;100000,"Over Budget","OK")</f>
        <v>Over Budget</v>
      </c>
      <c r="I1752" t="str">
        <f>IF(OR(BOQ_Table[[#This Row],[Quantity]]="",BOQ_Table[[#This Row],[Rate]]=""),"Missing","OK")</f>
        <v>OK</v>
      </c>
    </row>
    <row r="1753" spans="1:9" x14ac:dyDescent="0.35">
      <c r="A1753" t="s">
        <v>1777</v>
      </c>
      <c r="B1753" t="s">
        <v>16</v>
      </c>
      <c r="C1753" t="s">
        <v>12</v>
      </c>
      <c r="D1753">
        <v>13.38</v>
      </c>
      <c r="E1753" t="s">
        <v>18</v>
      </c>
      <c r="F1753">
        <v>2697</v>
      </c>
      <c r="G1753">
        <f t="shared" si="29"/>
        <v>36085.86</v>
      </c>
      <c r="H1753" t="str">
        <f>IF(BOQ_Table[[#This Row],[Amount]]&gt;100000,"Over Budget","OK")</f>
        <v>OK</v>
      </c>
      <c r="I1753" t="str">
        <f>IF(OR(BOQ_Table[[#This Row],[Quantity]]="",BOQ_Table[[#This Row],[Rate]]=""),"Missing","OK")</f>
        <v>OK</v>
      </c>
    </row>
    <row r="1754" spans="1:9" x14ac:dyDescent="0.35">
      <c r="A1754" t="s">
        <v>1778</v>
      </c>
      <c r="B1754" t="s">
        <v>16</v>
      </c>
      <c r="C1754" t="s">
        <v>8</v>
      </c>
      <c r="D1754">
        <v>456.03</v>
      </c>
      <c r="E1754" t="s">
        <v>9</v>
      </c>
      <c r="F1754">
        <v>1300.1199999999999</v>
      </c>
      <c r="G1754">
        <f t="shared" si="29"/>
        <v>592893.72359999991</v>
      </c>
      <c r="H1754" t="str">
        <f>IF(BOQ_Table[[#This Row],[Amount]]&gt;100000,"Over Budget","OK")</f>
        <v>Over Budget</v>
      </c>
      <c r="I1754" t="str">
        <f>IF(OR(BOQ_Table[[#This Row],[Quantity]]="",BOQ_Table[[#This Row],[Rate]]=""),"Missing","OK")</f>
        <v>OK</v>
      </c>
    </row>
    <row r="1755" spans="1:9" x14ac:dyDescent="0.35">
      <c r="A1755" t="s">
        <v>1779</v>
      </c>
      <c r="B1755" t="s">
        <v>42</v>
      </c>
      <c r="C1755" t="s">
        <v>8</v>
      </c>
      <c r="D1755">
        <v>325.11</v>
      </c>
      <c r="E1755" t="s">
        <v>18</v>
      </c>
      <c r="F1755">
        <v>2923.09</v>
      </c>
      <c r="G1755">
        <f t="shared" si="29"/>
        <v>950325.78990000009</v>
      </c>
      <c r="H1755" t="str">
        <f>IF(BOQ_Table[[#This Row],[Amount]]&gt;100000,"Over Budget","OK")</f>
        <v>Over Budget</v>
      </c>
      <c r="I1755" t="str">
        <f>IF(OR(BOQ_Table[[#This Row],[Quantity]]="",BOQ_Table[[#This Row],[Rate]]=""),"Missing","OK")</f>
        <v>OK</v>
      </c>
    </row>
    <row r="1756" spans="1:9" x14ac:dyDescent="0.35">
      <c r="A1756" t="s">
        <v>1780</v>
      </c>
      <c r="B1756" t="s">
        <v>16</v>
      </c>
      <c r="C1756" t="s">
        <v>12</v>
      </c>
      <c r="D1756">
        <v>116.86</v>
      </c>
      <c r="E1756" t="s">
        <v>22</v>
      </c>
      <c r="F1756">
        <v>3212.9</v>
      </c>
      <c r="G1756">
        <f t="shared" si="29"/>
        <v>375459.49400000001</v>
      </c>
      <c r="H1756" t="str">
        <f>IF(BOQ_Table[[#This Row],[Amount]]&gt;100000,"Over Budget","OK")</f>
        <v>Over Budget</v>
      </c>
      <c r="I1756" t="str">
        <f>IF(OR(BOQ_Table[[#This Row],[Quantity]]="",BOQ_Table[[#This Row],[Rate]]=""),"Missing","OK")</f>
        <v>OK</v>
      </c>
    </row>
    <row r="1757" spans="1:9" x14ac:dyDescent="0.35">
      <c r="A1757" t="s">
        <v>1781</v>
      </c>
      <c r="B1757" t="s">
        <v>16</v>
      </c>
      <c r="C1757" t="s">
        <v>21</v>
      </c>
      <c r="D1757">
        <v>146.68</v>
      </c>
      <c r="E1757" t="s">
        <v>14</v>
      </c>
      <c r="F1757">
        <v>3219.08</v>
      </c>
      <c r="G1757">
        <f t="shared" si="29"/>
        <v>472174.6544</v>
      </c>
      <c r="H1757" t="str">
        <f>IF(BOQ_Table[[#This Row],[Amount]]&gt;100000,"Over Budget","OK")</f>
        <v>Over Budget</v>
      </c>
      <c r="I1757" t="str">
        <f>IF(OR(BOQ_Table[[#This Row],[Quantity]]="",BOQ_Table[[#This Row],[Rate]]=""),"Missing","OK")</f>
        <v>OK</v>
      </c>
    </row>
    <row r="1758" spans="1:9" x14ac:dyDescent="0.35">
      <c r="A1758" t="s">
        <v>1782</v>
      </c>
      <c r="B1758" t="s">
        <v>20</v>
      </c>
      <c r="C1758" t="s">
        <v>12</v>
      </c>
      <c r="D1758">
        <v>349.38</v>
      </c>
      <c r="E1758" t="s">
        <v>18</v>
      </c>
      <c r="F1758">
        <v>4501.9399999999996</v>
      </c>
      <c r="G1758">
        <f t="shared" si="29"/>
        <v>1572887.7971999999</v>
      </c>
      <c r="H1758" t="str">
        <f>IF(BOQ_Table[[#This Row],[Amount]]&gt;100000,"Over Budget","OK")</f>
        <v>Over Budget</v>
      </c>
      <c r="I1758" t="str">
        <f>IF(OR(BOQ_Table[[#This Row],[Quantity]]="",BOQ_Table[[#This Row],[Rate]]=""),"Missing","OK")</f>
        <v>OK</v>
      </c>
    </row>
    <row r="1759" spans="1:9" x14ac:dyDescent="0.35">
      <c r="A1759" t="s">
        <v>1783</v>
      </c>
      <c r="B1759" t="s">
        <v>46</v>
      </c>
      <c r="C1759" t="s">
        <v>21</v>
      </c>
      <c r="D1759">
        <v>397.58</v>
      </c>
      <c r="E1759" t="s">
        <v>14</v>
      </c>
      <c r="F1759">
        <v>1090.3499999999999</v>
      </c>
      <c r="G1759">
        <f t="shared" si="29"/>
        <v>433501.35299999994</v>
      </c>
      <c r="H1759" t="str">
        <f>IF(BOQ_Table[[#This Row],[Amount]]&gt;100000,"Over Budget","OK")</f>
        <v>Over Budget</v>
      </c>
      <c r="I1759" t="str">
        <f>IF(OR(BOQ_Table[[#This Row],[Quantity]]="",BOQ_Table[[#This Row],[Rate]]=""),"Missing","OK")</f>
        <v>OK</v>
      </c>
    </row>
    <row r="1760" spans="1:9" x14ac:dyDescent="0.35">
      <c r="A1760" t="s">
        <v>1784</v>
      </c>
      <c r="B1760" t="s">
        <v>40</v>
      </c>
      <c r="C1760" t="s">
        <v>21</v>
      </c>
      <c r="D1760">
        <v>56.22</v>
      </c>
      <c r="E1760" t="s">
        <v>14</v>
      </c>
      <c r="F1760">
        <v>2898.68</v>
      </c>
      <c r="G1760">
        <f t="shared" si="29"/>
        <v>162963.78959999999</v>
      </c>
      <c r="H1760" t="str">
        <f>IF(BOQ_Table[[#This Row],[Amount]]&gt;100000,"Over Budget","OK")</f>
        <v>Over Budget</v>
      </c>
      <c r="I1760" t="str">
        <f>IF(OR(BOQ_Table[[#This Row],[Quantity]]="",BOQ_Table[[#This Row],[Rate]]=""),"Missing","OK")</f>
        <v>OK</v>
      </c>
    </row>
    <row r="1761" spans="1:9" x14ac:dyDescent="0.35">
      <c r="A1761" t="s">
        <v>1785</v>
      </c>
      <c r="B1761" t="s">
        <v>16</v>
      </c>
      <c r="C1761" t="s">
        <v>12</v>
      </c>
      <c r="D1761">
        <v>230.65</v>
      </c>
      <c r="E1761" t="s">
        <v>22</v>
      </c>
      <c r="F1761">
        <v>493.6</v>
      </c>
      <c r="G1761">
        <f t="shared" si="29"/>
        <v>113848.84000000001</v>
      </c>
      <c r="H1761" t="str">
        <f>IF(BOQ_Table[[#This Row],[Amount]]&gt;100000,"Over Budget","OK")</f>
        <v>Over Budget</v>
      </c>
      <c r="I1761" t="str">
        <f>IF(OR(BOQ_Table[[#This Row],[Quantity]]="",BOQ_Table[[#This Row],[Rate]]=""),"Missing","OK")</f>
        <v>OK</v>
      </c>
    </row>
    <row r="1762" spans="1:9" x14ac:dyDescent="0.35">
      <c r="A1762" t="s">
        <v>1786</v>
      </c>
      <c r="B1762" t="s">
        <v>11</v>
      </c>
      <c r="C1762" t="s">
        <v>17</v>
      </c>
      <c r="D1762">
        <v>109.75</v>
      </c>
      <c r="E1762" t="s">
        <v>14</v>
      </c>
      <c r="F1762">
        <v>4898.21</v>
      </c>
      <c r="G1762">
        <f t="shared" si="29"/>
        <v>537578.54749999999</v>
      </c>
      <c r="H1762" t="str">
        <f>IF(BOQ_Table[[#This Row],[Amount]]&gt;100000,"Over Budget","OK")</f>
        <v>Over Budget</v>
      </c>
      <c r="I1762" t="str">
        <f>IF(OR(BOQ_Table[[#This Row],[Quantity]]="",BOQ_Table[[#This Row],[Rate]]=""),"Missing","OK")</f>
        <v>OK</v>
      </c>
    </row>
    <row r="1763" spans="1:9" x14ac:dyDescent="0.35">
      <c r="A1763" t="s">
        <v>1787</v>
      </c>
      <c r="B1763" t="s">
        <v>7</v>
      </c>
      <c r="C1763" t="s">
        <v>17</v>
      </c>
      <c r="D1763">
        <v>318.27999999999997</v>
      </c>
      <c r="E1763" t="s">
        <v>9</v>
      </c>
      <c r="F1763">
        <v>3734.47</v>
      </c>
      <c r="G1763">
        <f t="shared" si="29"/>
        <v>1188607.1115999999</v>
      </c>
      <c r="H1763" t="str">
        <f>IF(BOQ_Table[[#This Row],[Amount]]&gt;100000,"Over Budget","OK")</f>
        <v>Over Budget</v>
      </c>
      <c r="I1763" t="str">
        <f>IF(OR(BOQ_Table[[#This Row],[Quantity]]="",BOQ_Table[[#This Row],[Rate]]=""),"Missing","OK")</f>
        <v>OK</v>
      </c>
    </row>
    <row r="1764" spans="1:9" x14ac:dyDescent="0.35">
      <c r="A1764" t="s">
        <v>1788</v>
      </c>
      <c r="B1764" t="s">
        <v>30</v>
      </c>
      <c r="C1764" t="s">
        <v>12</v>
      </c>
      <c r="D1764">
        <v>267.58999999999997</v>
      </c>
      <c r="E1764" t="s">
        <v>18</v>
      </c>
      <c r="F1764">
        <v>3462.17</v>
      </c>
      <c r="G1764">
        <f t="shared" si="29"/>
        <v>926442.0702999999</v>
      </c>
      <c r="H1764" t="str">
        <f>IF(BOQ_Table[[#This Row],[Amount]]&gt;100000,"Over Budget","OK")</f>
        <v>Over Budget</v>
      </c>
      <c r="I1764" t="str">
        <f>IF(OR(BOQ_Table[[#This Row],[Quantity]]="",BOQ_Table[[#This Row],[Rate]]=""),"Missing","OK")</f>
        <v>OK</v>
      </c>
    </row>
    <row r="1765" spans="1:9" x14ac:dyDescent="0.35">
      <c r="A1765" t="s">
        <v>1789</v>
      </c>
      <c r="B1765" t="s">
        <v>32</v>
      </c>
      <c r="C1765" t="s">
        <v>12</v>
      </c>
      <c r="D1765">
        <v>406.78</v>
      </c>
      <c r="E1765" t="s">
        <v>27</v>
      </c>
      <c r="F1765">
        <v>4129</v>
      </c>
      <c r="G1765">
        <f t="shared" si="29"/>
        <v>1679594.6199999999</v>
      </c>
      <c r="H1765" t="str">
        <f>IF(BOQ_Table[[#This Row],[Amount]]&gt;100000,"Over Budget","OK")</f>
        <v>Over Budget</v>
      </c>
      <c r="I1765" t="str">
        <f>IF(OR(BOQ_Table[[#This Row],[Quantity]]="",BOQ_Table[[#This Row],[Rate]]=""),"Missing","OK")</f>
        <v>OK</v>
      </c>
    </row>
    <row r="1766" spans="1:9" x14ac:dyDescent="0.35">
      <c r="A1766" t="s">
        <v>1790</v>
      </c>
      <c r="B1766" t="s">
        <v>20</v>
      </c>
      <c r="C1766" t="s">
        <v>12</v>
      </c>
      <c r="D1766">
        <v>119.5</v>
      </c>
      <c r="E1766" t="s">
        <v>14</v>
      </c>
      <c r="F1766">
        <v>4059.08</v>
      </c>
      <c r="G1766">
        <f t="shared" si="29"/>
        <v>485060.06</v>
      </c>
      <c r="H1766" t="str">
        <f>IF(BOQ_Table[[#This Row],[Amount]]&gt;100000,"Over Budget","OK")</f>
        <v>Over Budget</v>
      </c>
      <c r="I1766" t="str">
        <f>IF(OR(BOQ_Table[[#This Row],[Quantity]]="",BOQ_Table[[#This Row],[Rate]]=""),"Missing","OK")</f>
        <v>OK</v>
      </c>
    </row>
    <row r="1767" spans="1:9" x14ac:dyDescent="0.35">
      <c r="A1767" t="s">
        <v>1791</v>
      </c>
      <c r="B1767" t="s">
        <v>7</v>
      </c>
      <c r="C1767" t="s">
        <v>8</v>
      </c>
      <c r="D1767">
        <v>151.16</v>
      </c>
      <c r="E1767" t="s">
        <v>22</v>
      </c>
      <c r="F1767">
        <v>4838.66</v>
      </c>
      <c r="G1767">
        <f t="shared" si="29"/>
        <v>731411.8456</v>
      </c>
      <c r="H1767" t="str">
        <f>IF(BOQ_Table[[#This Row],[Amount]]&gt;100000,"Over Budget","OK")</f>
        <v>Over Budget</v>
      </c>
      <c r="I1767" t="str">
        <f>IF(OR(BOQ_Table[[#This Row],[Quantity]]="",BOQ_Table[[#This Row],[Rate]]=""),"Missing","OK")</f>
        <v>OK</v>
      </c>
    </row>
    <row r="1768" spans="1:9" x14ac:dyDescent="0.35">
      <c r="A1768" t="s">
        <v>1792</v>
      </c>
      <c r="B1768" t="s">
        <v>32</v>
      </c>
      <c r="C1768" t="s">
        <v>12</v>
      </c>
      <c r="D1768">
        <v>207.15</v>
      </c>
      <c r="E1768" t="s">
        <v>14</v>
      </c>
      <c r="F1768">
        <v>1838.23</v>
      </c>
      <c r="G1768">
        <f t="shared" si="29"/>
        <v>380789.34450000001</v>
      </c>
      <c r="H1768" t="str">
        <f>IF(BOQ_Table[[#This Row],[Amount]]&gt;100000,"Over Budget","OK")</f>
        <v>Over Budget</v>
      </c>
      <c r="I1768" t="str">
        <f>IF(OR(BOQ_Table[[#This Row],[Quantity]]="",BOQ_Table[[#This Row],[Rate]]=""),"Missing","OK")</f>
        <v>OK</v>
      </c>
    </row>
    <row r="1769" spans="1:9" x14ac:dyDescent="0.35">
      <c r="A1769" t="s">
        <v>1793</v>
      </c>
      <c r="B1769" t="s">
        <v>40</v>
      </c>
      <c r="C1769" t="s">
        <v>12</v>
      </c>
      <c r="D1769">
        <v>453.9</v>
      </c>
      <c r="E1769" t="s">
        <v>22</v>
      </c>
      <c r="F1769">
        <v>1958.03</v>
      </c>
      <c r="G1769">
        <f t="shared" si="29"/>
        <v>888749.81699999992</v>
      </c>
      <c r="H1769" t="str">
        <f>IF(BOQ_Table[[#This Row],[Amount]]&gt;100000,"Over Budget","OK")</f>
        <v>Over Budget</v>
      </c>
      <c r="I1769" t="str">
        <f>IF(OR(BOQ_Table[[#This Row],[Quantity]]="",BOQ_Table[[#This Row],[Rate]]=""),"Missing","OK")</f>
        <v>OK</v>
      </c>
    </row>
    <row r="1770" spans="1:9" x14ac:dyDescent="0.35">
      <c r="A1770" t="s">
        <v>1794</v>
      </c>
      <c r="B1770" t="s">
        <v>40</v>
      </c>
      <c r="C1770" t="s">
        <v>12</v>
      </c>
      <c r="D1770">
        <v>130.6</v>
      </c>
      <c r="E1770" t="s">
        <v>18</v>
      </c>
      <c r="F1770">
        <v>4892.5200000000004</v>
      </c>
      <c r="G1770">
        <f t="shared" si="29"/>
        <v>638963.11200000008</v>
      </c>
      <c r="H1770" t="str">
        <f>IF(BOQ_Table[[#This Row],[Amount]]&gt;100000,"Over Budget","OK")</f>
        <v>Over Budget</v>
      </c>
      <c r="I1770" t="str">
        <f>IF(OR(BOQ_Table[[#This Row],[Quantity]]="",BOQ_Table[[#This Row],[Rate]]=""),"Missing","OK")</f>
        <v>OK</v>
      </c>
    </row>
    <row r="1771" spans="1:9" x14ac:dyDescent="0.35">
      <c r="A1771" t="s">
        <v>1795</v>
      </c>
      <c r="B1771" t="s">
        <v>32</v>
      </c>
      <c r="C1771" t="s">
        <v>38</v>
      </c>
      <c r="D1771">
        <v>369.47</v>
      </c>
      <c r="E1771" t="s">
        <v>9</v>
      </c>
      <c r="F1771">
        <v>602.28</v>
      </c>
      <c r="G1771">
        <f t="shared" si="29"/>
        <v>222524.3916</v>
      </c>
      <c r="H1771" t="str">
        <f>IF(BOQ_Table[[#This Row],[Amount]]&gt;100000,"Over Budget","OK")</f>
        <v>Over Budget</v>
      </c>
      <c r="I1771" t="str">
        <f>IF(OR(BOQ_Table[[#This Row],[Quantity]]="",BOQ_Table[[#This Row],[Rate]]=""),"Missing","OK")</f>
        <v>OK</v>
      </c>
    </row>
    <row r="1772" spans="1:9" x14ac:dyDescent="0.35">
      <c r="A1772" t="s">
        <v>1796</v>
      </c>
      <c r="B1772" t="s">
        <v>40</v>
      </c>
      <c r="C1772" t="s">
        <v>17</v>
      </c>
      <c r="D1772">
        <v>461.75</v>
      </c>
      <c r="E1772" t="s">
        <v>27</v>
      </c>
      <c r="F1772">
        <v>2232.62</v>
      </c>
      <c r="G1772">
        <f t="shared" si="29"/>
        <v>1030912.2849999999</v>
      </c>
      <c r="H1772" t="str">
        <f>IF(BOQ_Table[[#This Row],[Amount]]&gt;100000,"Over Budget","OK")</f>
        <v>Over Budget</v>
      </c>
      <c r="I1772" t="str">
        <f>IF(OR(BOQ_Table[[#This Row],[Quantity]]="",BOQ_Table[[#This Row],[Rate]]=""),"Missing","OK")</f>
        <v>OK</v>
      </c>
    </row>
    <row r="1773" spans="1:9" x14ac:dyDescent="0.35">
      <c r="A1773" t="s">
        <v>1797</v>
      </c>
      <c r="B1773" t="s">
        <v>11</v>
      </c>
      <c r="C1773" t="s">
        <v>8</v>
      </c>
      <c r="D1773">
        <v>446.19</v>
      </c>
      <c r="E1773" t="s">
        <v>9</v>
      </c>
      <c r="F1773">
        <v>3513.5</v>
      </c>
      <c r="G1773">
        <f t="shared" si="29"/>
        <v>1567688.5649999999</v>
      </c>
      <c r="H1773" t="str">
        <f>IF(BOQ_Table[[#This Row],[Amount]]&gt;100000,"Over Budget","OK")</f>
        <v>Over Budget</v>
      </c>
      <c r="I1773" t="str">
        <f>IF(OR(BOQ_Table[[#This Row],[Quantity]]="",BOQ_Table[[#This Row],[Rate]]=""),"Missing","OK")</f>
        <v>OK</v>
      </c>
    </row>
    <row r="1774" spans="1:9" x14ac:dyDescent="0.35">
      <c r="A1774" t="s">
        <v>1798</v>
      </c>
      <c r="B1774" t="s">
        <v>42</v>
      </c>
      <c r="C1774" t="s">
        <v>38</v>
      </c>
      <c r="D1774">
        <v>396.62</v>
      </c>
      <c r="E1774" t="s">
        <v>9</v>
      </c>
      <c r="F1774">
        <v>1553.96</v>
      </c>
      <c r="G1774">
        <f t="shared" si="29"/>
        <v>616331.6152</v>
      </c>
      <c r="H1774" t="str">
        <f>IF(BOQ_Table[[#This Row],[Amount]]&gt;100000,"Over Budget","OK")</f>
        <v>Over Budget</v>
      </c>
      <c r="I1774" t="str">
        <f>IF(OR(BOQ_Table[[#This Row],[Quantity]]="",BOQ_Table[[#This Row],[Rate]]=""),"Missing","OK")</f>
        <v>OK</v>
      </c>
    </row>
    <row r="1775" spans="1:9" x14ac:dyDescent="0.35">
      <c r="A1775" t="s">
        <v>1799</v>
      </c>
      <c r="B1775" t="s">
        <v>46</v>
      </c>
      <c r="C1775" t="s">
        <v>17</v>
      </c>
      <c r="D1775">
        <v>28.51</v>
      </c>
      <c r="E1775" t="s">
        <v>18</v>
      </c>
      <c r="F1775">
        <v>2628.52</v>
      </c>
      <c r="G1775">
        <f t="shared" si="29"/>
        <v>74939.105200000005</v>
      </c>
      <c r="H1775" t="str">
        <f>IF(BOQ_Table[[#This Row],[Amount]]&gt;100000,"Over Budget","OK")</f>
        <v>OK</v>
      </c>
      <c r="I1775" t="str">
        <f>IF(OR(BOQ_Table[[#This Row],[Quantity]]="",BOQ_Table[[#This Row],[Rate]]=""),"Missing","OK")</f>
        <v>OK</v>
      </c>
    </row>
    <row r="1776" spans="1:9" x14ac:dyDescent="0.35">
      <c r="A1776" t="s">
        <v>1800</v>
      </c>
      <c r="B1776" t="s">
        <v>46</v>
      </c>
      <c r="C1776" t="s">
        <v>38</v>
      </c>
      <c r="D1776">
        <v>359.11</v>
      </c>
      <c r="E1776" t="s">
        <v>27</v>
      </c>
      <c r="F1776">
        <v>2083.85</v>
      </c>
      <c r="G1776">
        <f t="shared" si="29"/>
        <v>748331.37349999999</v>
      </c>
      <c r="H1776" t="str">
        <f>IF(BOQ_Table[[#This Row],[Amount]]&gt;100000,"Over Budget","OK")</f>
        <v>Over Budget</v>
      </c>
      <c r="I1776" t="str">
        <f>IF(OR(BOQ_Table[[#This Row],[Quantity]]="",BOQ_Table[[#This Row],[Rate]]=""),"Missing","OK")</f>
        <v>OK</v>
      </c>
    </row>
    <row r="1777" spans="1:9" x14ac:dyDescent="0.35">
      <c r="A1777" t="s">
        <v>1801</v>
      </c>
      <c r="B1777" t="s">
        <v>56</v>
      </c>
      <c r="C1777" t="s">
        <v>12</v>
      </c>
      <c r="D1777">
        <v>328.95</v>
      </c>
      <c r="E1777" t="s">
        <v>14</v>
      </c>
      <c r="F1777">
        <v>2199.0100000000002</v>
      </c>
      <c r="G1777">
        <f t="shared" si="29"/>
        <v>723364.3395</v>
      </c>
      <c r="H1777" t="str">
        <f>IF(BOQ_Table[[#This Row],[Amount]]&gt;100000,"Over Budget","OK")</f>
        <v>Over Budget</v>
      </c>
      <c r="I1777" t="str">
        <f>IF(OR(BOQ_Table[[#This Row],[Quantity]]="",BOQ_Table[[#This Row],[Rate]]=""),"Missing","OK")</f>
        <v>OK</v>
      </c>
    </row>
    <row r="1778" spans="1:9" x14ac:dyDescent="0.35">
      <c r="A1778" t="s">
        <v>1802</v>
      </c>
      <c r="B1778" t="s">
        <v>30</v>
      </c>
      <c r="C1778" t="s">
        <v>12</v>
      </c>
      <c r="D1778">
        <v>460.76</v>
      </c>
      <c r="E1778" t="s">
        <v>27</v>
      </c>
      <c r="F1778">
        <v>104.31</v>
      </c>
      <c r="G1778">
        <f t="shared" si="29"/>
        <v>48061.875599999999</v>
      </c>
      <c r="H1778" t="str">
        <f>IF(BOQ_Table[[#This Row],[Amount]]&gt;100000,"Over Budget","OK")</f>
        <v>OK</v>
      </c>
      <c r="I1778" t="str">
        <f>IF(OR(BOQ_Table[[#This Row],[Quantity]]="",BOQ_Table[[#This Row],[Rate]]=""),"Missing","OK")</f>
        <v>OK</v>
      </c>
    </row>
    <row r="1779" spans="1:9" x14ac:dyDescent="0.35">
      <c r="A1779" t="s">
        <v>1803</v>
      </c>
      <c r="B1779" t="s">
        <v>20</v>
      </c>
      <c r="C1779" t="s">
        <v>38</v>
      </c>
      <c r="D1779">
        <v>356.14</v>
      </c>
      <c r="E1779" t="s">
        <v>22</v>
      </c>
      <c r="F1779">
        <v>4521.95</v>
      </c>
      <c r="G1779">
        <f t="shared" si="29"/>
        <v>1610447.2729999998</v>
      </c>
      <c r="H1779" t="str">
        <f>IF(BOQ_Table[[#This Row],[Amount]]&gt;100000,"Over Budget","OK")</f>
        <v>Over Budget</v>
      </c>
      <c r="I1779" t="str">
        <f>IF(OR(BOQ_Table[[#This Row],[Quantity]]="",BOQ_Table[[#This Row],[Rate]]=""),"Missing","OK")</f>
        <v>OK</v>
      </c>
    </row>
    <row r="1780" spans="1:9" x14ac:dyDescent="0.35">
      <c r="A1780" t="s">
        <v>1804</v>
      </c>
      <c r="B1780" t="s">
        <v>40</v>
      </c>
      <c r="C1780" t="s">
        <v>8</v>
      </c>
      <c r="D1780">
        <v>111.34</v>
      </c>
      <c r="E1780" t="s">
        <v>27</v>
      </c>
      <c r="F1780">
        <v>3697.49</v>
      </c>
      <c r="G1780">
        <f t="shared" si="29"/>
        <v>411678.53659999999</v>
      </c>
      <c r="H1780" t="str">
        <f>IF(BOQ_Table[[#This Row],[Amount]]&gt;100000,"Over Budget","OK")</f>
        <v>Over Budget</v>
      </c>
      <c r="I1780" t="str">
        <f>IF(OR(BOQ_Table[[#This Row],[Quantity]]="",BOQ_Table[[#This Row],[Rate]]=""),"Missing","OK")</f>
        <v>OK</v>
      </c>
    </row>
    <row r="1781" spans="1:9" x14ac:dyDescent="0.35">
      <c r="A1781" t="s">
        <v>1805</v>
      </c>
      <c r="B1781" t="s">
        <v>56</v>
      </c>
      <c r="C1781" t="s">
        <v>12</v>
      </c>
      <c r="D1781">
        <v>218</v>
      </c>
      <c r="E1781" t="s">
        <v>27</v>
      </c>
      <c r="F1781">
        <v>2925.51</v>
      </c>
      <c r="G1781">
        <f t="shared" si="29"/>
        <v>637761.18000000005</v>
      </c>
      <c r="H1781" t="str">
        <f>IF(BOQ_Table[[#This Row],[Amount]]&gt;100000,"Over Budget","OK")</f>
        <v>Over Budget</v>
      </c>
      <c r="I1781" t="str">
        <f>IF(OR(BOQ_Table[[#This Row],[Quantity]]="",BOQ_Table[[#This Row],[Rate]]=""),"Missing","OK")</f>
        <v>OK</v>
      </c>
    </row>
    <row r="1782" spans="1:9" x14ac:dyDescent="0.35">
      <c r="A1782" t="s">
        <v>1806</v>
      </c>
      <c r="B1782" t="s">
        <v>32</v>
      </c>
      <c r="C1782" t="s">
        <v>21</v>
      </c>
      <c r="D1782">
        <v>327.75</v>
      </c>
      <c r="E1782" t="s">
        <v>14</v>
      </c>
      <c r="F1782">
        <v>3827.92</v>
      </c>
      <c r="G1782">
        <f t="shared" si="29"/>
        <v>1254600.78</v>
      </c>
      <c r="H1782" t="str">
        <f>IF(BOQ_Table[[#This Row],[Amount]]&gt;100000,"Over Budget","OK")</f>
        <v>Over Budget</v>
      </c>
      <c r="I1782" t="str">
        <f>IF(OR(BOQ_Table[[#This Row],[Quantity]]="",BOQ_Table[[#This Row],[Rate]]=""),"Missing","OK")</f>
        <v>OK</v>
      </c>
    </row>
    <row r="1783" spans="1:9" x14ac:dyDescent="0.35">
      <c r="A1783" t="s">
        <v>1807</v>
      </c>
      <c r="B1783" t="s">
        <v>46</v>
      </c>
      <c r="C1783" t="s">
        <v>8</v>
      </c>
      <c r="D1783">
        <v>444.19</v>
      </c>
      <c r="E1783" t="s">
        <v>27</v>
      </c>
      <c r="F1783">
        <v>2092.11</v>
      </c>
      <c r="G1783">
        <f t="shared" si="29"/>
        <v>929294.34090000007</v>
      </c>
      <c r="H1783" t="str">
        <f>IF(BOQ_Table[[#This Row],[Amount]]&gt;100000,"Over Budget","OK")</f>
        <v>Over Budget</v>
      </c>
      <c r="I1783" t="str">
        <f>IF(OR(BOQ_Table[[#This Row],[Quantity]]="",BOQ_Table[[#This Row],[Rate]]=""),"Missing","OK")</f>
        <v>OK</v>
      </c>
    </row>
    <row r="1784" spans="1:9" x14ac:dyDescent="0.35">
      <c r="A1784" t="s">
        <v>1808</v>
      </c>
      <c r="B1784" t="s">
        <v>20</v>
      </c>
      <c r="C1784" t="s">
        <v>12</v>
      </c>
      <c r="D1784">
        <v>367.6</v>
      </c>
      <c r="E1784" t="s">
        <v>14</v>
      </c>
      <c r="F1784">
        <v>931.64</v>
      </c>
      <c r="G1784">
        <f t="shared" si="29"/>
        <v>342470.864</v>
      </c>
      <c r="H1784" t="str">
        <f>IF(BOQ_Table[[#This Row],[Amount]]&gt;100000,"Over Budget","OK")</f>
        <v>Over Budget</v>
      </c>
      <c r="I1784" t="str">
        <f>IF(OR(BOQ_Table[[#This Row],[Quantity]]="",BOQ_Table[[#This Row],[Rate]]=""),"Missing","OK")</f>
        <v>OK</v>
      </c>
    </row>
    <row r="1785" spans="1:9" x14ac:dyDescent="0.35">
      <c r="A1785" t="s">
        <v>1809</v>
      </c>
      <c r="B1785" t="s">
        <v>56</v>
      </c>
      <c r="C1785" t="s">
        <v>21</v>
      </c>
      <c r="D1785">
        <v>357.27</v>
      </c>
      <c r="E1785" t="s">
        <v>9</v>
      </c>
      <c r="F1785">
        <v>2157.2600000000002</v>
      </c>
      <c r="G1785">
        <f t="shared" si="29"/>
        <v>770724.28020000004</v>
      </c>
      <c r="H1785" t="str">
        <f>IF(BOQ_Table[[#This Row],[Amount]]&gt;100000,"Over Budget","OK")</f>
        <v>Over Budget</v>
      </c>
      <c r="I1785" t="str">
        <f>IF(OR(BOQ_Table[[#This Row],[Quantity]]="",BOQ_Table[[#This Row],[Rate]]=""),"Missing","OK")</f>
        <v>OK</v>
      </c>
    </row>
    <row r="1786" spans="1:9" x14ac:dyDescent="0.35">
      <c r="A1786" t="s">
        <v>1810</v>
      </c>
      <c r="B1786" t="s">
        <v>20</v>
      </c>
      <c r="C1786" t="s">
        <v>12</v>
      </c>
      <c r="D1786">
        <v>483.94</v>
      </c>
      <c r="E1786" t="s">
        <v>14</v>
      </c>
      <c r="F1786">
        <v>1427.14</v>
      </c>
      <c r="G1786">
        <f t="shared" si="29"/>
        <v>690650.13160000008</v>
      </c>
      <c r="H1786" t="str">
        <f>IF(BOQ_Table[[#This Row],[Amount]]&gt;100000,"Over Budget","OK")</f>
        <v>Over Budget</v>
      </c>
      <c r="I1786" t="str">
        <f>IF(OR(BOQ_Table[[#This Row],[Quantity]]="",BOQ_Table[[#This Row],[Rate]]=""),"Missing","OK")</f>
        <v>OK</v>
      </c>
    </row>
    <row r="1787" spans="1:9" x14ac:dyDescent="0.35">
      <c r="A1787" t="s">
        <v>1811</v>
      </c>
      <c r="B1787" t="s">
        <v>42</v>
      </c>
      <c r="C1787" t="s">
        <v>17</v>
      </c>
      <c r="D1787">
        <v>386.8</v>
      </c>
      <c r="E1787" t="s">
        <v>27</v>
      </c>
      <c r="F1787">
        <v>282.87</v>
      </c>
      <c r="G1787">
        <f t="shared" si="29"/>
        <v>109414.11600000001</v>
      </c>
      <c r="H1787" t="str">
        <f>IF(BOQ_Table[[#This Row],[Amount]]&gt;100000,"Over Budget","OK")</f>
        <v>Over Budget</v>
      </c>
      <c r="I1787" t="str">
        <f>IF(OR(BOQ_Table[[#This Row],[Quantity]]="",BOQ_Table[[#This Row],[Rate]]=""),"Missing","OK")</f>
        <v>OK</v>
      </c>
    </row>
    <row r="1788" spans="1:9" x14ac:dyDescent="0.35">
      <c r="A1788" t="s">
        <v>1812</v>
      </c>
      <c r="B1788" t="s">
        <v>42</v>
      </c>
      <c r="C1788" t="s">
        <v>21</v>
      </c>
      <c r="D1788">
        <v>150.91999999999999</v>
      </c>
      <c r="E1788" t="s">
        <v>9</v>
      </c>
      <c r="F1788">
        <v>1512.5</v>
      </c>
      <c r="G1788">
        <f t="shared" si="29"/>
        <v>228266.49999999997</v>
      </c>
      <c r="H1788" t="str">
        <f>IF(BOQ_Table[[#This Row],[Amount]]&gt;100000,"Over Budget","OK")</f>
        <v>Over Budget</v>
      </c>
      <c r="I1788" t="str">
        <f>IF(OR(BOQ_Table[[#This Row],[Quantity]]="",BOQ_Table[[#This Row],[Rate]]=""),"Missing","OK")</f>
        <v>OK</v>
      </c>
    </row>
    <row r="1789" spans="1:9" x14ac:dyDescent="0.35">
      <c r="A1789" t="s">
        <v>1813</v>
      </c>
      <c r="B1789" t="s">
        <v>56</v>
      </c>
      <c r="C1789" t="s">
        <v>21</v>
      </c>
      <c r="D1789">
        <v>440.62</v>
      </c>
      <c r="E1789" t="s">
        <v>14</v>
      </c>
      <c r="F1789">
        <v>3029.68</v>
      </c>
      <c r="G1789">
        <f t="shared" si="29"/>
        <v>1334937.6015999999</v>
      </c>
      <c r="H1789" t="str">
        <f>IF(BOQ_Table[[#This Row],[Amount]]&gt;100000,"Over Budget","OK")</f>
        <v>Over Budget</v>
      </c>
      <c r="I1789" t="str">
        <f>IF(OR(BOQ_Table[[#This Row],[Quantity]]="",BOQ_Table[[#This Row],[Rate]]=""),"Missing","OK")</f>
        <v>OK</v>
      </c>
    </row>
    <row r="1790" spans="1:9" x14ac:dyDescent="0.35">
      <c r="A1790" t="s">
        <v>1814</v>
      </c>
      <c r="B1790" t="s">
        <v>30</v>
      </c>
      <c r="C1790" t="s">
        <v>17</v>
      </c>
      <c r="D1790">
        <v>196.65</v>
      </c>
      <c r="E1790" t="s">
        <v>22</v>
      </c>
      <c r="F1790">
        <v>96.65</v>
      </c>
      <c r="G1790">
        <f t="shared" si="29"/>
        <v>19006.2225</v>
      </c>
      <c r="H1790" t="str">
        <f>IF(BOQ_Table[[#This Row],[Amount]]&gt;100000,"Over Budget","OK")</f>
        <v>OK</v>
      </c>
      <c r="I1790" t="str">
        <f>IF(OR(BOQ_Table[[#This Row],[Quantity]]="",BOQ_Table[[#This Row],[Rate]]=""),"Missing","OK")</f>
        <v>OK</v>
      </c>
    </row>
    <row r="1791" spans="1:9" x14ac:dyDescent="0.35">
      <c r="A1791" t="s">
        <v>1815</v>
      </c>
      <c r="B1791" t="s">
        <v>20</v>
      </c>
      <c r="C1791" t="s">
        <v>8</v>
      </c>
      <c r="D1791">
        <v>468.26</v>
      </c>
      <c r="E1791" t="s">
        <v>14</v>
      </c>
      <c r="F1791">
        <v>4851.7</v>
      </c>
      <c r="G1791">
        <f t="shared" si="29"/>
        <v>2271857.0419999999</v>
      </c>
      <c r="H1791" t="str">
        <f>IF(BOQ_Table[[#This Row],[Amount]]&gt;100000,"Over Budget","OK")</f>
        <v>Over Budget</v>
      </c>
      <c r="I1791" t="str">
        <f>IF(OR(BOQ_Table[[#This Row],[Quantity]]="",BOQ_Table[[#This Row],[Rate]]=""),"Missing","OK")</f>
        <v>OK</v>
      </c>
    </row>
    <row r="1792" spans="1:9" x14ac:dyDescent="0.35">
      <c r="A1792" t="s">
        <v>1816</v>
      </c>
      <c r="B1792" t="s">
        <v>56</v>
      </c>
      <c r="C1792" t="s">
        <v>12</v>
      </c>
      <c r="D1792">
        <v>451.84</v>
      </c>
      <c r="E1792" t="s">
        <v>27</v>
      </c>
      <c r="F1792">
        <v>4558.1000000000004</v>
      </c>
      <c r="G1792">
        <f t="shared" si="29"/>
        <v>2059531.9040000001</v>
      </c>
      <c r="H1792" t="str">
        <f>IF(BOQ_Table[[#This Row],[Amount]]&gt;100000,"Over Budget","OK")</f>
        <v>Over Budget</v>
      </c>
      <c r="I1792" t="str">
        <f>IF(OR(BOQ_Table[[#This Row],[Quantity]]="",BOQ_Table[[#This Row],[Rate]]=""),"Missing","OK")</f>
        <v>OK</v>
      </c>
    </row>
    <row r="1793" spans="1:9" x14ac:dyDescent="0.35">
      <c r="A1793" t="s">
        <v>1817</v>
      </c>
      <c r="B1793" t="s">
        <v>42</v>
      </c>
      <c r="C1793" t="s">
        <v>38</v>
      </c>
      <c r="D1793">
        <v>417.06</v>
      </c>
      <c r="E1793" t="s">
        <v>22</v>
      </c>
      <c r="F1793">
        <v>931.37</v>
      </c>
      <c r="G1793">
        <f t="shared" si="29"/>
        <v>388437.17220000003</v>
      </c>
      <c r="H1793" t="str">
        <f>IF(BOQ_Table[[#This Row],[Amount]]&gt;100000,"Over Budget","OK")</f>
        <v>Over Budget</v>
      </c>
      <c r="I1793" t="str">
        <f>IF(OR(BOQ_Table[[#This Row],[Quantity]]="",BOQ_Table[[#This Row],[Rate]]=""),"Missing","OK")</f>
        <v>OK</v>
      </c>
    </row>
    <row r="1794" spans="1:9" x14ac:dyDescent="0.35">
      <c r="A1794" t="s">
        <v>1818</v>
      </c>
      <c r="B1794" t="s">
        <v>56</v>
      </c>
      <c r="C1794" t="s">
        <v>21</v>
      </c>
      <c r="D1794">
        <v>21.63</v>
      </c>
      <c r="E1794" t="s">
        <v>14</v>
      </c>
      <c r="F1794">
        <v>722.12</v>
      </c>
      <c r="G1794">
        <f t="shared" ref="G1794:G1857" si="30">D1794*F1794</f>
        <v>15619.455599999999</v>
      </c>
      <c r="H1794" t="str">
        <f>IF(BOQ_Table[[#This Row],[Amount]]&gt;100000,"Over Budget","OK")</f>
        <v>OK</v>
      </c>
      <c r="I1794" t="str">
        <f>IF(OR(BOQ_Table[[#This Row],[Quantity]]="",BOQ_Table[[#This Row],[Rate]]=""),"Missing","OK")</f>
        <v>OK</v>
      </c>
    </row>
    <row r="1795" spans="1:9" x14ac:dyDescent="0.35">
      <c r="A1795" t="s">
        <v>1819</v>
      </c>
      <c r="B1795" t="s">
        <v>32</v>
      </c>
      <c r="C1795" t="s">
        <v>8</v>
      </c>
      <c r="D1795">
        <v>50.26</v>
      </c>
      <c r="E1795" t="s">
        <v>22</v>
      </c>
      <c r="F1795">
        <v>2644.38</v>
      </c>
      <c r="G1795">
        <f t="shared" si="30"/>
        <v>132906.53880000001</v>
      </c>
      <c r="H1795" t="str">
        <f>IF(BOQ_Table[[#This Row],[Amount]]&gt;100000,"Over Budget","OK")</f>
        <v>Over Budget</v>
      </c>
      <c r="I1795" t="str">
        <f>IF(OR(BOQ_Table[[#This Row],[Quantity]]="",BOQ_Table[[#This Row],[Rate]]=""),"Missing","OK")</f>
        <v>OK</v>
      </c>
    </row>
    <row r="1796" spans="1:9" x14ac:dyDescent="0.35">
      <c r="A1796" t="s">
        <v>1820</v>
      </c>
      <c r="B1796" t="s">
        <v>42</v>
      </c>
      <c r="C1796" t="s">
        <v>38</v>
      </c>
      <c r="D1796">
        <v>61.16</v>
      </c>
      <c r="E1796" t="s">
        <v>14</v>
      </c>
      <c r="F1796">
        <v>1282.3399999999999</v>
      </c>
      <c r="G1796">
        <f t="shared" si="30"/>
        <v>78427.914399999994</v>
      </c>
      <c r="H1796" t="str">
        <f>IF(BOQ_Table[[#This Row],[Amount]]&gt;100000,"Over Budget","OK")</f>
        <v>OK</v>
      </c>
      <c r="I1796" t="str">
        <f>IF(OR(BOQ_Table[[#This Row],[Quantity]]="",BOQ_Table[[#This Row],[Rate]]=""),"Missing","OK")</f>
        <v>OK</v>
      </c>
    </row>
    <row r="1797" spans="1:9" x14ac:dyDescent="0.35">
      <c r="A1797" t="s">
        <v>1821</v>
      </c>
      <c r="B1797" t="s">
        <v>16</v>
      </c>
      <c r="C1797" t="s">
        <v>21</v>
      </c>
      <c r="D1797">
        <v>417.86</v>
      </c>
      <c r="E1797" t="s">
        <v>18</v>
      </c>
      <c r="F1797">
        <v>4278.3999999999996</v>
      </c>
      <c r="G1797">
        <f t="shared" si="30"/>
        <v>1787772.2239999999</v>
      </c>
      <c r="H1797" t="str">
        <f>IF(BOQ_Table[[#This Row],[Amount]]&gt;100000,"Over Budget","OK")</f>
        <v>Over Budget</v>
      </c>
      <c r="I1797" t="str">
        <f>IF(OR(BOQ_Table[[#This Row],[Quantity]]="",BOQ_Table[[#This Row],[Rate]]=""),"Missing","OK")</f>
        <v>OK</v>
      </c>
    </row>
    <row r="1798" spans="1:9" x14ac:dyDescent="0.35">
      <c r="A1798" t="s">
        <v>1822</v>
      </c>
      <c r="B1798" t="s">
        <v>30</v>
      </c>
      <c r="C1798" t="s">
        <v>38</v>
      </c>
      <c r="D1798">
        <v>433.27</v>
      </c>
      <c r="E1798" t="s">
        <v>14</v>
      </c>
      <c r="F1798">
        <v>221.19</v>
      </c>
      <c r="G1798">
        <f t="shared" si="30"/>
        <v>95834.991299999994</v>
      </c>
      <c r="H1798" t="str">
        <f>IF(BOQ_Table[[#This Row],[Amount]]&gt;100000,"Over Budget","OK")</f>
        <v>OK</v>
      </c>
      <c r="I1798" t="str">
        <f>IF(OR(BOQ_Table[[#This Row],[Quantity]]="",BOQ_Table[[#This Row],[Rate]]=""),"Missing","OK")</f>
        <v>OK</v>
      </c>
    </row>
    <row r="1799" spans="1:9" x14ac:dyDescent="0.35">
      <c r="A1799" t="s">
        <v>1823</v>
      </c>
      <c r="B1799" t="s">
        <v>32</v>
      </c>
      <c r="C1799" t="s">
        <v>12</v>
      </c>
      <c r="D1799">
        <v>426.34</v>
      </c>
      <c r="E1799" t="s">
        <v>27</v>
      </c>
      <c r="F1799">
        <v>2021.43</v>
      </c>
      <c r="G1799">
        <f t="shared" si="30"/>
        <v>861816.46620000002</v>
      </c>
      <c r="H1799" t="str">
        <f>IF(BOQ_Table[[#This Row],[Amount]]&gt;100000,"Over Budget","OK")</f>
        <v>Over Budget</v>
      </c>
      <c r="I1799" t="str">
        <f>IF(OR(BOQ_Table[[#This Row],[Quantity]]="",BOQ_Table[[#This Row],[Rate]]=""),"Missing","OK")</f>
        <v>OK</v>
      </c>
    </row>
    <row r="1800" spans="1:9" x14ac:dyDescent="0.35">
      <c r="A1800" t="s">
        <v>1824</v>
      </c>
      <c r="B1800" t="s">
        <v>16</v>
      </c>
      <c r="C1800" t="s">
        <v>8</v>
      </c>
      <c r="D1800">
        <v>167.1</v>
      </c>
      <c r="E1800" t="s">
        <v>9</v>
      </c>
      <c r="F1800">
        <v>1293.3599999999999</v>
      </c>
      <c r="G1800">
        <f t="shared" si="30"/>
        <v>216120.45599999998</v>
      </c>
      <c r="H1800" t="str">
        <f>IF(BOQ_Table[[#This Row],[Amount]]&gt;100000,"Over Budget","OK")</f>
        <v>Over Budget</v>
      </c>
      <c r="I1800" t="str">
        <f>IF(OR(BOQ_Table[[#This Row],[Quantity]]="",BOQ_Table[[#This Row],[Rate]]=""),"Missing","OK")</f>
        <v>OK</v>
      </c>
    </row>
    <row r="1801" spans="1:9" x14ac:dyDescent="0.35">
      <c r="A1801" t="s">
        <v>1825</v>
      </c>
      <c r="B1801" t="s">
        <v>7</v>
      </c>
      <c r="C1801" t="s">
        <v>12</v>
      </c>
      <c r="D1801">
        <v>84.29</v>
      </c>
      <c r="E1801" t="s">
        <v>9</v>
      </c>
      <c r="F1801">
        <v>2986.24</v>
      </c>
      <c r="G1801">
        <f t="shared" si="30"/>
        <v>251710.16959999999</v>
      </c>
      <c r="H1801" t="str">
        <f>IF(BOQ_Table[[#This Row],[Amount]]&gt;100000,"Over Budget","OK")</f>
        <v>Over Budget</v>
      </c>
      <c r="I1801" t="str">
        <f>IF(OR(BOQ_Table[[#This Row],[Quantity]]="",BOQ_Table[[#This Row],[Rate]]=""),"Missing","OK")</f>
        <v>OK</v>
      </c>
    </row>
    <row r="1802" spans="1:9" x14ac:dyDescent="0.35">
      <c r="A1802" t="s">
        <v>1826</v>
      </c>
      <c r="B1802" t="s">
        <v>30</v>
      </c>
      <c r="C1802" t="s">
        <v>21</v>
      </c>
      <c r="D1802">
        <v>306.14</v>
      </c>
      <c r="E1802" t="s">
        <v>18</v>
      </c>
      <c r="F1802">
        <v>3502.7</v>
      </c>
      <c r="G1802">
        <f t="shared" si="30"/>
        <v>1072316.578</v>
      </c>
      <c r="H1802" t="str">
        <f>IF(BOQ_Table[[#This Row],[Amount]]&gt;100000,"Over Budget","OK")</f>
        <v>Over Budget</v>
      </c>
      <c r="I1802" t="str">
        <f>IF(OR(BOQ_Table[[#This Row],[Quantity]]="",BOQ_Table[[#This Row],[Rate]]=""),"Missing","OK")</f>
        <v>OK</v>
      </c>
    </row>
    <row r="1803" spans="1:9" x14ac:dyDescent="0.35">
      <c r="A1803" t="s">
        <v>1827</v>
      </c>
      <c r="B1803" t="s">
        <v>30</v>
      </c>
      <c r="C1803" t="s">
        <v>12</v>
      </c>
      <c r="D1803">
        <v>223.16</v>
      </c>
      <c r="E1803" t="s">
        <v>14</v>
      </c>
      <c r="F1803">
        <v>327.06</v>
      </c>
      <c r="G1803">
        <f t="shared" si="30"/>
        <v>72986.709600000002</v>
      </c>
      <c r="H1803" t="str">
        <f>IF(BOQ_Table[[#This Row],[Amount]]&gt;100000,"Over Budget","OK")</f>
        <v>OK</v>
      </c>
      <c r="I1803" t="str">
        <f>IF(OR(BOQ_Table[[#This Row],[Quantity]]="",BOQ_Table[[#This Row],[Rate]]=""),"Missing","OK")</f>
        <v>OK</v>
      </c>
    </row>
    <row r="1804" spans="1:9" x14ac:dyDescent="0.35">
      <c r="A1804" t="s">
        <v>1828</v>
      </c>
      <c r="B1804" t="s">
        <v>40</v>
      </c>
      <c r="C1804" t="s">
        <v>21</v>
      </c>
      <c r="D1804">
        <v>407.9</v>
      </c>
      <c r="E1804" t="s">
        <v>18</v>
      </c>
      <c r="F1804">
        <v>4257.13</v>
      </c>
      <c r="G1804">
        <f t="shared" si="30"/>
        <v>1736483.327</v>
      </c>
      <c r="H1804" t="str">
        <f>IF(BOQ_Table[[#This Row],[Amount]]&gt;100000,"Over Budget","OK")</f>
        <v>Over Budget</v>
      </c>
      <c r="I1804" t="str">
        <f>IF(OR(BOQ_Table[[#This Row],[Quantity]]="",BOQ_Table[[#This Row],[Rate]]=""),"Missing","OK")</f>
        <v>OK</v>
      </c>
    </row>
    <row r="1805" spans="1:9" x14ac:dyDescent="0.35">
      <c r="A1805" t="s">
        <v>1829</v>
      </c>
      <c r="B1805" t="s">
        <v>11</v>
      </c>
      <c r="C1805" t="s">
        <v>12</v>
      </c>
      <c r="D1805">
        <v>7.68</v>
      </c>
      <c r="E1805" t="s">
        <v>22</v>
      </c>
      <c r="F1805">
        <v>925.95</v>
      </c>
      <c r="G1805">
        <f t="shared" si="30"/>
        <v>7111.2960000000003</v>
      </c>
      <c r="H1805" t="str">
        <f>IF(BOQ_Table[[#This Row],[Amount]]&gt;100000,"Over Budget","OK")</f>
        <v>OK</v>
      </c>
      <c r="I1805" t="str">
        <f>IF(OR(BOQ_Table[[#This Row],[Quantity]]="",BOQ_Table[[#This Row],[Rate]]=""),"Missing","OK")</f>
        <v>OK</v>
      </c>
    </row>
    <row r="1806" spans="1:9" x14ac:dyDescent="0.35">
      <c r="A1806" t="s">
        <v>1830</v>
      </c>
      <c r="B1806" t="s">
        <v>7</v>
      </c>
      <c r="C1806" t="s">
        <v>38</v>
      </c>
      <c r="D1806">
        <v>451.13</v>
      </c>
      <c r="E1806" t="s">
        <v>18</v>
      </c>
      <c r="F1806">
        <v>4854.83</v>
      </c>
      <c r="G1806">
        <f t="shared" si="30"/>
        <v>2190159.4578999998</v>
      </c>
      <c r="H1806" t="str">
        <f>IF(BOQ_Table[[#This Row],[Amount]]&gt;100000,"Over Budget","OK")</f>
        <v>Over Budget</v>
      </c>
      <c r="I1806" t="str">
        <f>IF(OR(BOQ_Table[[#This Row],[Quantity]]="",BOQ_Table[[#This Row],[Rate]]=""),"Missing","OK")</f>
        <v>OK</v>
      </c>
    </row>
    <row r="1807" spans="1:9" x14ac:dyDescent="0.35">
      <c r="A1807" t="s">
        <v>1831</v>
      </c>
      <c r="B1807" t="s">
        <v>46</v>
      </c>
      <c r="C1807" t="s">
        <v>17</v>
      </c>
      <c r="D1807">
        <v>412.72</v>
      </c>
      <c r="E1807" t="s">
        <v>14</v>
      </c>
      <c r="F1807">
        <v>2302.0300000000002</v>
      </c>
      <c r="G1807">
        <f t="shared" si="30"/>
        <v>950093.82160000014</v>
      </c>
      <c r="H1807" t="str">
        <f>IF(BOQ_Table[[#This Row],[Amount]]&gt;100000,"Over Budget","OK")</f>
        <v>Over Budget</v>
      </c>
      <c r="I1807" t="str">
        <f>IF(OR(BOQ_Table[[#This Row],[Quantity]]="",BOQ_Table[[#This Row],[Rate]]=""),"Missing","OK")</f>
        <v>OK</v>
      </c>
    </row>
    <row r="1808" spans="1:9" x14ac:dyDescent="0.35">
      <c r="A1808" t="s">
        <v>1832</v>
      </c>
      <c r="B1808" t="s">
        <v>42</v>
      </c>
      <c r="C1808" t="s">
        <v>8</v>
      </c>
      <c r="D1808">
        <v>482.58</v>
      </c>
      <c r="E1808" t="s">
        <v>18</v>
      </c>
      <c r="F1808">
        <v>1485.18</v>
      </c>
      <c r="G1808">
        <f t="shared" si="30"/>
        <v>716718.16440000001</v>
      </c>
      <c r="H1808" t="str">
        <f>IF(BOQ_Table[[#This Row],[Amount]]&gt;100000,"Over Budget","OK")</f>
        <v>Over Budget</v>
      </c>
      <c r="I1808" t="str">
        <f>IF(OR(BOQ_Table[[#This Row],[Quantity]]="",BOQ_Table[[#This Row],[Rate]]=""),"Missing","OK")</f>
        <v>OK</v>
      </c>
    </row>
    <row r="1809" spans="1:9" x14ac:dyDescent="0.35">
      <c r="A1809" t="s">
        <v>1833</v>
      </c>
      <c r="B1809" t="s">
        <v>30</v>
      </c>
      <c r="C1809" t="s">
        <v>38</v>
      </c>
      <c r="D1809">
        <v>467.88</v>
      </c>
      <c r="E1809" t="s">
        <v>18</v>
      </c>
      <c r="F1809">
        <v>2570.7800000000002</v>
      </c>
      <c r="G1809">
        <f t="shared" si="30"/>
        <v>1202816.5464000001</v>
      </c>
      <c r="H1809" t="str">
        <f>IF(BOQ_Table[[#This Row],[Amount]]&gt;100000,"Over Budget","OK")</f>
        <v>Over Budget</v>
      </c>
      <c r="I1809" t="str">
        <f>IF(OR(BOQ_Table[[#This Row],[Quantity]]="",BOQ_Table[[#This Row],[Rate]]=""),"Missing","OK")</f>
        <v>OK</v>
      </c>
    </row>
    <row r="1810" spans="1:9" x14ac:dyDescent="0.35">
      <c r="A1810" t="s">
        <v>1834</v>
      </c>
      <c r="B1810" t="s">
        <v>20</v>
      </c>
      <c r="C1810" t="s">
        <v>17</v>
      </c>
      <c r="D1810">
        <v>288.14999999999998</v>
      </c>
      <c r="E1810" t="s">
        <v>9</v>
      </c>
      <c r="F1810">
        <v>4251.51</v>
      </c>
      <c r="G1810">
        <f t="shared" si="30"/>
        <v>1225072.6065</v>
      </c>
      <c r="H1810" t="str">
        <f>IF(BOQ_Table[[#This Row],[Amount]]&gt;100000,"Over Budget","OK")</f>
        <v>Over Budget</v>
      </c>
      <c r="I1810" t="str">
        <f>IF(OR(BOQ_Table[[#This Row],[Quantity]]="",BOQ_Table[[#This Row],[Rate]]=""),"Missing","OK")</f>
        <v>OK</v>
      </c>
    </row>
    <row r="1811" spans="1:9" x14ac:dyDescent="0.35">
      <c r="A1811" t="s">
        <v>1835</v>
      </c>
      <c r="B1811" t="s">
        <v>30</v>
      </c>
      <c r="C1811" t="s">
        <v>8</v>
      </c>
      <c r="D1811">
        <v>47.61</v>
      </c>
      <c r="E1811" t="s">
        <v>27</v>
      </c>
      <c r="F1811">
        <v>376.18</v>
      </c>
      <c r="G1811">
        <f t="shared" si="30"/>
        <v>17909.929800000002</v>
      </c>
      <c r="H1811" t="str">
        <f>IF(BOQ_Table[[#This Row],[Amount]]&gt;100000,"Over Budget","OK")</f>
        <v>OK</v>
      </c>
      <c r="I1811" t="str">
        <f>IF(OR(BOQ_Table[[#This Row],[Quantity]]="",BOQ_Table[[#This Row],[Rate]]=""),"Missing","OK")</f>
        <v>OK</v>
      </c>
    </row>
    <row r="1812" spans="1:9" x14ac:dyDescent="0.35">
      <c r="A1812" t="s">
        <v>1836</v>
      </c>
      <c r="B1812" t="s">
        <v>56</v>
      </c>
      <c r="C1812" t="s">
        <v>21</v>
      </c>
      <c r="D1812">
        <v>119.93</v>
      </c>
      <c r="E1812" t="s">
        <v>22</v>
      </c>
      <c r="F1812">
        <v>3860.06</v>
      </c>
      <c r="G1812">
        <f t="shared" si="30"/>
        <v>462936.99580000003</v>
      </c>
      <c r="H1812" t="str">
        <f>IF(BOQ_Table[[#This Row],[Amount]]&gt;100000,"Over Budget","OK")</f>
        <v>Over Budget</v>
      </c>
      <c r="I1812" t="str">
        <f>IF(OR(BOQ_Table[[#This Row],[Quantity]]="",BOQ_Table[[#This Row],[Rate]]=""),"Missing","OK")</f>
        <v>OK</v>
      </c>
    </row>
    <row r="1813" spans="1:9" x14ac:dyDescent="0.35">
      <c r="A1813" t="s">
        <v>1837</v>
      </c>
      <c r="B1813" t="s">
        <v>46</v>
      </c>
      <c r="C1813" t="s">
        <v>21</v>
      </c>
      <c r="D1813">
        <v>405.94</v>
      </c>
      <c r="E1813" t="s">
        <v>27</v>
      </c>
      <c r="F1813">
        <v>865.02</v>
      </c>
      <c r="G1813">
        <f t="shared" si="30"/>
        <v>351146.21879999997</v>
      </c>
      <c r="H1813" t="str">
        <f>IF(BOQ_Table[[#This Row],[Amount]]&gt;100000,"Over Budget","OK")</f>
        <v>Over Budget</v>
      </c>
      <c r="I1813" t="str">
        <f>IF(OR(BOQ_Table[[#This Row],[Quantity]]="",BOQ_Table[[#This Row],[Rate]]=""),"Missing","OK")</f>
        <v>OK</v>
      </c>
    </row>
    <row r="1814" spans="1:9" x14ac:dyDescent="0.35">
      <c r="A1814" t="s">
        <v>1838</v>
      </c>
      <c r="B1814" t="s">
        <v>30</v>
      </c>
      <c r="C1814" t="s">
        <v>38</v>
      </c>
      <c r="D1814">
        <v>11.49</v>
      </c>
      <c r="E1814" t="s">
        <v>22</v>
      </c>
      <c r="F1814">
        <v>3403.37</v>
      </c>
      <c r="G1814">
        <f t="shared" si="30"/>
        <v>39104.721299999997</v>
      </c>
      <c r="H1814" t="str">
        <f>IF(BOQ_Table[[#This Row],[Amount]]&gt;100000,"Over Budget","OK")</f>
        <v>OK</v>
      </c>
      <c r="I1814" t="str">
        <f>IF(OR(BOQ_Table[[#This Row],[Quantity]]="",BOQ_Table[[#This Row],[Rate]]=""),"Missing","OK")</f>
        <v>OK</v>
      </c>
    </row>
    <row r="1815" spans="1:9" x14ac:dyDescent="0.35">
      <c r="A1815" t="s">
        <v>1839</v>
      </c>
      <c r="B1815" t="s">
        <v>30</v>
      </c>
      <c r="C1815" t="s">
        <v>38</v>
      </c>
      <c r="D1815">
        <v>235.05</v>
      </c>
      <c r="E1815" t="s">
        <v>14</v>
      </c>
      <c r="F1815">
        <v>3744.52</v>
      </c>
      <c r="G1815">
        <f t="shared" si="30"/>
        <v>880149.42600000009</v>
      </c>
      <c r="H1815" t="str">
        <f>IF(BOQ_Table[[#This Row],[Amount]]&gt;100000,"Over Budget","OK")</f>
        <v>Over Budget</v>
      </c>
      <c r="I1815" t="str">
        <f>IF(OR(BOQ_Table[[#This Row],[Quantity]]="",BOQ_Table[[#This Row],[Rate]]=""),"Missing","OK")</f>
        <v>OK</v>
      </c>
    </row>
    <row r="1816" spans="1:9" x14ac:dyDescent="0.35">
      <c r="A1816" t="s">
        <v>1840</v>
      </c>
      <c r="B1816" t="s">
        <v>7</v>
      </c>
      <c r="C1816" t="s">
        <v>17</v>
      </c>
      <c r="D1816">
        <v>23.25</v>
      </c>
      <c r="E1816" t="s">
        <v>14</v>
      </c>
      <c r="F1816">
        <v>3806.51</v>
      </c>
      <c r="G1816">
        <f t="shared" si="30"/>
        <v>88501.357499999998</v>
      </c>
      <c r="H1816" t="str">
        <f>IF(BOQ_Table[[#This Row],[Amount]]&gt;100000,"Over Budget","OK")</f>
        <v>OK</v>
      </c>
      <c r="I1816" t="str">
        <f>IF(OR(BOQ_Table[[#This Row],[Quantity]]="",BOQ_Table[[#This Row],[Rate]]=""),"Missing","OK")</f>
        <v>OK</v>
      </c>
    </row>
    <row r="1817" spans="1:9" x14ac:dyDescent="0.35">
      <c r="A1817" t="s">
        <v>1841</v>
      </c>
      <c r="B1817" t="s">
        <v>16</v>
      </c>
      <c r="C1817" t="s">
        <v>38</v>
      </c>
      <c r="D1817">
        <v>88.68</v>
      </c>
      <c r="E1817" t="s">
        <v>22</v>
      </c>
      <c r="F1817">
        <v>1547.71</v>
      </c>
      <c r="G1817">
        <f t="shared" si="30"/>
        <v>137250.9228</v>
      </c>
      <c r="H1817" t="str">
        <f>IF(BOQ_Table[[#This Row],[Amount]]&gt;100000,"Over Budget","OK")</f>
        <v>Over Budget</v>
      </c>
      <c r="I1817" t="str">
        <f>IF(OR(BOQ_Table[[#This Row],[Quantity]]="",BOQ_Table[[#This Row],[Rate]]=""),"Missing","OK")</f>
        <v>OK</v>
      </c>
    </row>
    <row r="1818" spans="1:9" x14ac:dyDescent="0.35">
      <c r="A1818" t="s">
        <v>1842</v>
      </c>
      <c r="B1818" t="s">
        <v>20</v>
      </c>
      <c r="C1818" t="s">
        <v>17</v>
      </c>
      <c r="D1818">
        <v>79.27</v>
      </c>
      <c r="E1818" t="s">
        <v>9</v>
      </c>
      <c r="F1818">
        <v>3731.28</v>
      </c>
      <c r="G1818">
        <f t="shared" si="30"/>
        <v>295778.56559999997</v>
      </c>
      <c r="H1818" t="str">
        <f>IF(BOQ_Table[[#This Row],[Amount]]&gt;100000,"Over Budget","OK")</f>
        <v>Over Budget</v>
      </c>
      <c r="I1818" t="str">
        <f>IF(OR(BOQ_Table[[#This Row],[Quantity]]="",BOQ_Table[[#This Row],[Rate]]=""),"Missing","OK")</f>
        <v>OK</v>
      </c>
    </row>
    <row r="1819" spans="1:9" x14ac:dyDescent="0.35">
      <c r="A1819" t="s">
        <v>1843</v>
      </c>
      <c r="B1819" t="s">
        <v>11</v>
      </c>
      <c r="C1819" t="s">
        <v>8</v>
      </c>
      <c r="D1819">
        <v>305.12</v>
      </c>
      <c r="E1819" t="s">
        <v>9</v>
      </c>
      <c r="F1819">
        <v>251.78</v>
      </c>
      <c r="G1819">
        <f t="shared" si="30"/>
        <v>76823.113599999997</v>
      </c>
      <c r="H1819" t="str">
        <f>IF(BOQ_Table[[#This Row],[Amount]]&gt;100000,"Over Budget","OK")</f>
        <v>OK</v>
      </c>
      <c r="I1819" t="str">
        <f>IF(OR(BOQ_Table[[#This Row],[Quantity]]="",BOQ_Table[[#This Row],[Rate]]=""),"Missing","OK")</f>
        <v>OK</v>
      </c>
    </row>
    <row r="1820" spans="1:9" x14ac:dyDescent="0.35">
      <c r="A1820" t="s">
        <v>1844</v>
      </c>
      <c r="B1820" t="s">
        <v>40</v>
      </c>
      <c r="C1820" t="s">
        <v>12</v>
      </c>
      <c r="D1820">
        <v>423.08</v>
      </c>
      <c r="E1820" t="s">
        <v>14</v>
      </c>
      <c r="F1820">
        <v>236.58</v>
      </c>
      <c r="G1820">
        <f t="shared" si="30"/>
        <v>100092.26640000001</v>
      </c>
      <c r="H1820" t="str">
        <f>IF(BOQ_Table[[#This Row],[Amount]]&gt;100000,"Over Budget","OK")</f>
        <v>Over Budget</v>
      </c>
      <c r="I1820" t="str">
        <f>IF(OR(BOQ_Table[[#This Row],[Quantity]]="",BOQ_Table[[#This Row],[Rate]]=""),"Missing","OK")</f>
        <v>OK</v>
      </c>
    </row>
    <row r="1821" spans="1:9" x14ac:dyDescent="0.35">
      <c r="A1821" t="s">
        <v>1845</v>
      </c>
      <c r="B1821" t="s">
        <v>46</v>
      </c>
      <c r="C1821" t="s">
        <v>8</v>
      </c>
      <c r="D1821">
        <v>412.04</v>
      </c>
      <c r="E1821" t="s">
        <v>22</v>
      </c>
      <c r="F1821">
        <v>2462.84</v>
      </c>
      <c r="G1821">
        <f t="shared" si="30"/>
        <v>1014788.5936000001</v>
      </c>
      <c r="H1821" t="str">
        <f>IF(BOQ_Table[[#This Row],[Amount]]&gt;100000,"Over Budget","OK")</f>
        <v>Over Budget</v>
      </c>
      <c r="I1821" t="str">
        <f>IF(OR(BOQ_Table[[#This Row],[Quantity]]="",BOQ_Table[[#This Row],[Rate]]=""),"Missing","OK")</f>
        <v>OK</v>
      </c>
    </row>
    <row r="1822" spans="1:9" x14ac:dyDescent="0.35">
      <c r="A1822" t="s">
        <v>1846</v>
      </c>
      <c r="B1822" t="s">
        <v>46</v>
      </c>
      <c r="C1822" t="s">
        <v>17</v>
      </c>
      <c r="D1822">
        <v>299.14999999999998</v>
      </c>
      <c r="E1822" t="s">
        <v>9</v>
      </c>
      <c r="F1822">
        <v>537.92999999999995</v>
      </c>
      <c r="G1822">
        <f t="shared" si="30"/>
        <v>160921.75949999999</v>
      </c>
      <c r="H1822" t="str">
        <f>IF(BOQ_Table[[#This Row],[Amount]]&gt;100000,"Over Budget","OK")</f>
        <v>Over Budget</v>
      </c>
      <c r="I1822" t="str">
        <f>IF(OR(BOQ_Table[[#This Row],[Quantity]]="",BOQ_Table[[#This Row],[Rate]]=""),"Missing","OK")</f>
        <v>OK</v>
      </c>
    </row>
    <row r="1823" spans="1:9" x14ac:dyDescent="0.35">
      <c r="A1823" t="s">
        <v>1847</v>
      </c>
      <c r="B1823" t="s">
        <v>46</v>
      </c>
      <c r="C1823" t="s">
        <v>12</v>
      </c>
      <c r="D1823">
        <v>245.14</v>
      </c>
      <c r="E1823" t="s">
        <v>22</v>
      </c>
      <c r="F1823">
        <v>1126.74</v>
      </c>
      <c r="G1823">
        <f t="shared" si="30"/>
        <v>276209.04359999998</v>
      </c>
      <c r="H1823" t="str">
        <f>IF(BOQ_Table[[#This Row],[Amount]]&gt;100000,"Over Budget","OK")</f>
        <v>Over Budget</v>
      </c>
      <c r="I1823" t="str">
        <f>IF(OR(BOQ_Table[[#This Row],[Quantity]]="",BOQ_Table[[#This Row],[Rate]]=""),"Missing","OK")</f>
        <v>OK</v>
      </c>
    </row>
    <row r="1824" spans="1:9" x14ac:dyDescent="0.35">
      <c r="A1824" t="s">
        <v>1848</v>
      </c>
      <c r="B1824" t="s">
        <v>16</v>
      </c>
      <c r="C1824" t="s">
        <v>8</v>
      </c>
      <c r="D1824">
        <v>335.49</v>
      </c>
      <c r="E1824" t="s">
        <v>14</v>
      </c>
      <c r="F1824">
        <v>2546</v>
      </c>
      <c r="G1824">
        <f t="shared" si="30"/>
        <v>854157.54</v>
      </c>
      <c r="H1824" t="str">
        <f>IF(BOQ_Table[[#This Row],[Amount]]&gt;100000,"Over Budget","OK")</f>
        <v>Over Budget</v>
      </c>
      <c r="I1824" t="str">
        <f>IF(OR(BOQ_Table[[#This Row],[Quantity]]="",BOQ_Table[[#This Row],[Rate]]=""),"Missing","OK")</f>
        <v>OK</v>
      </c>
    </row>
    <row r="1825" spans="1:9" x14ac:dyDescent="0.35">
      <c r="A1825" t="s">
        <v>1849</v>
      </c>
      <c r="B1825" t="s">
        <v>46</v>
      </c>
      <c r="C1825" t="s">
        <v>12</v>
      </c>
      <c r="D1825">
        <v>115.71</v>
      </c>
      <c r="E1825" t="s">
        <v>22</v>
      </c>
      <c r="F1825">
        <v>1546.83</v>
      </c>
      <c r="G1825">
        <f t="shared" si="30"/>
        <v>178983.69929999998</v>
      </c>
      <c r="H1825" t="str">
        <f>IF(BOQ_Table[[#This Row],[Amount]]&gt;100000,"Over Budget","OK")</f>
        <v>Over Budget</v>
      </c>
      <c r="I1825" t="str">
        <f>IF(OR(BOQ_Table[[#This Row],[Quantity]]="",BOQ_Table[[#This Row],[Rate]]=""),"Missing","OK")</f>
        <v>OK</v>
      </c>
    </row>
    <row r="1826" spans="1:9" x14ac:dyDescent="0.35">
      <c r="A1826" t="s">
        <v>1850</v>
      </c>
      <c r="B1826" t="s">
        <v>42</v>
      </c>
      <c r="C1826" t="s">
        <v>21</v>
      </c>
      <c r="D1826">
        <v>303.63</v>
      </c>
      <c r="E1826" t="s">
        <v>27</v>
      </c>
      <c r="F1826">
        <v>560.89</v>
      </c>
      <c r="G1826">
        <f t="shared" si="30"/>
        <v>170303.0307</v>
      </c>
      <c r="H1826" t="str">
        <f>IF(BOQ_Table[[#This Row],[Amount]]&gt;100000,"Over Budget","OK")</f>
        <v>Over Budget</v>
      </c>
      <c r="I1826" t="str">
        <f>IF(OR(BOQ_Table[[#This Row],[Quantity]]="",BOQ_Table[[#This Row],[Rate]]=""),"Missing","OK")</f>
        <v>OK</v>
      </c>
    </row>
    <row r="1827" spans="1:9" x14ac:dyDescent="0.35">
      <c r="A1827" t="s">
        <v>1851</v>
      </c>
      <c r="B1827" t="s">
        <v>46</v>
      </c>
      <c r="C1827" t="s">
        <v>12</v>
      </c>
      <c r="D1827">
        <v>62.71</v>
      </c>
      <c r="E1827" t="s">
        <v>18</v>
      </c>
      <c r="F1827">
        <v>1898.45</v>
      </c>
      <c r="G1827">
        <f t="shared" si="30"/>
        <v>119051.79950000001</v>
      </c>
      <c r="H1827" t="str">
        <f>IF(BOQ_Table[[#This Row],[Amount]]&gt;100000,"Over Budget","OK")</f>
        <v>Over Budget</v>
      </c>
      <c r="I1827" t="str">
        <f>IF(OR(BOQ_Table[[#This Row],[Quantity]]="",BOQ_Table[[#This Row],[Rate]]=""),"Missing","OK")</f>
        <v>OK</v>
      </c>
    </row>
    <row r="1828" spans="1:9" x14ac:dyDescent="0.35">
      <c r="A1828" t="s">
        <v>1852</v>
      </c>
      <c r="B1828" t="s">
        <v>46</v>
      </c>
      <c r="C1828" t="s">
        <v>21</v>
      </c>
      <c r="D1828">
        <v>68.14</v>
      </c>
      <c r="E1828" t="s">
        <v>18</v>
      </c>
      <c r="F1828">
        <v>1591.41</v>
      </c>
      <c r="G1828">
        <f t="shared" si="30"/>
        <v>108438.6774</v>
      </c>
      <c r="H1828" t="str">
        <f>IF(BOQ_Table[[#This Row],[Amount]]&gt;100000,"Over Budget","OK")</f>
        <v>Over Budget</v>
      </c>
      <c r="I1828" t="str">
        <f>IF(OR(BOQ_Table[[#This Row],[Quantity]]="",BOQ_Table[[#This Row],[Rate]]=""),"Missing","OK")</f>
        <v>OK</v>
      </c>
    </row>
    <row r="1829" spans="1:9" x14ac:dyDescent="0.35">
      <c r="A1829" t="s">
        <v>1853</v>
      </c>
      <c r="B1829" t="s">
        <v>30</v>
      </c>
      <c r="C1829" t="s">
        <v>17</v>
      </c>
      <c r="D1829">
        <v>42.11</v>
      </c>
      <c r="E1829" t="s">
        <v>18</v>
      </c>
      <c r="F1829">
        <v>4890.99</v>
      </c>
      <c r="G1829">
        <f t="shared" si="30"/>
        <v>205959.5889</v>
      </c>
      <c r="H1829" t="str">
        <f>IF(BOQ_Table[[#This Row],[Amount]]&gt;100000,"Over Budget","OK")</f>
        <v>Over Budget</v>
      </c>
      <c r="I1829" t="str">
        <f>IF(OR(BOQ_Table[[#This Row],[Quantity]]="",BOQ_Table[[#This Row],[Rate]]=""),"Missing","OK")</f>
        <v>OK</v>
      </c>
    </row>
    <row r="1830" spans="1:9" x14ac:dyDescent="0.35">
      <c r="A1830" t="s">
        <v>1854</v>
      </c>
      <c r="B1830" t="s">
        <v>16</v>
      </c>
      <c r="C1830" t="s">
        <v>21</v>
      </c>
      <c r="D1830">
        <v>474.56</v>
      </c>
      <c r="E1830" t="s">
        <v>27</v>
      </c>
      <c r="F1830">
        <v>4970.24</v>
      </c>
      <c r="G1830">
        <f t="shared" si="30"/>
        <v>2358677.0943999998</v>
      </c>
      <c r="H1830" t="str">
        <f>IF(BOQ_Table[[#This Row],[Amount]]&gt;100000,"Over Budget","OK")</f>
        <v>Over Budget</v>
      </c>
      <c r="I1830" t="str">
        <f>IF(OR(BOQ_Table[[#This Row],[Quantity]]="",BOQ_Table[[#This Row],[Rate]]=""),"Missing","OK")</f>
        <v>OK</v>
      </c>
    </row>
    <row r="1831" spans="1:9" x14ac:dyDescent="0.35">
      <c r="A1831" t="s">
        <v>1855</v>
      </c>
      <c r="B1831" t="s">
        <v>16</v>
      </c>
      <c r="C1831" t="s">
        <v>21</v>
      </c>
      <c r="D1831">
        <v>184.96</v>
      </c>
      <c r="E1831" t="s">
        <v>27</v>
      </c>
      <c r="F1831">
        <v>3676.9</v>
      </c>
      <c r="G1831">
        <f t="shared" si="30"/>
        <v>680079.424</v>
      </c>
      <c r="H1831" t="str">
        <f>IF(BOQ_Table[[#This Row],[Amount]]&gt;100000,"Over Budget","OK")</f>
        <v>Over Budget</v>
      </c>
      <c r="I1831" t="str">
        <f>IF(OR(BOQ_Table[[#This Row],[Quantity]]="",BOQ_Table[[#This Row],[Rate]]=""),"Missing","OK")</f>
        <v>OK</v>
      </c>
    </row>
    <row r="1832" spans="1:9" x14ac:dyDescent="0.35">
      <c r="A1832" t="s">
        <v>1856</v>
      </c>
      <c r="B1832" t="s">
        <v>30</v>
      </c>
      <c r="C1832" t="s">
        <v>38</v>
      </c>
      <c r="D1832">
        <v>491.24</v>
      </c>
      <c r="E1832" t="s">
        <v>14</v>
      </c>
      <c r="F1832">
        <v>735.46</v>
      </c>
      <c r="G1832">
        <f t="shared" si="30"/>
        <v>361287.37040000001</v>
      </c>
      <c r="H1832" t="str">
        <f>IF(BOQ_Table[[#This Row],[Amount]]&gt;100000,"Over Budget","OK")</f>
        <v>Over Budget</v>
      </c>
      <c r="I1832" t="str">
        <f>IF(OR(BOQ_Table[[#This Row],[Quantity]]="",BOQ_Table[[#This Row],[Rate]]=""),"Missing","OK")</f>
        <v>OK</v>
      </c>
    </row>
    <row r="1833" spans="1:9" x14ac:dyDescent="0.35">
      <c r="A1833" t="s">
        <v>1857</v>
      </c>
      <c r="B1833" t="s">
        <v>46</v>
      </c>
      <c r="C1833" t="s">
        <v>17</v>
      </c>
      <c r="D1833">
        <v>248.44</v>
      </c>
      <c r="E1833" t="s">
        <v>22</v>
      </c>
      <c r="F1833">
        <v>1893.3</v>
      </c>
      <c r="G1833">
        <f t="shared" si="30"/>
        <v>470371.45199999999</v>
      </c>
      <c r="H1833" t="str">
        <f>IF(BOQ_Table[[#This Row],[Amount]]&gt;100000,"Over Budget","OK")</f>
        <v>Over Budget</v>
      </c>
      <c r="I1833" t="str">
        <f>IF(OR(BOQ_Table[[#This Row],[Quantity]]="",BOQ_Table[[#This Row],[Rate]]=""),"Missing","OK")</f>
        <v>OK</v>
      </c>
    </row>
    <row r="1834" spans="1:9" x14ac:dyDescent="0.35">
      <c r="A1834" t="s">
        <v>1858</v>
      </c>
      <c r="B1834" t="s">
        <v>30</v>
      </c>
      <c r="C1834" t="s">
        <v>17</v>
      </c>
      <c r="D1834">
        <v>291.42</v>
      </c>
      <c r="E1834" t="s">
        <v>22</v>
      </c>
      <c r="F1834">
        <v>2375.5500000000002</v>
      </c>
      <c r="G1834">
        <f t="shared" si="30"/>
        <v>692282.78100000008</v>
      </c>
      <c r="H1834" t="str">
        <f>IF(BOQ_Table[[#This Row],[Amount]]&gt;100000,"Over Budget","OK")</f>
        <v>Over Budget</v>
      </c>
      <c r="I1834" t="str">
        <f>IF(OR(BOQ_Table[[#This Row],[Quantity]]="",BOQ_Table[[#This Row],[Rate]]=""),"Missing","OK")</f>
        <v>OK</v>
      </c>
    </row>
    <row r="1835" spans="1:9" x14ac:dyDescent="0.35">
      <c r="A1835" t="s">
        <v>1859</v>
      </c>
      <c r="B1835" t="s">
        <v>42</v>
      </c>
      <c r="C1835" t="s">
        <v>21</v>
      </c>
      <c r="D1835">
        <v>468.52</v>
      </c>
      <c r="E1835" t="s">
        <v>9</v>
      </c>
      <c r="F1835">
        <v>3191.99</v>
      </c>
      <c r="G1835">
        <f t="shared" si="30"/>
        <v>1495511.1547999999</v>
      </c>
      <c r="H1835" t="str">
        <f>IF(BOQ_Table[[#This Row],[Amount]]&gt;100000,"Over Budget","OK")</f>
        <v>Over Budget</v>
      </c>
      <c r="I1835" t="str">
        <f>IF(OR(BOQ_Table[[#This Row],[Quantity]]="",BOQ_Table[[#This Row],[Rate]]=""),"Missing","OK")</f>
        <v>OK</v>
      </c>
    </row>
    <row r="1836" spans="1:9" x14ac:dyDescent="0.35">
      <c r="A1836" t="s">
        <v>1860</v>
      </c>
      <c r="B1836" t="s">
        <v>30</v>
      </c>
      <c r="C1836" t="s">
        <v>21</v>
      </c>
      <c r="D1836">
        <v>258.69</v>
      </c>
      <c r="E1836" t="s">
        <v>9</v>
      </c>
      <c r="F1836">
        <v>4449.17</v>
      </c>
      <c r="G1836">
        <f t="shared" si="30"/>
        <v>1150955.7873</v>
      </c>
      <c r="H1836" t="str">
        <f>IF(BOQ_Table[[#This Row],[Amount]]&gt;100000,"Over Budget","OK")</f>
        <v>Over Budget</v>
      </c>
      <c r="I1836" t="str">
        <f>IF(OR(BOQ_Table[[#This Row],[Quantity]]="",BOQ_Table[[#This Row],[Rate]]=""),"Missing","OK")</f>
        <v>OK</v>
      </c>
    </row>
    <row r="1837" spans="1:9" x14ac:dyDescent="0.35">
      <c r="A1837" t="s">
        <v>1861</v>
      </c>
      <c r="B1837" t="s">
        <v>16</v>
      </c>
      <c r="C1837" t="s">
        <v>21</v>
      </c>
      <c r="D1837">
        <v>126.26</v>
      </c>
      <c r="E1837" t="s">
        <v>22</v>
      </c>
      <c r="F1837">
        <v>3656.09</v>
      </c>
      <c r="G1837">
        <f t="shared" si="30"/>
        <v>461617.92340000003</v>
      </c>
      <c r="H1837" t="str">
        <f>IF(BOQ_Table[[#This Row],[Amount]]&gt;100000,"Over Budget","OK")</f>
        <v>Over Budget</v>
      </c>
      <c r="I1837" t="str">
        <f>IF(OR(BOQ_Table[[#This Row],[Quantity]]="",BOQ_Table[[#This Row],[Rate]]=""),"Missing","OK")</f>
        <v>OK</v>
      </c>
    </row>
    <row r="1838" spans="1:9" x14ac:dyDescent="0.35">
      <c r="A1838" t="s">
        <v>1862</v>
      </c>
      <c r="B1838" t="s">
        <v>30</v>
      </c>
      <c r="C1838" t="s">
        <v>38</v>
      </c>
      <c r="D1838">
        <v>119.22</v>
      </c>
      <c r="E1838" t="s">
        <v>14</v>
      </c>
      <c r="F1838">
        <v>4753.58</v>
      </c>
      <c r="G1838">
        <f t="shared" si="30"/>
        <v>566721.80759999994</v>
      </c>
      <c r="H1838" t="str">
        <f>IF(BOQ_Table[[#This Row],[Amount]]&gt;100000,"Over Budget","OK")</f>
        <v>Over Budget</v>
      </c>
      <c r="I1838" t="str">
        <f>IF(OR(BOQ_Table[[#This Row],[Quantity]]="",BOQ_Table[[#This Row],[Rate]]=""),"Missing","OK")</f>
        <v>OK</v>
      </c>
    </row>
    <row r="1839" spans="1:9" x14ac:dyDescent="0.35">
      <c r="A1839" t="s">
        <v>1863</v>
      </c>
      <c r="B1839" t="s">
        <v>56</v>
      </c>
      <c r="C1839" t="s">
        <v>8</v>
      </c>
      <c r="D1839">
        <v>417.11</v>
      </c>
      <c r="E1839" t="s">
        <v>27</v>
      </c>
      <c r="F1839">
        <v>3518.33</v>
      </c>
      <c r="G1839">
        <f t="shared" si="30"/>
        <v>1467530.6263000001</v>
      </c>
      <c r="H1839" t="str">
        <f>IF(BOQ_Table[[#This Row],[Amount]]&gt;100000,"Over Budget","OK")</f>
        <v>Over Budget</v>
      </c>
      <c r="I1839" t="str">
        <f>IF(OR(BOQ_Table[[#This Row],[Quantity]]="",BOQ_Table[[#This Row],[Rate]]=""),"Missing","OK")</f>
        <v>OK</v>
      </c>
    </row>
    <row r="1840" spans="1:9" x14ac:dyDescent="0.35">
      <c r="A1840" t="s">
        <v>1864</v>
      </c>
      <c r="B1840" t="s">
        <v>32</v>
      </c>
      <c r="C1840" t="s">
        <v>12</v>
      </c>
      <c r="D1840">
        <v>334.95</v>
      </c>
      <c r="E1840" t="s">
        <v>9</v>
      </c>
      <c r="F1840">
        <v>3478.77</v>
      </c>
      <c r="G1840">
        <f t="shared" si="30"/>
        <v>1165214.0115</v>
      </c>
      <c r="H1840" t="str">
        <f>IF(BOQ_Table[[#This Row],[Amount]]&gt;100000,"Over Budget","OK")</f>
        <v>Over Budget</v>
      </c>
      <c r="I1840" t="str">
        <f>IF(OR(BOQ_Table[[#This Row],[Quantity]]="",BOQ_Table[[#This Row],[Rate]]=""),"Missing","OK")</f>
        <v>OK</v>
      </c>
    </row>
    <row r="1841" spans="1:9" x14ac:dyDescent="0.35">
      <c r="A1841" t="s">
        <v>1865</v>
      </c>
      <c r="B1841" t="s">
        <v>7</v>
      </c>
      <c r="C1841" t="s">
        <v>8</v>
      </c>
      <c r="D1841">
        <v>180.57</v>
      </c>
      <c r="E1841" t="s">
        <v>22</v>
      </c>
      <c r="F1841">
        <v>2804.09</v>
      </c>
      <c r="G1841">
        <f t="shared" si="30"/>
        <v>506334.53130000003</v>
      </c>
      <c r="H1841" t="str">
        <f>IF(BOQ_Table[[#This Row],[Amount]]&gt;100000,"Over Budget","OK")</f>
        <v>Over Budget</v>
      </c>
      <c r="I1841" t="str">
        <f>IF(OR(BOQ_Table[[#This Row],[Quantity]]="",BOQ_Table[[#This Row],[Rate]]=""),"Missing","OK")</f>
        <v>OK</v>
      </c>
    </row>
    <row r="1842" spans="1:9" x14ac:dyDescent="0.35">
      <c r="A1842" t="s">
        <v>1866</v>
      </c>
      <c r="B1842" t="s">
        <v>7</v>
      </c>
      <c r="C1842" t="s">
        <v>38</v>
      </c>
      <c r="D1842">
        <v>439.02</v>
      </c>
      <c r="E1842" t="s">
        <v>22</v>
      </c>
      <c r="F1842">
        <v>3029.7</v>
      </c>
      <c r="G1842">
        <f t="shared" si="30"/>
        <v>1330098.8939999999</v>
      </c>
      <c r="H1842" t="str">
        <f>IF(BOQ_Table[[#This Row],[Amount]]&gt;100000,"Over Budget","OK")</f>
        <v>Over Budget</v>
      </c>
      <c r="I1842" t="str">
        <f>IF(OR(BOQ_Table[[#This Row],[Quantity]]="",BOQ_Table[[#This Row],[Rate]]=""),"Missing","OK")</f>
        <v>OK</v>
      </c>
    </row>
    <row r="1843" spans="1:9" x14ac:dyDescent="0.35">
      <c r="A1843" t="s">
        <v>1867</v>
      </c>
      <c r="B1843" t="s">
        <v>30</v>
      </c>
      <c r="C1843" t="s">
        <v>12</v>
      </c>
      <c r="D1843">
        <v>392.99</v>
      </c>
      <c r="E1843" t="s">
        <v>27</v>
      </c>
      <c r="F1843">
        <v>1139.75</v>
      </c>
      <c r="G1843">
        <f t="shared" si="30"/>
        <v>447910.35250000004</v>
      </c>
      <c r="H1843" t="str">
        <f>IF(BOQ_Table[[#This Row],[Amount]]&gt;100000,"Over Budget","OK")</f>
        <v>Over Budget</v>
      </c>
      <c r="I1843" t="str">
        <f>IF(OR(BOQ_Table[[#This Row],[Quantity]]="",BOQ_Table[[#This Row],[Rate]]=""),"Missing","OK")</f>
        <v>OK</v>
      </c>
    </row>
    <row r="1844" spans="1:9" x14ac:dyDescent="0.35">
      <c r="A1844" t="s">
        <v>1868</v>
      </c>
      <c r="B1844" t="s">
        <v>16</v>
      </c>
      <c r="C1844" t="s">
        <v>38</v>
      </c>
      <c r="D1844">
        <v>380.07</v>
      </c>
      <c r="E1844" t="s">
        <v>14</v>
      </c>
      <c r="F1844">
        <v>1748.52</v>
      </c>
      <c r="G1844">
        <f t="shared" si="30"/>
        <v>664559.99639999995</v>
      </c>
      <c r="H1844" t="str">
        <f>IF(BOQ_Table[[#This Row],[Amount]]&gt;100000,"Over Budget","OK")</f>
        <v>Over Budget</v>
      </c>
      <c r="I1844" t="str">
        <f>IF(OR(BOQ_Table[[#This Row],[Quantity]]="",BOQ_Table[[#This Row],[Rate]]=""),"Missing","OK")</f>
        <v>OK</v>
      </c>
    </row>
    <row r="1845" spans="1:9" x14ac:dyDescent="0.35">
      <c r="A1845" t="s">
        <v>1869</v>
      </c>
      <c r="B1845" t="s">
        <v>46</v>
      </c>
      <c r="C1845" t="s">
        <v>17</v>
      </c>
      <c r="D1845">
        <v>337.09</v>
      </c>
      <c r="E1845" t="s">
        <v>14</v>
      </c>
      <c r="F1845">
        <v>1770.61</v>
      </c>
      <c r="G1845">
        <f t="shared" si="30"/>
        <v>596854.92489999987</v>
      </c>
      <c r="H1845" t="str">
        <f>IF(BOQ_Table[[#This Row],[Amount]]&gt;100000,"Over Budget","OK")</f>
        <v>Over Budget</v>
      </c>
      <c r="I1845" t="str">
        <f>IF(OR(BOQ_Table[[#This Row],[Quantity]]="",BOQ_Table[[#This Row],[Rate]]=""),"Missing","OK")</f>
        <v>OK</v>
      </c>
    </row>
    <row r="1846" spans="1:9" x14ac:dyDescent="0.35">
      <c r="A1846" t="s">
        <v>1870</v>
      </c>
      <c r="B1846" t="s">
        <v>32</v>
      </c>
      <c r="C1846" t="s">
        <v>17</v>
      </c>
      <c r="D1846">
        <v>190.67</v>
      </c>
      <c r="E1846" t="s">
        <v>14</v>
      </c>
      <c r="F1846">
        <v>348.33</v>
      </c>
      <c r="G1846">
        <f t="shared" si="30"/>
        <v>66416.081099999996</v>
      </c>
      <c r="H1846" t="str">
        <f>IF(BOQ_Table[[#This Row],[Amount]]&gt;100000,"Over Budget","OK")</f>
        <v>OK</v>
      </c>
      <c r="I1846" t="str">
        <f>IF(OR(BOQ_Table[[#This Row],[Quantity]]="",BOQ_Table[[#This Row],[Rate]]=""),"Missing","OK")</f>
        <v>OK</v>
      </c>
    </row>
    <row r="1847" spans="1:9" x14ac:dyDescent="0.35">
      <c r="A1847" t="s">
        <v>1871</v>
      </c>
      <c r="B1847" t="s">
        <v>32</v>
      </c>
      <c r="C1847" t="s">
        <v>38</v>
      </c>
      <c r="D1847">
        <v>451.46</v>
      </c>
      <c r="E1847" t="s">
        <v>27</v>
      </c>
      <c r="F1847">
        <v>4947.49</v>
      </c>
      <c r="G1847">
        <f t="shared" si="30"/>
        <v>2233593.8353999997</v>
      </c>
      <c r="H1847" t="str">
        <f>IF(BOQ_Table[[#This Row],[Amount]]&gt;100000,"Over Budget","OK")</f>
        <v>Over Budget</v>
      </c>
      <c r="I1847" t="str">
        <f>IF(OR(BOQ_Table[[#This Row],[Quantity]]="",BOQ_Table[[#This Row],[Rate]]=""),"Missing","OK")</f>
        <v>OK</v>
      </c>
    </row>
    <row r="1848" spans="1:9" x14ac:dyDescent="0.35">
      <c r="A1848" t="s">
        <v>1872</v>
      </c>
      <c r="B1848" t="s">
        <v>30</v>
      </c>
      <c r="C1848" t="s">
        <v>38</v>
      </c>
      <c r="D1848">
        <v>228.27</v>
      </c>
      <c r="E1848" t="s">
        <v>18</v>
      </c>
      <c r="F1848">
        <v>278.64</v>
      </c>
      <c r="G1848">
        <f t="shared" si="30"/>
        <v>63605.152799999996</v>
      </c>
      <c r="H1848" t="str">
        <f>IF(BOQ_Table[[#This Row],[Amount]]&gt;100000,"Over Budget","OK")</f>
        <v>OK</v>
      </c>
      <c r="I1848" t="str">
        <f>IF(OR(BOQ_Table[[#This Row],[Quantity]]="",BOQ_Table[[#This Row],[Rate]]=""),"Missing","OK")</f>
        <v>OK</v>
      </c>
    </row>
    <row r="1849" spans="1:9" x14ac:dyDescent="0.35">
      <c r="A1849" t="s">
        <v>1873</v>
      </c>
      <c r="B1849" t="s">
        <v>16</v>
      </c>
      <c r="C1849" t="s">
        <v>12</v>
      </c>
      <c r="D1849">
        <v>330.08</v>
      </c>
      <c r="E1849" t="s">
        <v>9</v>
      </c>
      <c r="F1849">
        <v>3423.4</v>
      </c>
      <c r="G1849">
        <f t="shared" si="30"/>
        <v>1129995.872</v>
      </c>
      <c r="H1849" t="str">
        <f>IF(BOQ_Table[[#This Row],[Amount]]&gt;100000,"Over Budget","OK")</f>
        <v>Over Budget</v>
      </c>
      <c r="I1849" t="str">
        <f>IF(OR(BOQ_Table[[#This Row],[Quantity]]="",BOQ_Table[[#This Row],[Rate]]=""),"Missing","OK")</f>
        <v>OK</v>
      </c>
    </row>
    <row r="1850" spans="1:9" x14ac:dyDescent="0.35">
      <c r="A1850" t="s">
        <v>1874</v>
      </c>
      <c r="B1850" t="s">
        <v>11</v>
      </c>
      <c r="C1850" t="s">
        <v>17</v>
      </c>
      <c r="D1850">
        <v>453.37</v>
      </c>
      <c r="E1850" t="s">
        <v>27</v>
      </c>
      <c r="F1850">
        <v>229.15</v>
      </c>
      <c r="G1850">
        <f t="shared" si="30"/>
        <v>103889.73550000001</v>
      </c>
      <c r="H1850" t="str">
        <f>IF(BOQ_Table[[#This Row],[Amount]]&gt;100000,"Over Budget","OK")</f>
        <v>Over Budget</v>
      </c>
      <c r="I1850" t="str">
        <f>IF(OR(BOQ_Table[[#This Row],[Quantity]]="",BOQ_Table[[#This Row],[Rate]]=""),"Missing","OK")</f>
        <v>OK</v>
      </c>
    </row>
    <row r="1851" spans="1:9" x14ac:dyDescent="0.35">
      <c r="A1851" t="s">
        <v>1875</v>
      </c>
      <c r="B1851" t="s">
        <v>42</v>
      </c>
      <c r="C1851" t="s">
        <v>12</v>
      </c>
      <c r="D1851">
        <v>21.12</v>
      </c>
      <c r="E1851" t="s">
        <v>14</v>
      </c>
      <c r="F1851">
        <v>3611.02</v>
      </c>
      <c r="G1851">
        <f t="shared" si="30"/>
        <v>76264.742400000003</v>
      </c>
      <c r="H1851" t="str">
        <f>IF(BOQ_Table[[#This Row],[Amount]]&gt;100000,"Over Budget","OK")</f>
        <v>OK</v>
      </c>
      <c r="I1851" t="str">
        <f>IF(OR(BOQ_Table[[#This Row],[Quantity]]="",BOQ_Table[[#This Row],[Rate]]=""),"Missing","OK")</f>
        <v>OK</v>
      </c>
    </row>
    <row r="1852" spans="1:9" x14ac:dyDescent="0.35">
      <c r="A1852" t="s">
        <v>1876</v>
      </c>
      <c r="B1852" t="s">
        <v>42</v>
      </c>
      <c r="C1852" t="s">
        <v>12</v>
      </c>
      <c r="D1852">
        <v>431.72</v>
      </c>
      <c r="E1852" t="s">
        <v>18</v>
      </c>
      <c r="F1852">
        <v>1889.05</v>
      </c>
      <c r="G1852">
        <f t="shared" si="30"/>
        <v>815540.66600000008</v>
      </c>
      <c r="H1852" t="str">
        <f>IF(BOQ_Table[[#This Row],[Amount]]&gt;100000,"Over Budget","OK")</f>
        <v>Over Budget</v>
      </c>
      <c r="I1852" t="str">
        <f>IF(OR(BOQ_Table[[#This Row],[Quantity]]="",BOQ_Table[[#This Row],[Rate]]=""),"Missing","OK")</f>
        <v>OK</v>
      </c>
    </row>
    <row r="1853" spans="1:9" x14ac:dyDescent="0.35">
      <c r="A1853" t="s">
        <v>1877</v>
      </c>
      <c r="B1853" t="s">
        <v>40</v>
      </c>
      <c r="C1853" t="s">
        <v>38</v>
      </c>
      <c r="D1853">
        <v>495.23</v>
      </c>
      <c r="E1853" t="s">
        <v>18</v>
      </c>
      <c r="F1853">
        <v>3029.11</v>
      </c>
      <c r="G1853">
        <f t="shared" si="30"/>
        <v>1500106.1453000002</v>
      </c>
      <c r="H1853" t="str">
        <f>IF(BOQ_Table[[#This Row],[Amount]]&gt;100000,"Over Budget","OK")</f>
        <v>Over Budget</v>
      </c>
      <c r="I1853" t="str">
        <f>IF(OR(BOQ_Table[[#This Row],[Quantity]]="",BOQ_Table[[#This Row],[Rate]]=""),"Missing","OK")</f>
        <v>OK</v>
      </c>
    </row>
    <row r="1854" spans="1:9" x14ac:dyDescent="0.35">
      <c r="A1854" t="s">
        <v>1878</v>
      </c>
      <c r="B1854" t="s">
        <v>11</v>
      </c>
      <c r="C1854" t="s">
        <v>38</v>
      </c>
      <c r="D1854">
        <v>454.67</v>
      </c>
      <c r="E1854" t="s">
        <v>14</v>
      </c>
      <c r="F1854">
        <v>1578.24</v>
      </c>
      <c r="G1854">
        <f t="shared" si="30"/>
        <v>717578.38080000004</v>
      </c>
      <c r="H1854" t="str">
        <f>IF(BOQ_Table[[#This Row],[Amount]]&gt;100000,"Over Budget","OK")</f>
        <v>Over Budget</v>
      </c>
      <c r="I1854" t="str">
        <f>IF(OR(BOQ_Table[[#This Row],[Quantity]]="",BOQ_Table[[#This Row],[Rate]]=""),"Missing","OK")</f>
        <v>OK</v>
      </c>
    </row>
    <row r="1855" spans="1:9" x14ac:dyDescent="0.35">
      <c r="A1855" t="s">
        <v>1879</v>
      </c>
      <c r="B1855" t="s">
        <v>56</v>
      </c>
      <c r="C1855" t="s">
        <v>21</v>
      </c>
      <c r="D1855">
        <v>49.09</v>
      </c>
      <c r="E1855" t="s">
        <v>18</v>
      </c>
      <c r="F1855">
        <v>3717.33</v>
      </c>
      <c r="G1855">
        <f t="shared" si="30"/>
        <v>182483.7297</v>
      </c>
      <c r="H1855" t="str">
        <f>IF(BOQ_Table[[#This Row],[Amount]]&gt;100000,"Over Budget","OK")</f>
        <v>Over Budget</v>
      </c>
      <c r="I1855" t="str">
        <f>IF(OR(BOQ_Table[[#This Row],[Quantity]]="",BOQ_Table[[#This Row],[Rate]]=""),"Missing","OK")</f>
        <v>OK</v>
      </c>
    </row>
    <row r="1856" spans="1:9" x14ac:dyDescent="0.35">
      <c r="A1856" t="s">
        <v>1880</v>
      </c>
      <c r="B1856" t="s">
        <v>32</v>
      </c>
      <c r="C1856" t="s">
        <v>17</v>
      </c>
      <c r="D1856">
        <v>405.64</v>
      </c>
      <c r="E1856" t="s">
        <v>18</v>
      </c>
      <c r="F1856">
        <v>1721.6</v>
      </c>
      <c r="G1856">
        <f t="shared" si="30"/>
        <v>698349.82399999991</v>
      </c>
      <c r="H1856" t="str">
        <f>IF(BOQ_Table[[#This Row],[Amount]]&gt;100000,"Over Budget","OK")</f>
        <v>Over Budget</v>
      </c>
      <c r="I1856" t="str">
        <f>IF(OR(BOQ_Table[[#This Row],[Quantity]]="",BOQ_Table[[#This Row],[Rate]]=""),"Missing","OK")</f>
        <v>OK</v>
      </c>
    </row>
    <row r="1857" spans="1:9" x14ac:dyDescent="0.35">
      <c r="A1857" t="s">
        <v>1881</v>
      </c>
      <c r="B1857" t="s">
        <v>56</v>
      </c>
      <c r="C1857" t="s">
        <v>8</v>
      </c>
      <c r="D1857">
        <v>389.75</v>
      </c>
      <c r="E1857" t="s">
        <v>27</v>
      </c>
      <c r="F1857">
        <v>4176.9399999999996</v>
      </c>
      <c r="G1857">
        <f t="shared" si="30"/>
        <v>1627962.3649999998</v>
      </c>
      <c r="H1857" t="str">
        <f>IF(BOQ_Table[[#This Row],[Amount]]&gt;100000,"Over Budget","OK")</f>
        <v>Over Budget</v>
      </c>
      <c r="I1857" t="str">
        <f>IF(OR(BOQ_Table[[#This Row],[Quantity]]="",BOQ_Table[[#This Row],[Rate]]=""),"Missing","OK")</f>
        <v>OK</v>
      </c>
    </row>
    <row r="1858" spans="1:9" x14ac:dyDescent="0.35">
      <c r="A1858" t="s">
        <v>1882</v>
      </c>
      <c r="B1858" t="s">
        <v>30</v>
      </c>
      <c r="C1858" t="s">
        <v>12</v>
      </c>
      <c r="D1858">
        <v>276.42</v>
      </c>
      <c r="E1858" t="s">
        <v>14</v>
      </c>
      <c r="F1858">
        <v>1025.57</v>
      </c>
      <c r="G1858">
        <f t="shared" ref="G1858:G1921" si="31">D1858*F1858</f>
        <v>283488.05940000003</v>
      </c>
      <c r="H1858" t="str">
        <f>IF(BOQ_Table[[#This Row],[Amount]]&gt;100000,"Over Budget","OK")</f>
        <v>Over Budget</v>
      </c>
      <c r="I1858" t="str">
        <f>IF(OR(BOQ_Table[[#This Row],[Quantity]]="",BOQ_Table[[#This Row],[Rate]]=""),"Missing","OK")</f>
        <v>OK</v>
      </c>
    </row>
    <row r="1859" spans="1:9" x14ac:dyDescent="0.35">
      <c r="A1859" t="s">
        <v>1883</v>
      </c>
      <c r="B1859" t="s">
        <v>7</v>
      </c>
      <c r="C1859" t="s">
        <v>38</v>
      </c>
      <c r="D1859">
        <v>390.17</v>
      </c>
      <c r="E1859" t="s">
        <v>14</v>
      </c>
      <c r="F1859">
        <v>3414.46</v>
      </c>
      <c r="G1859">
        <f t="shared" si="31"/>
        <v>1332219.8582000001</v>
      </c>
      <c r="H1859" t="str">
        <f>IF(BOQ_Table[[#This Row],[Amount]]&gt;100000,"Over Budget","OK")</f>
        <v>Over Budget</v>
      </c>
      <c r="I1859" t="str">
        <f>IF(OR(BOQ_Table[[#This Row],[Quantity]]="",BOQ_Table[[#This Row],[Rate]]=""),"Missing","OK")</f>
        <v>OK</v>
      </c>
    </row>
    <row r="1860" spans="1:9" x14ac:dyDescent="0.35">
      <c r="A1860" t="s">
        <v>1884</v>
      </c>
      <c r="B1860" t="s">
        <v>20</v>
      </c>
      <c r="C1860" t="s">
        <v>8</v>
      </c>
      <c r="D1860">
        <v>132.66</v>
      </c>
      <c r="E1860" t="s">
        <v>27</v>
      </c>
      <c r="F1860">
        <v>3882.43</v>
      </c>
      <c r="G1860">
        <f t="shared" si="31"/>
        <v>515043.16379999998</v>
      </c>
      <c r="H1860" t="str">
        <f>IF(BOQ_Table[[#This Row],[Amount]]&gt;100000,"Over Budget","OK")</f>
        <v>Over Budget</v>
      </c>
      <c r="I1860" t="str">
        <f>IF(OR(BOQ_Table[[#This Row],[Quantity]]="",BOQ_Table[[#This Row],[Rate]]=""),"Missing","OK")</f>
        <v>OK</v>
      </c>
    </row>
    <row r="1861" spans="1:9" x14ac:dyDescent="0.35">
      <c r="A1861" t="s">
        <v>1885</v>
      </c>
      <c r="B1861" t="s">
        <v>16</v>
      </c>
      <c r="C1861" t="s">
        <v>38</v>
      </c>
      <c r="D1861">
        <v>277.19</v>
      </c>
      <c r="E1861" t="s">
        <v>14</v>
      </c>
      <c r="F1861">
        <v>4354.97</v>
      </c>
      <c r="G1861">
        <f t="shared" si="31"/>
        <v>1207154.1343</v>
      </c>
      <c r="H1861" t="str">
        <f>IF(BOQ_Table[[#This Row],[Amount]]&gt;100000,"Over Budget","OK")</f>
        <v>Over Budget</v>
      </c>
      <c r="I1861" t="str">
        <f>IF(OR(BOQ_Table[[#This Row],[Quantity]]="",BOQ_Table[[#This Row],[Rate]]=""),"Missing","OK")</f>
        <v>OK</v>
      </c>
    </row>
    <row r="1862" spans="1:9" x14ac:dyDescent="0.35">
      <c r="A1862" t="s">
        <v>1886</v>
      </c>
      <c r="B1862" t="s">
        <v>16</v>
      </c>
      <c r="C1862" t="s">
        <v>21</v>
      </c>
      <c r="D1862">
        <v>494.04</v>
      </c>
      <c r="E1862" t="s">
        <v>14</v>
      </c>
      <c r="F1862">
        <v>4048.7</v>
      </c>
      <c r="G1862">
        <f t="shared" si="31"/>
        <v>2000219.7479999999</v>
      </c>
      <c r="H1862" t="str">
        <f>IF(BOQ_Table[[#This Row],[Amount]]&gt;100000,"Over Budget","OK")</f>
        <v>Over Budget</v>
      </c>
      <c r="I1862" t="str">
        <f>IF(OR(BOQ_Table[[#This Row],[Quantity]]="",BOQ_Table[[#This Row],[Rate]]=""),"Missing","OK")</f>
        <v>OK</v>
      </c>
    </row>
    <row r="1863" spans="1:9" x14ac:dyDescent="0.35">
      <c r="A1863" t="s">
        <v>1887</v>
      </c>
      <c r="B1863" t="s">
        <v>42</v>
      </c>
      <c r="C1863" t="s">
        <v>17</v>
      </c>
      <c r="D1863">
        <v>221.74</v>
      </c>
      <c r="E1863" t="s">
        <v>14</v>
      </c>
      <c r="F1863">
        <v>3516.38</v>
      </c>
      <c r="G1863">
        <f t="shared" si="31"/>
        <v>779722.10120000003</v>
      </c>
      <c r="H1863" t="str">
        <f>IF(BOQ_Table[[#This Row],[Amount]]&gt;100000,"Over Budget","OK")</f>
        <v>Over Budget</v>
      </c>
      <c r="I1863" t="str">
        <f>IF(OR(BOQ_Table[[#This Row],[Quantity]]="",BOQ_Table[[#This Row],[Rate]]=""),"Missing","OK")</f>
        <v>OK</v>
      </c>
    </row>
    <row r="1864" spans="1:9" x14ac:dyDescent="0.35">
      <c r="A1864" t="s">
        <v>1888</v>
      </c>
      <c r="B1864" t="s">
        <v>40</v>
      </c>
      <c r="C1864" t="s">
        <v>12</v>
      </c>
      <c r="D1864">
        <v>105.74</v>
      </c>
      <c r="E1864" t="s">
        <v>27</v>
      </c>
      <c r="F1864">
        <v>1642.36</v>
      </c>
      <c r="G1864">
        <f t="shared" si="31"/>
        <v>173663.14639999997</v>
      </c>
      <c r="H1864" t="str">
        <f>IF(BOQ_Table[[#This Row],[Amount]]&gt;100000,"Over Budget","OK")</f>
        <v>Over Budget</v>
      </c>
      <c r="I1864" t="str">
        <f>IF(OR(BOQ_Table[[#This Row],[Quantity]]="",BOQ_Table[[#This Row],[Rate]]=""),"Missing","OK")</f>
        <v>OK</v>
      </c>
    </row>
    <row r="1865" spans="1:9" x14ac:dyDescent="0.35">
      <c r="A1865" t="s">
        <v>1889</v>
      </c>
      <c r="B1865" t="s">
        <v>16</v>
      </c>
      <c r="C1865" t="s">
        <v>8</v>
      </c>
      <c r="D1865">
        <v>2.2000000000000002</v>
      </c>
      <c r="E1865" t="s">
        <v>9</v>
      </c>
      <c r="F1865">
        <v>4046.54</v>
      </c>
      <c r="G1865">
        <f t="shared" si="31"/>
        <v>8902.3880000000008</v>
      </c>
      <c r="H1865" t="str">
        <f>IF(BOQ_Table[[#This Row],[Amount]]&gt;100000,"Over Budget","OK")</f>
        <v>OK</v>
      </c>
      <c r="I1865" t="str">
        <f>IF(OR(BOQ_Table[[#This Row],[Quantity]]="",BOQ_Table[[#This Row],[Rate]]=""),"Missing","OK")</f>
        <v>OK</v>
      </c>
    </row>
    <row r="1866" spans="1:9" x14ac:dyDescent="0.35">
      <c r="A1866" t="s">
        <v>1890</v>
      </c>
      <c r="B1866" t="s">
        <v>46</v>
      </c>
      <c r="C1866" t="s">
        <v>12</v>
      </c>
      <c r="D1866">
        <v>448.62</v>
      </c>
      <c r="E1866" t="s">
        <v>27</v>
      </c>
      <c r="F1866">
        <v>330.02</v>
      </c>
      <c r="G1866">
        <f t="shared" si="31"/>
        <v>148053.5724</v>
      </c>
      <c r="H1866" t="str">
        <f>IF(BOQ_Table[[#This Row],[Amount]]&gt;100000,"Over Budget","OK")</f>
        <v>Over Budget</v>
      </c>
      <c r="I1866" t="str">
        <f>IF(OR(BOQ_Table[[#This Row],[Quantity]]="",BOQ_Table[[#This Row],[Rate]]=""),"Missing","OK")</f>
        <v>OK</v>
      </c>
    </row>
    <row r="1867" spans="1:9" x14ac:dyDescent="0.35">
      <c r="A1867" t="s">
        <v>1891</v>
      </c>
      <c r="B1867" t="s">
        <v>16</v>
      </c>
      <c r="C1867" t="s">
        <v>17</v>
      </c>
      <c r="D1867">
        <v>120.18</v>
      </c>
      <c r="E1867" t="s">
        <v>18</v>
      </c>
      <c r="F1867">
        <v>87.84</v>
      </c>
      <c r="G1867">
        <f t="shared" si="31"/>
        <v>10556.611200000001</v>
      </c>
      <c r="H1867" t="str">
        <f>IF(BOQ_Table[[#This Row],[Amount]]&gt;100000,"Over Budget","OK")</f>
        <v>OK</v>
      </c>
      <c r="I1867" t="str">
        <f>IF(OR(BOQ_Table[[#This Row],[Quantity]]="",BOQ_Table[[#This Row],[Rate]]=""),"Missing","OK")</f>
        <v>OK</v>
      </c>
    </row>
    <row r="1868" spans="1:9" x14ac:dyDescent="0.35">
      <c r="A1868" t="s">
        <v>1892</v>
      </c>
      <c r="B1868" t="s">
        <v>42</v>
      </c>
      <c r="C1868" t="s">
        <v>8</v>
      </c>
      <c r="D1868">
        <v>358.97</v>
      </c>
      <c r="E1868" t="s">
        <v>18</v>
      </c>
      <c r="F1868">
        <v>1261.7</v>
      </c>
      <c r="G1868">
        <f t="shared" si="31"/>
        <v>452912.44900000002</v>
      </c>
      <c r="H1868" t="str">
        <f>IF(BOQ_Table[[#This Row],[Amount]]&gt;100000,"Over Budget","OK")</f>
        <v>Over Budget</v>
      </c>
      <c r="I1868" t="str">
        <f>IF(OR(BOQ_Table[[#This Row],[Quantity]]="",BOQ_Table[[#This Row],[Rate]]=""),"Missing","OK")</f>
        <v>OK</v>
      </c>
    </row>
    <row r="1869" spans="1:9" x14ac:dyDescent="0.35">
      <c r="A1869" t="s">
        <v>1893</v>
      </c>
      <c r="B1869" t="s">
        <v>32</v>
      </c>
      <c r="C1869" t="s">
        <v>21</v>
      </c>
      <c r="D1869">
        <v>73.7</v>
      </c>
      <c r="E1869" t="s">
        <v>27</v>
      </c>
      <c r="F1869">
        <v>3390.73</v>
      </c>
      <c r="G1869">
        <f t="shared" si="31"/>
        <v>249896.80100000001</v>
      </c>
      <c r="H1869" t="str">
        <f>IF(BOQ_Table[[#This Row],[Amount]]&gt;100000,"Over Budget","OK")</f>
        <v>Over Budget</v>
      </c>
      <c r="I1869" t="str">
        <f>IF(OR(BOQ_Table[[#This Row],[Quantity]]="",BOQ_Table[[#This Row],[Rate]]=""),"Missing","OK")</f>
        <v>OK</v>
      </c>
    </row>
    <row r="1870" spans="1:9" x14ac:dyDescent="0.35">
      <c r="A1870" t="s">
        <v>1894</v>
      </c>
      <c r="B1870" t="s">
        <v>40</v>
      </c>
      <c r="C1870" t="s">
        <v>8</v>
      </c>
      <c r="D1870">
        <v>233.9</v>
      </c>
      <c r="E1870" t="s">
        <v>27</v>
      </c>
      <c r="F1870">
        <v>3610.26</v>
      </c>
      <c r="G1870">
        <f t="shared" si="31"/>
        <v>844439.81400000013</v>
      </c>
      <c r="H1870" t="str">
        <f>IF(BOQ_Table[[#This Row],[Amount]]&gt;100000,"Over Budget","OK")</f>
        <v>Over Budget</v>
      </c>
      <c r="I1870" t="str">
        <f>IF(OR(BOQ_Table[[#This Row],[Quantity]]="",BOQ_Table[[#This Row],[Rate]]=""),"Missing","OK")</f>
        <v>OK</v>
      </c>
    </row>
    <row r="1871" spans="1:9" x14ac:dyDescent="0.35">
      <c r="A1871" t="s">
        <v>1895</v>
      </c>
      <c r="B1871" t="s">
        <v>20</v>
      </c>
      <c r="C1871" t="s">
        <v>38</v>
      </c>
      <c r="D1871">
        <v>362.29</v>
      </c>
      <c r="E1871" t="s">
        <v>27</v>
      </c>
      <c r="F1871">
        <v>3782.72</v>
      </c>
      <c r="G1871">
        <f t="shared" si="31"/>
        <v>1370441.6288000001</v>
      </c>
      <c r="H1871" t="str">
        <f>IF(BOQ_Table[[#This Row],[Amount]]&gt;100000,"Over Budget","OK")</f>
        <v>Over Budget</v>
      </c>
      <c r="I1871" t="str">
        <f>IF(OR(BOQ_Table[[#This Row],[Quantity]]="",BOQ_Table[[#This Row],[Rate]]=""),"Missing","OK")</f>
        <v>OK</v>
      </c>
    </row>
    <row r="1872" spans="1:9" x14ac:dyDescent="0.35">
      <c r="A1872" t="s">
        <v>1896</v>
      </c>
      <c r="B1872" t="s">
        <v>7</v>
      </c>
      <c r="C1872" t="s">
        <v>17</v>
      </c>
      <c r="D1872">
        <v>153.38</v>
      </c>
      <c r="E1872" t="s">
        <v>27</v>
      </c>
      <c r="F1872">
        <v>4291.4399999999996</v>
      </c>
      <c r="G1872">
        <f t="shared" si="31"/>
        <v>658221.06719999993</v>
      </c>
      <c r="H1872" t="str">
        <f>IF(BOQ_Table[[#This Row],[Amount]]&gt;100000,"Over Budget","OK")</f>
        <v>Over Budget</v>
      </c>
      <c r="I1872" t="str">
        <f>IF(OR(BOQ_Table[[#This Row],[Quantity]]="",BOQ_Table[[#This Row],[Rate]]=""),"Missing","OK")</f>
        <v>OK</v>
      </c>
    </row>
    <row r="1873" spans="1:9" x14ac:dyDescent="0.35">
      <c r="A1873" t="s">
        <v>1897</v>
      </c>
      <c r="B1873" t="s">
        <v>32</v>
      </c>
      <c r="C1873" t="s">
        <v>8</v>
      </c>
      <c r="D1873">
        <v>497.95</v>
      </c>
      <c r="E1873" t="s">
        <v>9</v>
      </c>
      <c r="F1873">
        <v>3482.68</v>
      </c>
      <c r="G1873">
        <f t="shared" si="31"/>
        <v>1734200.5059999998</v>
      </c>
      <c r="H1873" t="str">
        <f>IF(BOQ_Table[[#This Row],[Amount]]&gt;100000,"Over Budget","OK")</f>
        <v>Over Budget</v>
      </c>
      <c r="I1873" t="str">
        <f>IF(OR(BOQ_Table[[#This Row],[Quantity]]="",BOQ_Table[[#This Row],[Rate]]=""),"Missing","OK")</f>
        <v>OK</v>
      </c>
    </row>
    <row r="1874" spans="1:9" x14ac:dyDescent="0.35">
      <c r="A1874" t="s">
        <v>1898</v>
      </c>
      <c r="B1874" t="s">
        <v>56</v>
      </c>
      <c r="C1874" t="s">
        <v>12</v>
      </c>
      <c r="D1874">
        <v>221.69</v>
      </c>
      <c r="E1874" t="s">
        <v>9</v>
      </c>
      <c r="F1874">
        <v>4397.8</v>
      </c>
      <c r="G1874">
        <f t="shared" si="31"/>
        <v>974948.28200000001</v>
      </c>
      <c r="H1874" t="str">
        <f>IF(BOQ_Table[[#This Row],[Amount]]&gt;100000,"Over Budget","OK")</f>
        <v>Over Budget</v>
      </c>
      <c r="I1874" t="str">
        <f>IF(OR(BOQ_Table[[#This Row],[Quantity]]="",BOQ_Table[[#This Row],[Rate]]=""),"Missing","OK")</f>
        <v>OK</v>
      </c>
    </row>
    <row r="1875" spans="1:9" x14ac:dyDescent="0.35">
      <c r="A1875" t="s">
        <v>1899</v>
      </c>
      <c r="B1875" t="s">
        <v>20</v>
      </c>
      <c r="C1875" t="s">
        <v>38</v>
      </c>
      <c r="D1875">
        <v>133.61000000000001</v>
      </c>
      <c r="E1875" t="s">
        <v>27</v>
      </c>
      <c r="F1875">
        <v>2900.63</v>
      </c>
      <c r="G1875">
        <f t="shared" si="31"/>
        <v>387553.17430000007</v>
      </c>
      <c r="H1875" t="str">
        <f>IF(BOQ_Table[[#This Row],[Amount]]&gt;100000,"Over Budget","OK")</f>
        <v>Over Budget</v>
      </c>
      <c r="I1875" t="str">
        <f>IF(OR(BOQ_Table[[#This Row],[Quantity]]="",BOQ_Table[[#This Row],[Rate]]=""),"Missing","OK")</f>
        <v>OK</v>
      </c>
    </row>
    <row r="1876" spans="1:9" x14ac:dyDescent="0.35">
      <c r="A1876" t="s">
        <v>1900</v>
      </c>
      <c r="B1876" t="s">
        <v>56</v>
      </c>
      <c r="C1876" t="s">
        <v>17</v>
      </c>
      <c r="D1876">
        <v>406.34</v>
      </c>
      <c r="E1876" t="s">
        <v>27</v>
      </c>
      <c r="F1876">
        <v>1169.01</v>
      </c>
      <c r="G1876">
        <f t="shared" si="31"/>
        <v>475015.52339999995</v>
      </c>
      <c r="H1876" t="str">
        <f>IF(BOQ_Table[[#This Row],[Amount]]&gt;100000,"Over Budget","OK")</f>
        <v>Over Budget</v>
      </c>
      <c r="I1876" t="str">
        <f>IF(OR(BOQ_Table[[#This Row],[Quantity]]="",BOQ_Table[[#This Row],[Rate]]=""),"Missing","OK")</f>
        <v>OK</v>
      </c>
    </row>
    <row r="1877" spans="1:9" x14ac:dyDescent="0.35">
      <c r="A1877" t="s">
        <v>1901</v>
      </c>
      <c r="B1877" t="s">
        <v>30</v>
      </c>
      <c r="C1877" t="s">
        <v>21</v>
      </c>
      <c r="D1877">
        <v>396.97</v>
      </c>
      <c r="E1877" t="s">
        <v>18</v>
      </c>
      <c r="F1877">
        <v>1061.0899999999999</v>
      </c>
      <c r="G1877">
        <f t="shared" si="31"/>
        <v>421220.89730000001</v>
      </c>
      <c r="H1877" t="str">
        <f>IF(BOQ_Table[[#This Row],[Amount]]&gt;100000,"Over Budget","OK")</f>
        <v>Over Budget</v>
      </c>
      <c r="I1877" t="str">
        <f>IF(OR(BOQ_Table[[#This Row],[Quantity]]="",BOQ_Table[[#This Row],[Rate]]=""),"Missing","OK")</f>
        <v>OK</v>
      </c>
    </row>
    <row r="1878" spans="1:9" x14ac:dyDescent="0.35">
      <c r="A1878" t="s">
        <v>1902</v>
      </c>
      <c r="B1878" t="s">
        <v>11</v>
      </c>
      <c r="C1878" t="s">
        <v>8</v>
      </c>
      <c r="D1878">
        <v>263.5</v>
      </c>
      <c r="E1878" t="s">
        <v>9</v>
      </c>
      <c r="F1878">
        <v>1246.79</v>
      </c>
      <c r="G1878">
        <f t="shared" si="31"/>
        <v>328529.16499999998</v>
      </c>
      <c r="H1878" t="str">
        <f>IF(BOQ_Table[[#This Row],[Amount]]&gt;100000,"Over Budget","OK")</f>
        <v>Over Budget</v>
      </c>
      <c r="I1878" t="str">
        <f>IF(OR(BOQ_Table[[#This Row],[Quantity]]="",BOQ_Table[[#This Row],[Rate]]=""),"Missing","OK")</f>
        <v>OK</v>
      </c>
    </row>
    <row r="1879" spans="1:9" x14ac:dyDescent="0.35">
      <c r="A1879" t="s">
        <v>1903</v>
      </c>
      <c r="B1879" t="s">
        <v>20</v>
      </c>
      <c r="C1879" t="s">
        <v>21</v>
      </c>
      <c r="D1879">
        <v>184.63</v>
      </c>
      <c r="E1879" t="s">
        <v>27</v>
      </c>
      <c r="F1879">
        <v>3896.81</v>
      </c>
      <c r="G1879">
        <f t="shared" si="31"/>
        <v>719468.03029999998</v>
      </c>
      <c r="H1879" t="str">
        <f>IF(BOQ_Table[[#This Row],[Amount]]&gt;100000,"Over Budget","OK")</f>
        <v>Over Budget</v>
      </c>
      <c r="I1879" t="str">
        <f>IF(OR(BOQ_Table[[#This Row],[Quantity]]="",BOQ_Table[[#This Row],[Rate]]=""),"Missing","OK")</f>
        <v>OK</v>
      </c>
    </row>
    <row r="1880" spans="1:9" x14ac:dyDescent="0.35">
      <c r="A1880" t="s">
        <v>1904</v>
      </c>
      <c r="B1880" t="s">
        <v>42</v>
      </c>
      <c r="C1880" t="s">
        <v>38</v>
      </c>
      <c r="D1880">
        <v>156.06</v>
      </c>
      <c r="E1880" t="s">
        <v>22</v>
      </c>
      <c r="F1880">
        <v>1010.98</v>
      </c>
      <c r="G1880">
        <f t="shared" si="31"/>
        <v>157773.53880000001</v>
      </c>
      <c r="H1880" t="str">
        <f>IF(BOQ_Table[[#This Row],[Amount]]&gt;100000,"Over Budget","OK")</f>
        <v>Over Budget</v>
      </c>
      <c r="I1880" t="str">
        <f>IF(OR(BOQ_Table[[#This Row],[Quantity]]="",BOQ_Table[[#This Row],[Rate]]=""),"Missing","OK")</f>
        <v>OK</v>
      </c>
    </row>
    <row r="1881" spans="1:9" x14ac:dyDescent="0.35">
      <c r="A1881" t="s">
        <v>1905</v>
      </c>
      <c r="B1881" t="s">
        <v>42</v>
      </c>
      <c r="C1881" t="s">
        <v>8</v>
      </c>
      <c r="D1881">
        <v>19.98</v>
      </c>
      <c r="E1881" t="s">
        <v>9</v>
      </c>
      <c r="F1881">
        <v>3132.42</v>
      </c>
      <c r="G1881">
        <f t="shared" si="31"/>
        <v>62585.751600000003</v>
      </c>
      <c r="H1881" t="str">
        <f>IF(BOQ_Table[[#This Row],[Amount]]&gt;100000,"Over Budget","OK")</f>
        <v>OK</v>
      </c>
      <c r="I1881" t="str">
        <f>IF(OR(BOQ_Table[[#This Row],[Quantity]]="",BOQ_Table[[#This Row],[Rate]]=""),"Missing","OK")</f>
        <v>OK</v>
      </c>
    </row>
    <row r="1882" spans="1:9" x14ac:dyDescent="0.35">
      <c r="A1882" t="s">
        <v>1906</v>
      </c>
      <c r="B1882" t="s">
        <v>11</v>
      </c>
      <c r="C1882" t="s">
        <v>17</v>
      </c>
      <c r="D1882">
        <v>93.57</v>
      </c>
      <c r="E1882" t="s">
        <v>27</v>
      </c>
      <c r="F1882">
        <v>3202.1</v>
      </c>
      <c r="G1882">
        <f t="shared" si="31"/>
        <v>299620.49699999997</v>
      </c>
      <c r="H1882" t="str">
        <f>IF(BOQ_Table[[#This Row],[Amount]]&gt;100000,"Over Budget","OK")</f>
        <v>Over Budget</v>
      </c>
      <c r="I1882" t="str">
        <f>IF(OR(BOQ_Table[[#This Row],[Quantity]]="",BOQ_Table[[#This Row],[Rate]]=""),"Missing","OK")</f>
        <v>OK</v>
      </c>
    </row>
    <row r="1883" spans="1:9" x14ac:dyDescent="0.35">
      <c r="A1883" t="s">
        <v>1907</v>
      </c>
      <c r="B1883" t="s">
        <v>20</v>
      </c>
      <c r="C1883" t="s">
        <v>38</v>
      </c>
      <c r="D1883">
        <v>52.96</v>
      </c>
      <c r="E1883" t="s">
        <v>22</v>
      </c>
      <c r="F1883">
        <v>4269.0200000000004</v>
      </c>
      <c r="G1883">
        <f t="shared" si="31"/>
        <v>226087.29920000004</v>
      </c>
      <c r="H1883" t="str">
        <f>IF(BOQ_Table[[#This Row],[Amount]]&gt;100000,"Over Budget","OK")</f>
        <v>Over Budget</v>
      </c>
      <c r="I1883" t="str">
        <f>IF(OR(BOQ_Table[[#This Row],[Quantity]]="",BOQ_Table[[#This Row],[Rate]]=""),"Missing","OK")</f>
        <v>OK</v>
      </c>
    </row>
    <row r="1884" spans="1:9" x14ac:dyDescent="0.35">
      <c r="A1884" t="s">
        <v>1908</v>
      </c>
      <c r="B1884" t="s">
        <v>7</v>
      </c>
      <c r="C1884" t="s">
        <v>12</v>
      </c>
      <c r="D1884">
        <v>234.03</v>
      </c>
      <c r="E1884" t="s">
        <v>9</v>
      </c>
      <c r="F1884">
        <v>1592.2</v>
      </c>
      <c r="G1884">
        <f t="shared" si="31"/>
        <v>372622.56599999999</v>
      </c>
      <c r="H1884" t="str">
        <f>IF(BOQ_Table[[#This Row],[Amount]]&gt;100000,"Over Budget","OK")</f>
        <v>Over Budget</v>
      </c>
      <c r="I1884" t="str">
        <f>IF(OR(BOQ_Table[[#This Row],[Quantity]]="",BOQ_Table[[#This Row],[Rate]]=""),"Missing","OK")</f>
        <v>OK</v>
      </c>
    </row>
    <row r="1885" spans="1:9" x14ac:dyDescent="0.35">
      <c r="A1885" t="s">
        <v>1909</v>
      </c>
      <c r="B1885" t="s">
        <v>11</v>
      </c>
      <c r="C1885" t="s">
        <v>38</v>
      </c>
      <c r="D1885">
        <v>102.63</v>
      </c>
      <c r="E1885" t="s">
        <v>18</v>
      </c>
      <c r="F1885">
        <v>1033.8</v>
      </c>
      <c r="G1885">
        <f t="shared" si="31"/>
        <v>106098.89399999999</v>
      </c>
      <c r="H1885" t="str">
        <f>IF(BOQ_Table[[#This Row],[Amount]]&gt;100000,"Over Budget","OK")</f>
        <v>Over Budget</v>
      </c>
      <c r="I1885" t="str">
        <f>IF(OR(BOQ_Table[[#This Row],[Quantity]]="",BOQ_Table[[#This Row],[Rate]]=""),"Missing","OK")</f>
        <v>OK</v>
      </c>
    </row>
    <row r="1886" spans="1:9" x14ac:dyDescent="0.35">
      <c r="A1886" t="s">
        <v>1910</v>
      </c>
      <c r="B1886" t="s">
        <v>46</v>
      </c>
      <c r="C1886" t="s">
        <v>8</v>
      </c>
      <c r="D1886">
        <v>349.31</v>
      </c>
      <c r="E1886" t="s">
        <v>14</v>
      </c>
      <c r="F1886">
        <v>2272.6</v>
      </c>
      <c r="G1886">
        <f t="shared" si="31"/>
        <v>793841.90599999996</v>
      </c>
      <c r="H1886" t="str">
        <f>IF(BOQ_Table[[#This Row],[Amount]]&gt;100000,"Over Budget","OK")</f>
        <v>Over Budget</v>
      </c>
      <c r="I1886" t="str">
        <f>IF(OR(BOQ_Table[[#This Row],[Quantity]]="",BOQ_Table[[#This Row],[Rate]]=""),"Missing","OK")</f>
        <v>OK</v>
      </c>
    </row>
    <row r="1887" spans="1:9" x14ac:dyDescent="0.35">
      <c r="A1887" t="s">
        <v>1911</v>
      </c>
      <c r="B1887" t="s">
        <v>56</v>
      </c>
      <c r="C1887" t="s">
        <v>8</v>
      </c>
      <c r="D1887">
        <v>39.33</v>
      </c>
      <c r="E1887" t="s">
        <v>9</v>
      </c>
      <c r="F1887">
        <v>1966.28</v>
      </c>
      <c r="G1887">
        <f t="shared" si="31"/>
        <v>77333.792399999991</v>
      </c>
      <c r="H1887" t="str">
        <f>IF(BOQ_Table[[#This Row],[Amount]]&gt;100000,"Over Budget","OK")</f>
        <v>OK</v>
      </c>
      <c r="I1887" t="str">
        <f>IF(OR(BOQ_Table[[#This Row],[Quantity]]="",BOQ_Table[[#This Row],[Rate]]=""),"Missing","OK")</f>
        <v>OK</v>
      </c>
    </row>
    <row r="1888" spans="1:9" x14ac:dyDescent="0.35">
      <c r="A1888" t="s">
        <v>1912</v>
      </c>
      <c r="B1888" t="s">
        <v>7</v>
      </c>
      <c r="C1888" t="s">
        <v>17</v>
      </c>
      <c r="D1888">
        <v>275.38</v>
      </c>
      <c r="E1888" t="s">
        <v>27</v>
      </c>
      <c r="F1888">
        <v>2711.79</v>
      </c>
      <c r="G1888">
        <f t="shared" si="31"/>
        <v>746772.73019999999</v>
      </c>
      <c r="H1888" t="str">
        <f>IF(BOQ_Table[[#This Row],[Amount]]&gt;100000,"Over Budget","OK")</f>
        <v>Over Budget</v>
      </c>
      <c r="I1888" t="str">
        <f>IF(OR(BOQ_Table[[#This Row],[Quantity]]="",BOQ_Table[[#This Row],[Rate]]=""),"Missing","OK")</f>
        <v>OK</v>
      </c>
    </row>
    <row r="1889" spans="1:9" x14ac:dyDescent="0.35">
      <c r="A1889" t="s">
        <v>1913</v>
      </c>
      <c r="B1889" t="s">
        <v>56</v>
      </c>
      <c r="C1889" t="s">
        <v>38</v>
      </c>
      <c r="D1889">
        <v>168.36</v>
      </c>
      <c r="E1889" t="s">
        <v>27</v>
      </c>
      <c r="F1889">
        <v>3275.04</v>
      </c>
      <c r="G1889">
        <f t="shared" si="31"/>
        <v>551385.73440000007</v>
      </c>
      <c r="H1889" t="str">
        <f>IF(BOQ_Table[[#This Row],[Amount]]&gt;100000,"Over Budget","OK")</f>
        <v>Over Budget</v>
      </c>
      <c r="I1889" t="str">
        <f>IF(OR(BOQ_Table[[#This Row],[Quantity]]="",BOQ_Table[[#This Row],[Rate]]=""),"Missing","OK")</f>
        <v>OK</v>
      </c>
    </row>
    <row r="1890" spans="1:9" x14ac:dyDescent="0.35">
      <c r="A1890" t="s">
        <v>1914</v>
      </c>
      <c r="B1890" t="s">
        <v>20</v>
      </c>
      <c r="C1890" t="s">
        <v>17</v>
      </c>
      <c r="D1890">
        <v>149.58000000000001</v>
      </c>
      <c r="E1890" t="s">
        <v>22</v>
      </c>
      <c r="F1890">
        <v>3171.35</v>
      </c>
      <c r="G1890">
        <f t="shared" si="31"/>
        <v>474370.53300000005</v>
      </c>
      <c r="H1890" t="str">
        <f>IF(BOQ_Table[[#This Row],[Amount]]&gt;100000,"Over Budget","OK")</f>
        <v>Over Budget</v>
      </c>
      <c r="I1890" t="str">
        <f>IF(OR(BOQ_Table[[#This Row],[Quantity]]="",BOQ_Table[[#This Row],[Rate]]=""),"Missing","OK")</f>
        <v>OK</v>
      </c>
    </row>
    <row r="1891" spans="1:9" x14ac:dyDescent="0.35">
      <c r="A1891" t="s">
        <v>1915</v>
      </c>
      <c r="B1891" t="s">
        <v>56</v>
      </c>
      <c r="C1891" t="s">
        <v>12</v>
      </c>
      <c r="D1891">
        <v>218.16</v>
      </c>
      <c r="E1891" t="s">
        <v>18</v>
      </c>
      <c r="F1891">
        <v>1944.32</v>
      </c>
      <c r="G1891">
        <f t="shared" si="31"/>
        <v>424172.85119999998</v>
      </c>
      <c r="H1891" t="str">
        <f>IF(BOQ_Table[[#This Row],[Amount]]&gt;100000,"Over Budget","OK")</f>
        <v>Over Budget</v>
      </c>
      <c r="I1891" t="str">
        <f>IF(OR(BOQ_Table[[#This Row],[Quantity]]="",BOQ_Table[[#This Row],[Rate]]=""),"Missing","OK")</f>
        <v>OK</v>
      </c>
    </row>
    <row r="1892" spans="1:9" x14ac:dyDescent="0.35">
      <c r="A1892" t="s">
        <v>1916</v>
      </c>
      <c r="B1892" t="s">
        <v>42</v>
      </c>
      <c r="C1892" t="s">
        <v>38</v>
      </c>
      <c r="D1892">
        <v>386.39</v>
      </c>
      <c r="E1892" t="s">
        <v>14</v>
      </c>
      <c r="F1892">
        <v>2069.8200000000002</v>
      </c>
      <c r="G1892">
        <f t="shared" si="31"/>
        <v>799757.74979999999</v>
      </c>
      <c r="H1892" t="str">
        <f>IF(BOQ_Table[[#This Row],[Amount]]&gt;100000,"Over Budget","OK")</f>
        <v>Over Budget</v>
      </c>
      <c r="I1892" t="str">
        <f>IF(OR(BOQ_Table[[#This Row],[Quantity]]="",BOQ_Table[[#This Row],[Rate]]=""),"Missing","OK")</f>
        <v>OK</v>
      </c>
    </row>
    <row r="1893" spans="1:9" x14ac:dyDescent="0.35">
      <c r="A1893" t="s">
        <v>1917</v>
      </c>
      <c r="B1893" t="s">
        <v>11</v>
      </c>
      <c r="C1893" t="s">
        <v>17</v>
      </c>
      <c r="D1893">
        <v>223.65</v>
      </c>
      <c r="E1893" t="s">
        <v>27</v>
      </c>
      <c r="F1893">
        <v>914.88</v>
      </c>
      <c r="G1893">
        <f t="shared" si="31"/>
        <v>204612.91200000001</v>
      </c>
      <c r="H1893" t="str">
        <f>IF(BOQ_Table[[#This Row],[Amount]]&gt;100000,"Over Budget","OK")</f>
        <v>Over Budget</v>
      </c>
      <c r="I1893" t="str">
        <f>IF(OR(BOQ_Table[[#This Row],[Quantity]]="",BOQ_Table[[#This Row],[Rate]]=""),"Missing","OK")</f>
        <v>OK</v>
      </c>
    </row>
    <row r="1894" spans="1:9" x14ac:dyDescent="0.35">
      <c r="A1894" t="s">
        <v>1918</v>
      </c>
      <c r="B1894" t="s">
        <v>56</v>
      </c>
      <c r="C1894" t="s">
        <v>8</v>
      </c>
      <c r="D1894">
        <v>126.76</v>
      </c>
      <c r="E1894" t="s">
        <v>18</v>
      </c>
      <c r="F1894">
        <v>2069.54</v>
      </c>
      <c r="G1894">
        <f t="shared" si="31"/>
        <v>262334.89040000003</v>
      </c>
      <c r="H1894" t="str">
        <f>IF(BOQ_Table[[#This Row],[Amount]]&gt;100000,"Over Budget","OK")</f>
        <v>Over Budget</v>
      </c>
      <c r="I1894" t="str">
        <f>IF(OR(BOQ_Table[[#This Row],[Quantity]]="",BOQ_Table[[#This Row],[Rate]]=""),"Missing","OK")</f>
        <v>OK</v>
      </c>
    </row>
    <row r="1895" spans="1:9" x14ac:dyDescent="0.35">
      <c r="A1895" t="s">
        <v>1919</v>
      </c>
      <c r="B1895" t="s">
        <v>20</v>
      </c>
      <c r="C1895" t="s">
        <v>12</v>
      </c>
      <c r="D1895">
        <v>420.16</v>
      </c>
      <c r="E1895" t="s">
        <v>9</v>
      </c>
      <c r="F1895">
        <v>1695.92</v>
      </c>
      <c r="G1895">
        <f t="shared" si="31"/>
        <v>712557.7472000001</v>
      </c>
      <c r="H1895" t="str">
        <f>IF(BOQ_Table[[#This Row],[Amount]]&gt;100000,"Over Budget","OK")</f>
        <v>Over Budget</v>
      </c>
      <c r="I1895" t="str">
        <f>IF(OR(BOQ_Table[[#This Row],[Quantity]]="",BOQ_Table[[#This Row],[Rate]]=""),"Missing","OK")</f>
        <v>OK</v>
      </c>
    </row>
    <row r="1896" spans="1:9" x14ac:dyDescent="0.35">
      <c r="A1896" t="s">
        <v>1920</v>
      </c>
      <c r="B1896" t="s">
        <v>40</v>
      </c>
      <c r="C1896" t="s">
        <v>8</v>
      </c>
      <c r="D1896">
        <v>233.19</v>
      </c>
      <c r="E1896" t="s">
        <v>9</v>
      </c>
      <c r="F1896">
        <v>2572.88</v>
      </c>
      <c r="G1896">
        <f t="shared" si="31"/>
        <v>599969.8872</v>
      </c>
      <c r="H1896" t="str">
        <f>IF(BOQ_Table[[#This Row],[Amount]]&gt;100000,"Over Budget","OK")</f>
        <v>Over Budget</v>
      </c>
      <c r="I1896" t="str">
        <f>IF(OR(BOQ_Table[[#This Row],[Quantity]]="",BOQ_Table[[#This Row],[Rate]]=""),"Missing","OK")</f>
        <v>OK</v>
      </c>
    </row>
    <row r="1897" spans="1:9" x14ac:dyDescent="0.35">
      <c r="A1897" t="s">
        <v>1921</v>
      </c>
      <c r="B1897" t="s">
        <v>20</v>
      </c>
      <c r="C1897" t="s">
        <v>12</v>
      </c>
      <c r="D1897">
        <v>465.25</v>
      </c>
      <c r="E1897" t="s">
        <v>9</v>
      </c>
      <c r="F1897">
        <v>1760.12</v>
      </c>
      <c r="G1897">
        <f t="shared" si="31"/>
        <v>818895.83</v>
      </c>
      <c r="H1897" t="str">
        <f>IF(BOQ_Table[[#This Row],[Amount]]&gt;100000,"Over Budget","OK")</f>
        <v>Over Budget</v>
      </c>
      <c r="I1897" t="str">
        <f>IF(OR(BOQ_Table[[#This Row],[Quantity]]="",BOQ_Table[[#This Row],[Rate]]=""),"Missing","OK")</f>
        <v>OK</v>
      </c>
    </row>
    <row r="1898" spans="1:9" x14ac:dyDescent="0.35">
      <c r="A1898" t="s">
        <v>1922</v>
      </c>
      <c r="B1898" t="s">
        <v>30</v>
      </c>
      <c r="C1898" t="s">
        <v>8</v>
      </c>
      <c r="D1898">
        <v>223.41</v>
      </c>
      <c r="E1898" t="s">
        <v>18</v>
      </c>
      <c r="F1898">
        <v>4262.16</v>
      </c>
      <c r="G1898">
        <f t="shared" si="31"/>
        <v>952209.16559999995</v>
      </c>
      <c r="H1898" t="str">
        <f>IF(BOQ_Table[[#This Row],[Amount]]&gt;100000,"Over Budget","OK")</f>
        <v>Over Budget</v>
      </c>
      <c r="I1898" t="str">
        <f>IF(OR(BOQ_Table[[#This Row],[Quantity]]="",BOQ_Table[[#This Row],[Rate]]=""),"Missing","OK")</f>
        <v>OK</v>
      </c>
    </row>
    <row r="1899" spans="1:9" x14ac:dyDescent="0.35">
      <c r="A1899" t="s">
        <v>1923</v>
      </c>
      <c r="B1899" t="s">
        <v>32</v>
      </c>
      <c r="C1899" t="s">
        <v>38</v>
      </c>
      <c r="D1899">
        <v>360.45</v>
      </c>
      <c r="E1899" t="s">
        <v>27</v>
      </c>
      <c r="F1899">
        <v>373.45</v>
      </c>
      <c r="G1899">
        <f t="shared" si="31"/>
        <v>134610.05249999999</v>
      </c>
      <c r="H1899" t="str">
        <f>IF(BOQ_Table[[#This Row],[Amount]]&gt;100000,"Over Budget","OK")</f>
        <v>Over Budget</v>
      </c>
      <c r="I1899" t="str">
        <f>IF(OR(BOQ_Table[[#This Row],[Quantity]]="",BOQ_Table[[#This Row],[Rate]]=""),"Missing","OK")</f>
        <v>OK</v>
      </c>
    </row>
    <row r="1900" spans="1:9" x14ac:dyDescent="0.35">
      <c r="A1900" t="s">
        <v>1924</v>
      </c>
      <c r="B1900" t="s">
        <v>11</v>
      </c>
      <c r="C1900" t="s">
        <v>12</v>
      </c>
      <c r="D1900">
        <v>133.57</v>
      </c>
      <c r="E1900" t="s">
        <v>27</v>
      </c>
      <c r="F1900">
        <v>1263.9100000000001</v>
      </c>
      <c r="G1900">
        <f t="shared" si="31"/>
        <v>168820.45869999999</v>
      </c>
      <c r="H1900" t="str">
        <f>IF(BOQ_Table[[#This Row],[Amount]]&gt;100000,"Over Budget","OK")</f>
        <v>Over Budget</v>
      </c>
      <c r="I1900" t="str">
        <f>IF(OR(BOQ_Table[[#This Row],[Quantity]]="",BOQ_Table[[#This Row],[Rate]]=""),"Missing","OK")</f>
        <v>OK</v>
      </c>
    </row>
    <row r="1901" spans="1:9" x14ac:dyDescent="0.35">
      <c r="A1901" t="s">
        <v>1925</v>
      </c>
      <c r="B1901" t="s">
        <v>32</v>
      </c>
      <c r="C1901" t="s">
        <v>12</v>
      </c>
      <c r="D1901">
        <v>394.63</v>
      </c>
      <c r="E1901" t="s">
        <v>9</v>
      </c>
      <c r="F1901">
        <v>4732.37</v>
      </c>
      <c r="G1901">
        <f t="shared" si="31"/>
        <v>1867535.1731</v>
      </c>
      <c r="H1901" t="str">
        <f>IF(BOQ_Table[[#This Row],[Amount]]&gt;100000,"Over Budget","OK")</f>
        <v>Over Budget</v>
      </c>
      <c r="I1901" t="str">
        <f>IF(OR(BOQ_Table[[#This Row],[Quantity]]="",BOQ_Table[[#This Row],[Rate]]=""),"Missing","OK")</f>
        <v>OK</v>
      </c>
    </row>
    <row r="1902" spans="1:9" x14ac:dyDescent="0.35">
      <c r="A1902" t="s">
        <v>1926</v>
      </c>
      <c r="B1902" t="s">
        <v>32</v>
      </c>
      <c r="C1902" t="s">
        <v>8</v>
      </c>
      <c r="D1902">
        <v>446.6</v>
      </c>
      <c r="E1902" t="s">
        <v>14</v>
      </c>
      <c r="F1902">
        <v>3048.79</v>
      </c>
      <c r="G1902">
        <f t="shared" si="31"/>
        <v>1361589.6140000001</v>
      </c>
      <c r="H1902" t="str">
        <f>IF(BOQ_Table[[#This Row],[Amount]]&gt;100000,"Over Budget","OK")</f>
        <v>Over Budget</v>
      </c>
      <c r="I1902" t="str">
        <f>IF(OR(BOQ_Table[[#This Row],[Quantity]]="",BOQ_Table[[#This Row],[Rate]]=""),"Missing","OK")</f>
        <v>OK</v>
      </c>
    </row>
    <row r="1903" spans="1:9" x14ac:dyDescent="0.35">
      <c r="A1903" t="s">
        <v>1927</v>
      </c>
      <c r="B1903" t="s">
        <v>40</v>
      </c>
      <c r="C1903" t="s">
        <v>17</v>
      </c>
      <c r="D1903">
        <v>104.54</v>
      </c>
      <c r="E1903" t="s">
        <v>22</v>
      </c>
      <c r="F1903">
        <v>2457.7199999999998</v>
      </c>
      <c r="G1903">
        <f t="shared" si="31"/>
        <v>256930.04879999999</v>
      </c>
      <c r="H1903" t="str">
        <f>IF(BOQ_Table[[#This Row],[Amount]]&gt;100000,"Over Budget","OK")</f>
        <v>Over Budget</v>
      </c>
      <c r="I1903" t="str">
        <f>IF(OR(BOQ_Table[[#This Row],[Quantity]]="",BOQ_Table[[#This Row],[Rate]]=""),"Missing","OK")</f>
        <v>OK</v>
      </c>
    </row>
    <row r="1904" spans="1:9" x14ac:dyDescent="0.35">
      <c r="A1904" t="s">
        <v>1928</v>
      </c>
      <c r="B1904" t="s">
        <v>30</v>
      </c>
      <c r="C1904" t="s">
        <v>21</v>
      </c>
      <c r="D1904">
        <v>225.37</v>
      </c>
      <c r="E1904" t="s">
        <v>27</v>
      </c>
      <c r="F1904">
        <v>471.38</v>
      </c>
      <c r="G1904">
        <f t="shared" si="31"/>
        <v>106234.9106</v>
      </c>
      <c r="H1904" t="str">
        <f>IF(BOQ_Table[[#This Row],[Amount]]&gt;100000,"Over Budget","OK")</f>
        <v>Over Budget</v>
      </c>
      <c r="I1904" t="str">
        <f>IF(OR(BOQ_Table[[#This Row],[Quantity]]="",BOQ_Table[[#This Row],[Rate]]=""),"Missing","OK")</f>
        <v>OK</v>
      </c>
    </row>
    <row r="1905" spans="1:9" x14ac:dyDescent="0.35">
      <c r="A1905" t="s">
        <v>1929</v>
      </c>
      <c r="B1905" t="s">
        <v>7</v>
      </c>
      <c r="C1905" t="s">
        <v>17</v>
      </c>
      <c r="D1905">
        <v>350.8</v>
      </c>
      <c r="E1905" t="s">
        <v>18</v>
      </c>
      <c r="F1905">
        <v>2633.68</v>
      </c>
      <c r="G1905">
        <f t="shared" si="31"/>
        <v>923894.94400000002</v>
      </c>
      <c r="H1905" t="str">
        <f>IF(BOQ_Table[[#This Row],[Amount]]&gt;100000,"Over Budget","OK")</f>
        <v>Over Budget</v>
      </c>
      <c r="I1905" t="str">
        <f>IF(OR(BOQ_Table[[#This Row],[Quantity]]="",BOQ_Table[[#This Row],[Rate]]=""),"Missing","OK")</f>
        <v>OK</v>
      </c>
    </row>
    <row r="1906" spans="1:9" x14ac:dyDescent="0.35">
      <c r="A1906" t="s">
        <v>1930</v>
      </c>
      <c r="B1906" t="s">
        <v>40</v>
      </c>
      <c r="C1906" t="s">
        <v>12</v>
      </c>
      <c r="D1906">
        <v>28.02</v>
      </c>
      <c r="E1906" t="s">
        <v>14</v>
      </c>
      <c r="F1906">
        <v>4860.93</v>
      </c>
      <c r="G1906">
        <f t="shared" si="31"/>
        <v>136203.2586</v>
      </c>
      <c r="H1906" t="str">
        <f>IF(BOQ_Table[[#This Row],[Amount]]&gt;100000,"Over Budget","OK")</f>
        <v>Over Budget</v>
      </c>
      <c r="I1906" t="str">
        <f>IF(OR(BOQ_Table[[#This Row],[Quantity]]="",BOQ_Table[[#This Row],[Rate]]=""),"Missing","OK")</f>
        <v>OK</v>
      </c>
    </row>
    <row r="1907" spans="1:9" x14ac:dyDescent="0.35">
      <c r="A1907" t="s">
        <v>1931</v>
      </c>
      <c r="B1907" t="s">
        <v>46</v>
      </c>
      <c r="C1907" t="s">
        <v>38</v>
      </c>
      <c r="D1907">
        <v>492.29</v>
      </c>
      <c r="E1907" t="s">
        <v>22</v>
      </c>
      <c r="F1907">
        <v>1141.8</v>
      </c>
      <c r="G1907">
        <f t="shared" si="31"/>
        <v>562096.72199999995</v>
      </c>
      <c r="H1907" t="str">
        <f>IF(BOQ_Table[[#This Row],[Amount]]&gt;100000,"Over Budget","OK")</f>
        <v>Over Budget</v>
      </c>
      <c r="I1907" t="str">
        <f>IF(OR(BOQ_Table[[#This Row],[Quantity]]="",BOQ_Table[[#This Row],[Rate]]=""),"Missing","OK")</f>
        <v>OK</v>
      </c>
    </row>
    <row r="1908" spans="1:9" x14ac:dyDescent="0.35">
      <c r="A1908" t="s">
        <v>1932</v>
      </c>
      <c r="B1908" t="s">
        <v>7</v>
      </c>
      <c r="C1908" t="s">
        <v>38</v>
      </c>
      <c r="D1908">
        <v>27.9</v>
      </c>
      <c r="E1908" t="s">
        <v>27</v>
      </c>
      <c r="F1908">
        <v>3283.34</v>
      </c>
      <c r="G1908">
        <f t="shared" si="31"/>
        <v>91605.186000000002</v>
      </c>
      <c r="H1908" t="str">
        <f>IF(BOQ_Table[[#This Row],[Amount]]&gt;100000,"Over Budget","OK")</f>
        <v>OK</v>
      </c>
      <c r="I1908" t="str">
        <f>IF(OR(BOQ_Table[[#This Row],[Quantity]]="",BOQ_Table[[#This Row],[Rate]]=""),"Missing","OK")</f>
        <v>OK</v>
      </c>
    </row>
    <row r="1909" spans="1:9" x14ac:dyDescent="0.35">
      <c r="A1909" t="s">
        <v>1933</v>
      </c>
      <c r="B1909" t="s">
        <v>40</v>
      </c>
      <c r="C1909" t="s">
        <v>38</v>
      </c>
      <c r="D1909">
        <v>480.29</v>
      </c>
      <c r="E1909" t="s">
        <v>27</v>
      </c>
      <c r="F1909">
        <v>2795.27</v>
      </c>
      <c r="G1909">
        <f t="shared" si="31"/>
        <v>1342540.2283000001</v>
      </c>
      <c r="H1909" t="str">
        <f>IF(BOQ_Table[[#This Row],[Amount]]&gt;100000,"Over Budget","OK")</f>
        <v>Over Budget</v>
      </c>
      <c r="I1909" t="str">
        <f>IF(OR(BOQ_Table[[#This Row],[Quantity]]="",BOQ_Table[[#This Row],[Rate]]=""),"Missing","OK")</f>
        <v>OK</v>
      </c>
    </row>
    <row r="1910" spans="1:9" x14ac:dyDescent="0.35">
      <c r="A1910" t="s">
        <v>1934</v>
      </c>
      <c r="B1910" t="s">
        <v>11</v>
      </c>
      <c r="C1910" t="s">
        <v>12</v>
      </c>
      <c r="D1910">
        <v>477.74</v>
      </c>
      <c r="E1910" t="s">
        <v>18</v>
      </c>
      <c r="F1910">
        <v>4350.5600000000004</v>
      </c>
      <c r="G1910">
        <f t="shared" si="31"/>
        <v>2078436.5344000002</v>
      </c>
      <c r="H1910" t="str">
        <f>IF(BOQ_Table[[#This Row],[Amount]]&gt;100000,"Over Budget","OK")</f>
        <v>Over Budget</v>
      </c>
      <c r="I1910" t="str">
        <f>IF(OR(BOQ_Table[[#This Row],[Quantity]]="",BOQ_Table[[#This Row],[Rate]]=""),"Missing","OK")</f>
        <v>OK</v>
      </c>
    </row>
    <row r="1911" spans="1:9" x14ac:dyDescent="0.35">
      <c r="A1911" t="s">
        <v>1935</v>
      </c>
      <c r="B1911" t="s">
        <v>40</v>
      </c>
      <c r="C1911" t="s">
        <v>21</v>
      </c>
      <c r="D1911">
        <v>240.43</v>
      </c>
      <c r="E1911" t="s">
        <v>14</v>
      </c>
      <c r="F1911">
        <v>3174.38</v>
      </c>
      <c r="G1911">
        <f t="shared" si="31"/>
        <v>763216.1834000001</v>
      </c>
      <c r="H1911" t="str">
        <f>IF(BOQ_Table[[#This Row],[Amount]]&gt;100000,"Over Budget","OK")</f>
        <v>Over Budget</v>
      </c>
      <c r="I1911" t="str">
        <f>IF(OR(BOQ_Table[[#This Row],[Quantity]]="",BOQ_Table[[#This Row],[Rate]]=""),"Missing","OK")</f>
        <v>OK</v>
      </c>
    </row>
    <row r="1912" spans="1:9" x14ac:dyDescent="0.35">
      <c r="A1912" t="s">
        <v>1936</v>
      </c>
      <c r="B1912" t="s">
        <v>32</v>
      </c>
      <c r="C1912" t="s">
        <v>8</v>
      </c>
      <c r="D1912">
        <v>60.88</v>
      </c>
      <c r="E1912" t="s">
        <v>22</v>
      </c>
      <c r="F1912">
        <v>4588.37</v>
      </c>
      <c r="G1912">
        <f t="shared" si="31"/>
        <v>279339.9656</v>
      </c>
      <c r="H1912" t="str">
        <f>IF(BOQ_Table[[#This Row],[Amount]]&gt;100000,"Over Budget","OK")</f>
        <v>Over Budget</v>
      </c>
      <c r="I1912" t="str">
        <f>IF(OR(BOQ_Table[[#This Row],[Quantity]]="",BOQ_Table[[#This Row],[Rate]]=""),"Missing","OK")</f>
        <v>OK</v>
      </c>
    </row>
    <row r="1913" spans="1:9" x14ac:dyDescent="0.35">
      <c r="A1913" t="s">
        <v>1937</v>
      </c>
      <c r="B1913" t="s">
        <v>30</v>
      </c>
      <c r="C1913" t="s">
        <v>12</v>
      </c>
      <c r="D1913">
        <v>376.77</v>
      </c>
      <c r="E1913" t="s">
        <v>18</v>
      </c>
      <c r="F1913">
        <v>4437.6499999999996</v>
      </c>
      <c r="G1913">
        <f t="shared" si="31"/>
        <v>1671973.3904999997</v>
      </c>
      <c r="H1913" t="str">
        <f>IF(BOQ_Table[[#This Row],[Amount]]&gt;100000,"Over Budget","OK")</f>
        <v>Over Budget</v>
      </c>
      <c r="I1913" t="str">
        <f>IF(OR(BOQ_Table[[#This Row],[Quantity]]="",BOQ_Table[[#This Row],[Rate]]=""),"Missing","OK")</f>
        <v>OK</v>
      </c>
    </row>
    <row r="1914" spans="1:9" x14ac:dyDescent="0.35">
      <c r="A1914" t="s">
        <v>1938</v>
      </c>
      <c r="B1914" t="s">
        <v>42</v>
      </c>
      <c r="C1914" t="s">
        <v>8</v>
      </c>
      <c r="D1914">
        <v>285.68</v>
      </c>
      <c r="E1914" t="s">
        <v>18</v>
      </c>
      <c r="F1914">
        <v>2806.96</v>
      </c>
      <c r="G1914">
        <f t="shared" si="31"/>
        <v>801892.33279999997</v>
      </c>
      <c r="H1914" t="str">
        <f>IF(BOQ_Table[[#This Row],[Amount]]&gt;100000,"Over Budget","OK")</f>
        <v>Over Budget</v>
      </c>
      <c r="I1914" t="str">
        <f>IF(OR(BOQ_Table[[#This Row],[Quantity]]="",BOQ_Table[[#This Row],[Rate]]=""),"Missing","OK")</f>
        <v>OK</v>
      </c>
    </row>
    <row r="1915" spans="1:9" x14ac:dyDescent="0.35">
      <c r="A1915" t="s">
        <v>1939</v>
      </c>
      <c r="B1915" t="s">
        <v>30</v>
      </c>
      <c r="C1915" t="s">
        <v>12</v>
      </c>
      <c r="D1915">
        <v>440.39</v>
      </c>
      <c r="E1915" t="s">
        <v>9</v>
      </c>
      <c r="F1915">
        <v>2673.7</v>
      </c>
      <c r="G1915">
        <f t="shared" si="31"/>
        <v>1177470.7429999998</v>
      </c>
      <c r="H1915" t="str">
        <f>IF(BOQ_Table[[#This Row],[Amount]]&gt;100000,"Over Budget","OK")</f>
        <v>Over Budget</v>
      </c>
      <c r="I1915" t="str">
        <f>IF(OR(BOQ_Table[[#This Row],[Quantity]]="",BOQ_Table[[#This Row],[Rate]]=""),"Missing","OK")</f>
        <v>OK</v>
      </c>
    </row>
    <row r="1916" spans="1:9" x14ac:dyDescent="0.35">
      <c r="A1916" t="s">
        <v>1940</v>
      </c>
      <c r="B1916" t="s">
        <v>32</v>
      </c>
      <c r="C1916" t="s">
        <v>8</v>
      </c>
      <c r="D1916">
        <v>160.99</v>
      </c>
      <c r="E1916" t="s">
        <v>27</v>
      </c>
      <c r="F1916">
        <v>3348.16</v>
      </c>
      <c r="G1916">
        <f t="shared" si="31"/>
        <v>539020.27839999995</v>
      </c>
      <c r="H1916" t="str">
        <f>IF(BOQ_Table[[#This Row],[Amount]]&gt;100000,"Over Budget","OK")</f>
        <v>Over Budget</v>
      </c>
      <c r="I1916" t="str">
        <f>IF(OR(BOQ_Table[[#This Row],[Quantity]]="",BOQ_Table[[#This Row],[Rate]]=""),"Missing","OK")</f>
        <v>OK</v>
      </c>
    </row>
    <row r="1917" spans="1:9" x14ac:dyDescent="0.35">
      <c r="A1917" t="s">
        <v>1941</v>
      </c>
      <c r="B1917" t="s">
        <v>46</v>
      </c>
      <c r="C1917" t="s">
        <v>12</v>
      </c>
      <c r="D1917">
        <v>24.68</v>
      </c>
      <c r="E1917" t="s">
        <v>27</v>
      </c>
      <c r="F1917">
        <v>2075.63</v>
      </c>
      <c r="G1917">
        <f t="shared" si="31"/>
        <v>51226.5484</v>
      </c>
      <c r="H1917" t="str">
        <f>IF(BOQ_Table[[#This Row],[Amount]]&gt;100000,"Over Budget","OK")</f>
        <v>OK</v>
      </c>
      <c r="I1917" t="str">
        <f>IF(OR(BOQ_Table[[#This Row],[Quantity]]="",BOQ_Table[[#This Row],[Rate]]=""),"Missing","OK")</f>
        <v>OK</v>
      </c>
    </row>
    <row r="1918" spans="1:9" x14ac:dyDescent="0.35">
      <c r="A1918" t="s">
        <v>1942</v>
      </c>
      <c r="B1918" t="s">
        <v>56</v>
      </c>
      <c r="C1918" t="s">
        <v>12</v>
      </c>
      <c r="D1918">
        <v>381.88</v>
      </c>
      <c r="E1918" t="s">
        <v>14</v>
      </c>
      <c r="F1918">
        <v>4169.04</v>
      </c>
      <c r="G1918">
        <f t="shared" si="31"/>
        <v>1592072.9952</v>
      </c>
      <c r="H1918" t="str">
        <f>IF(BOQ_Table[[#This Row],[Amount]]&gt;100000,"Over Budget","OK")</f>
        <v>Over Budget</v>
      </c>
      <c r="I1918" t="str">
        <f>IF(OR(BOQ_Table[[#This Row],[Quantity]]="",BOQ_Table[[#This Row],[Rate]]=""),"Missing","OK")</f>
        <v>OK</v>
      </c>
    </row>
    <row r="1919" spans="1:9" x14ac:dyDescent="0.35">
      <c r="A1919" t="s">
        <v>1943</v>
      </c>
      <c r="B1919" t="s">
        <v>42</v>
      </c>
      <c r="C1919" t="s">
        <v>21</v>
      </c>
      <c r="D1919">
        <v>281.86</v>
      </c>
      <c r="E1919" t="s">
        <v>27</v>
      </c>
      <c r="F1919">
        <v>2759.41</v>
      </c>
      <c r="G1919">
        <f t="shared" si="31"/>
        <v>777767.30260000005</v>
      </c>
      <c r="H1919" t="str">
        <f>IF(BOQ_Table[[#This Row],[Amount]]&gt;100000,"Over Budget","OK")</f>
        <v>Over Budget</v>
      </c>
      <c r="I1919" t="str">
        <f>IF(OR(BOQ_Table[[#This Row],[Quantity]]="",BOQ_Table[[#This Row],[Rate]]=""),"Missing","OK")</f>
        <v>OK</v>
      </c>
    </row>
    <row r="1920" spans="1:9" x14ac:dyDescent="0.35">
      <c r="A1920" t="s">
        <v>1944</v>
      </c>
      <c r="B1920" t="s">
        <v>42</v>
      </c>
      <c r="C1920" t="s">
        <v>12</v>
      </c>
      <c r="D1920">
        <v>143.94</v>
      </c>
      <c r="E1920" t="s">
        <v>14</v>
      </c>
      <c r="F1920">
        <v>937.67</v>
      </c>
      <c r="G1920">
        <f t="shared" si="31"/>
        <v>134968.21979999999</v>
      </c>
      <c r="H1920" t="str">
        <f>IF(BOQ_Table[[#This Row],[Amount]]&gt;100000,"Over Budget","OK")</f>
        <v>Over Budget</v>
      </c>
      <c r="I1920" t="str">
        <f>IF(OR(BOQ_Table[[#This Row],[Quantity]]="",BOQ_Table[[#This Row],[Rate]]=""),"Missing","OK")</f>
        <v>OK</v>
      </c>
    </row>
    <row r="1921" spans="1:9" x14ac:dyDescent="0.35">
      <c r="A1921" t="s">
        <v>1945</v>
      </c>
      <c r="B1921" t="s">
        <v>32</v>
      </c>
      <c r="C1921" t="s">
        <v>38</v>
      </c>
      <c r="D1921">
        <v>389.36</v>
      </c>
      <c r="E1921" t="s">
        <v>22</v>
      </c>
      <c r="F1921">
        <v>3820.25</v>
      </c>
      <c r="G1921">
        <f t="shared" si="31"/>
        <v>1487452.54</v>
      </c>
      <c r="H1921" t="str">
        <f>IF(BOQ_Table[[#This Row],[Amount]]&gt;100000,"Over Budget","OK")</f>
        <v>Over Budget</v>
      </c>
      <c r="I1921" t="str">
        <f>IF(OR(BOQ_Table[[#This Row],[Quantity]]="",BOQ_Table[[#This Row],[Rate]]=""),"Missing","OK")</f>
        <v>OK</v>
      </c>
    </row>
    <row r="1922" spans="1:9" x14ac:dyDescent="0.35">
      <c r="A1922" t="s">
        <v>1946</v>
      </c>
      <c r="B1922" t="s">
        <v>30</v>
      </c>
      <c r="C1922" t="s">
        <v>21</v>
      </c>
      <c r="D1922">
        <v>32.85</v>
      </c>
      <c r="E1922" t="s">
        <v>9</v>
      </c>
      <c r="F1922">
        <v>3490.91</v>
      </c>
      <c r="G1922">
        <f t="shared" ref="G1922:G1985" si="32">D1922*F1922</f>
        <v>114676.39350000001</v>
      </c>
      <c r="H1922" t="str">
        <f>IF(BOQ_Table[[#This Row],[Amount]]&gt;100000,"Over Budget","OK")</f>
        <v>Over Budget</v>
      </c>
      <c r="I1922" t="str">
        <f>IF(OR(BOQ_Table[[#This Row],[Quantity]]="",BOQ_Table[[#This Row],[Rate]]=""),"Missing","OK")</f>
        <v>OK</v>
      </c>
    </row>
    <row r="1923" spans="1:9" x14ac:dyDescent="0.35">
      <c r="A1923" t="s">
        <v>1947</v>
      </c>
      <c r="B1923" t="s">
        <v>20</v>
      </c>
      <c r="C1923" t="s">
        <v>12</v>
      </c>
      <c r="D1923">
        <v>477.55</v>
      </c>
      <c r="E1923" t="s">
        <v>18</v>
      </c>
      <c r="F1923">
        <v>4462.2299999999996</v>
      </c>
      <c r="G1923">
        <f t="shared" si="32"/>
        <v>2130937.9364999998</v>
      </c>
      <c r="H1923" t="str">
        <f>IF(BOQ_Table[[#This Row],[Amount]]&gt;100000,"Over Budget","OK")</f>
        <v>Over Budget</v>
      </c>
      <c r="I1923" t="str">
        <f>IF(OR(BOQ_Table[[#This Row],[Quantity]]="",BOQ_Table[[#This Row],[Rate]]=""),"Missing","OK")</f>
        <v>OK</v>
      </c>
    </row>
    <row r="1924" spans="1:9" x14ac:dyDescent="0.35">
      <c r="A1924" t="s">
        <v>1948</v>
      </c>
      <c r="B1924" t="s">
        <v>46</v>
      </c>
      <c r="C1924" t="s">
        <v>8</v>
      </c>
      <c r="D1924">
        <v>463.95</v>
      </c>
      <c r="E1924" t="s">
        <v>9</v>
      </c>
      <c r="F1924">
        <v>1314.32</v>
      </c>
      <c r="G1924">
        <f t="shared" si="32"/>
        <v>609778.76399999997</v>
      </c>
      <c r="H1924" t="str">
        <f>IF(BOQ_Table[[#This Row],[Amount]]&gt;100000,"Over Budget","OK")</f>
        <v>Over Budget</v>
      </c>
      <c r="I1924" t="str">
        <f>IF(OR(BOQ_Table[[#This Row],[Quantity]]="",BOQ_Table[[#This Row],[Rate]]=""),"Missing","OK")</f>
        <v>OK</v>
      </c>
    </row>
    <row r="1925" spans="1:9" x14ac:dyDescent="0.35">
      <c r="A1925" t="s">
        <v>1949</v>
      </c>
      <c r="B1925" t="s">
        <v>42</v>
      </c>
      <c r="C1925" t="s">
        <v>21</v>
      </c>
      <c r="D1925">
        <v>113.92</v>
      </c>
      <c r="E1925" t="s">
        <v>18</v>
      </c>
      <c r="F1925">
        <v>1881.42</v>
      </c>
      <c r="G1925">
        <f t="shared" si="32"/>
        <v>214331.3664</v>
      </c>
      <c r="H1925" t="str">
        <f>IF(BOQ_Table[[#This Row],[Amount]]&gt;100000,"Over Budget","OK")</f>
        <v>Over Budget</v>
      </c>
      <c r="I1925" t="str">
        <f>IF(OR(BOQ_Table[[#This Row],[Quantity]]="",BOQ_Table[[#This Row],[Rate]]=""),"Missing","OK")</f>
        <v>OK</v>
      </c>
    </row>
    <row r="1926" spans="1:9" x14ac:dyDescent="0.35">
      <c r="A1926" t="s">
        <v>1950</v>
      </c>
      <c r="B1926" t="s">
        <v>40</v>
      </c>
      <c r="C1926" t="s">
        <v>21</v>
      </c>
      <c r="D1926">
        <v>116.44</v>
      </c>
      <c r="E1926" t="s">
        <v>14</v>
      </c>
      <c r="F1926">
        <v>607.64</v>
      </c>
      <c r="G1926">
        <f t="shared" si="32"/>
        <v>70753.601599999995</v>
      </c>
      <c r="H1926" t="str">
        <f>IF(BOQ_Table[[#This Row],[Amount]]&gt;100000,"Over Budget","OK")</f>
        <v>OK</v>
      </c>
      <c r="I1926" t="str">
        <f>IF(OR(BOQ_Table[[#This Row],[Quantity]]="",BOQ_Table[[#This Row],[Rate]]=""),"Missing","OK")</f>
        <v>OK</v>
      </c>
    </row>
    <row r="1927" spans="1:9" x14ac:dyDescent="0.35">
      <c r="A1927" t="s">
        <v>1951</v>
      </c>
      <c r="B1927" t="s">
        <v>32</v>
      </c>
      <c r="C1927" t="s">
        <v>8</v>
      </c>
      <c r="D1927">
        <v>332.67</v>
      </c>
      <c r="E1927" t="s">
        <v>18</v>
      </c>
      <c r="F1927">
        <v>4743.34</v>
      </c>
      <c r="G1927">
        <f t="shared" si="32"/>
        <v>1577966.9178000002</v>
      </c>
      <c r="H1927" t="str">
        <f>IF(BOQ_Table[[#This Row],[Amount]]&gt;100000,"Over Budget","OK")</f>
        <v>Over Budget</v>
      </c>
      <c r="I1927" t="str">
        <f>IF(OR(BOQ_Table[[#This Row],[Quantity]]="",BOQ_Table[[#This Row],[Rate]]=""),"Missing","OK")</f>
        <v>OK</v>
      </c>
    </row>
    <row r="1928" spans="1:9" x14ac:dyDescent="0.35">
      <c r="A1928" t="s">
        <v>1952</v>
      </c>
      <c r="B1928" t="s">
        <v>30</v>
      </c>
      <c r="C1928" t="s">
        <v>8</v>
      </c>
      <c r="D1928">
        <v>336.99</v>
      </c>
      <c r="E1928" t="s">
        <v>18</v>
      </c>
      <c r="F1928">
        <v>2661.06</v>
      </c>
      <c r="G1928">
        <f t="shared" si="32"/>
        <v>896750.60939999996</v>
      </c>
      <c r="H1928" t="str">
        <f>IF(BOQ_Table[[#This Row],[Amount]]&gt;100000,"Over Budget","OK")</f>
        <v>Over Budget</v>
      </c>
      <c r="I1928" t="str">
        <f>IF(OR(BOQ_Table[[#This Row],[Quantity]]="",BOQ_Table[[#This Row],[Rate]]=""),"Missing","OK")</f>
        <v>OK</v>
      </c>
    </row>
    <row r="1929" spans="1:9" x14ac:dyDescent="0.35">
      <c r="A1929" t="s">
        <v>1953</v>
      </c>
      <c r="B1929" t="s">
        <v>42</v>
      </c>
      <c r="C1929" t="s">
        <v>8</v>
      </c>
      <c r="D1929">
        <v>32.54</v>
      </c>
      <c r="E1929" t="s">
        <v>22</v>
      </c>
      <c r="F1929">
        <v>4860.4399999999996</v>
      </c>
      <c r="G1929">
        <f t="shared" si="32"/>
        <v>158158.71759999997</v>
      </c>
      <c r="H1929" t="str">
        <f>IF(BOQ_Table[[#This Row],[Amount]]&gt;100000,"Over Budget","OK")</f>
        <v>Over Budget</v>
      </c>
      <c r="I1929" t="str">
        <f>IF(OR(BOQ_Table[[#This Row],[Quantity]]="",BOQ_Table[[#This Row],[Rate]]=""),"Missing","OK")</f>
        <v>OK</v>
      </c>
    </row>
    <row r="1930" spans="1:9" x14ac:dyDescent="0.35">
      <c r="A1930" t="s">
        <v>1954</v>
      </c>
      <c r="B1930" t="s">
        <v>30</v>
      </c>
      <c r="C1930" t="s">
        <v>38</v>
      </c>
      <c r="D1930">
        <v>324.08</v>
      </c>
      <c r="E1930" t="s">
        <v>27</v>
      </c>
      <c r="F1930">
        <v>838.83</v>
      </c>
      <c r="G1930">
        <f t="shared" si="32"/>
        <v>271848.02639999997</v>
      </c>
      <c r="H1930" t="str">
        <f>IF(BOQ_Table[[#This Row],[Amount]]&gt;100000,"Over Budget","OK")</f>
        <v>Over Budget</v>
      </c>
      <c r="I1930" t="str">
        <f>IF(OR(BOQ_Table[[#This Row],[Quantity]]="",BOQ_Table[[#This Row],[Rate]]=""),"Missing","OK")</f>
        <v>OK</v>
      </c>
    </row>
    <row r="1931" spans="1:9" x14ac:dyDescent="0.35">
      <c r="A1931" t="s">
        <v>1955</v>
      </c>
      <c r="B1931" t="s">
        <v>56</v>
      </c>
      <c r="C1931" t="s">
        <v>17</v>
      </c>
      <c r="D1931">
        <v>380.96</v>
      </c>
      <c r="E1931" t="s">
        <v>9</v>
      </c>
      <c r="F1931">
        <v>4212.53</v>
      </c>
      <c r="G1931">
        <f t="shared" si="32"/>
        <v>1604805.4287999999</v>
      </c>
      <c r="H1931" t="str">
        <f>IF(BOQ_Table[[#This Row],[Amount]]&gt;100000,"Over Budget","OK")</f>
        <v>Over Budget</v>
      </c>
      <c r="I1931" t="str">
        <f>IF(OR(BOQ_Table[[#This Row],[Quantity]]="",BOQ_Table[[#This Row],[Rate]]=""),"Missing","OK")</f>
        <v>OK</v>
      </c>
    </row>
    <row r="1932" spans="1:9" x14ac:dyDescent="0.35">
      <c r="A1932" t="s">
        <v>1956</v>
      </c>
      <c r="B1932" t="s">
        <v>40</v>
      </c>
      <c r="C1932" t="s">
        <v>12</v>
      </c>
      <c r="D1932">
        <v>336.94</v>
      </c>
      <c r="E1932" t="s">
        <v>14</v>
      </c>
      <c r="F1932">
        <v>2264.63</v>
      </c>
      <c r="G1932">
        <f t="shared" si="32"/>
        <v>763044.43220000004</v>
      </c>
      <c r="H1932" t="str">
        <f>IF(BOQ_Table[[#This Row],[Amount]]&gt;100000,"Over Budget","OK")</f>
        <v>Over Budget</v>
      </c>
      <c r="I1932" t="str">
        <f>IF(OR(BOQ_Table[[#This Row],[Quantity]]="",BOQ_Table[[#This Row],[Rate]]=""),"Missing","OK")</f>
        <v>OK</v>
      </c>
    </row>
    <row r="1933" spans="1:9" x14ac:dyDescent="0.35">
      <c r="A1933" t="s">
        <v>1957</v>
      </c>
      <c r="B1933" t="s">
        <v>40</v>
      </c>
      <c r="C1933" t="s">
        <v>17</v>
      </c>
      <c r="D1933">
        <v>386.22</v>
      </c>
      <c r="E1933" t="s">
        <v>14</v>
      </c>
      <c r="F1933">
        <v>3124.15</v>
      </c>
      <c r="G1933">
        <f t="shared" si="32"/>
        <v>1206609.2130000002</v>
      </c>
      <c r="H1933" t="str">
        <f>IF(BOQ_Table[[#This Row],[Amount]]&gt;100000,"Over Budget","OK")</f>
        <v>Over Budget</v>
      </c>
      <c r="I1933" t="str">
        <f>IF(OR(BOQ_Table[[#This Row],[Quantity]]="",BOQ_Table[[#This Row],[Rate]]=""),"Missing","OK")</f>
        <v>OK</v>
      </c>
    </row>
    <row r="1934" spans="1:9" x14ac:dyDescent="0.35">
      <c r="A1934" t="s">
        <v>1958</v>
      </c>
      <c r="B1934" t="s">
        <v>11</v>
      </c>
      <c r="C1934" t="s">
        <v>21</v>
      </c>
      <c r="D1934">
        <v>145.63</v>
      </c>
      <c r="E1934" t="s">
        <v>9</v>
      </c>
      <c r="F1934">
        <v>4975.75</v>
      </c>
      <c r="G1934">
        <f t="shared" si="32"/>
        <v>724618.47250000003</v>
      </c>
      <c r="H1934" t="str">
        <f>IF(BOQ_Table[[#This Row],[Amount]]&gt;100000,"Over Budget","OK")</f>
        <v>Over Budget</v>
      </c>
      <c r="I1934" t="str">
        <f>IF(OR(BOQ_Table[[#This Row],[Quantity]]="",BOQ_Table[[#This Row],[Rate]]=""),"Missing","OK")</f>
        <v>OK</v>
      </c>
    </row>
    <row r="1935" spans="1:9" x14ac:dyDescent="0.35">
      <c r="A1935" t="s">
        <v>1959</v>
      </c>
      <c r="B1935" t="s">
        <v>16</v>
      </c>
      <c r="C1935" t="s">
        <v>8</v>
      </c>
      <c r="D1935">
        <v>347.3</v>
      </c>
      <c r="E1935" t="s">
        <v>22</v>
      </c>
      <c r="F1935">
        <v>3863.06</v>
      </c>
      <c r="G1935">
        <f t="shared" si="32"/>
        <v>1341640.7380000001</v>
      </c>
      <c r="H1935" t="str">
        <f>IF(BOQ_Table[[#This Row],[Amount]]&gt;100000,"Over Budget","OK")</f>
        <v>Over Budget</v>
      </c>
      <c r="I1935" t="str">
        <f>IF(OR(BOQ_Table[[#This Row],[Quantity]]="",BOQ_Table[[#This Row],[Rate]]=""),"Missing","OK")</f>
        <v>OK</v>
      </c>
    </row>
    <row r="1936" spans="1:9" x14ac:dyDescent="0.35">
      <c r="A1936" t="s">
        <v>1960</v>
      </c>
      <c r="B1936" t="s">
        <v>32</v>
      </c>
      <c r="C1936" t="s">
        <v>38</v>
      </c>
      <c r="D1936">
        <v>292.05</v>
      </c>
      <c r="E1936" t="s">
        <v>22</v>
      </c>
      <c r="F1936">
        <v>4020.42</v>
      </c>
      <c r="G1936">
        <f t="shared" si="32"/>
        <v>1174163.6610000001</v>
      </c>
      <c r="H1936" t="str">
        <f>IF(BOQ_Table[[#This Row],[Amount]]&gt;100000,"Over Budget","OK")</f>
        <v>Over Budget</v>
      </c>
      <c r="I1936" t="str">
        <f>IF(OR(BOQ_Table[[#This Row],[Quantity]]="",BOQ_Table[[#This Row],[Rate]]=""),"Missing","OK")</f>
        <v>OK</v>
      </c>
    </row>
    <row r="1937" spans="1:9" x14ac:dyDescent="0.35">
      <c r="A1937" t="s">
        <v>1961</v>
      </c>
      <c r="B1937" t="s">
        <v>46</v>
      </c>
      <c r="C1937" t="s">
        <v>21</v>
      </c>
      <c r="D1937">
        <v>355.92</v>
      </c>
      <c r="E1937" t="s">
        <v>22</v>
      </c>
      <c r="F1937">
        <v>3398.19</v>
      </c>
      <c r="G1937">
        <f t="shared" si="32"/>
        <v>1209483.7848</v>
      </c>
      <c r="H1937" t="str">
        <f>IF(BOQ_Table[[#This Row],[Amount]]&gt;100000,"Over Budget","OK")</f>
        <v>Over Budget</v>
      </c>
      <c r="I1937" t="str">
        <f>IF(OR(BOQ_Table[[#This Row],[Quantity]]="",BOQ_Table[[#This Row],[Rate]]=""),"Missing","OK")</f>
        <v>OK</v>
      </c>
    </row>
    <row r="1938" spans="1:9" x14ac:dyDescent="0.35">
      <c r="A1938" t="s">
        <v>1962</v>
      </c>
      <c r="B1938" t="s">
        <v>46</v>
      </c>
      <c r="C1938" t="s">
        <v>8</v>
      </c>
      <c r="D1938">
        <v>17.649999999999999</v>
      </c>
      <c r="E1938" t="s">
        <v>22</v>
      </c>
      <c r="F1938">
        <v>523.02</v>
      </c>
      <c r="G1938">
        <f t="shared" si="32"/>
        <v>9231.3029999999981</v>
      </c>
      <c r="H1938" t="str">
        <f>IF(BOQ_Table[[#This Row],[Amount]]&gt;100000,"Over Budget","OK")</f>
        <v>OK</v>
      </c>
      <c r="I1938" t="str">
        <f>IF(OR(BOQ_Table[[#This Row],[Quantity]]="",BOQ_Table[[#This Row],[Rate]]=""),"Missing","OK")</f>
        <v>OK</v>
      </c>
    </row>
    <row r="1939" spans="1:9" x14ac:dyDescent="0.35">
      <c r="A1939" t="s">
        <v>1963</v>
      </c>
      <c r="B1939" t="s">
        <v>32</v>
      </c>
      <c r="C1939" t="s">
        <v>8</v>
      </c>
      <c r="D1939">
        <v>198.7</v>
      </c>
      <c r="E1939" t="s">
        <v>18</v>
      </c>
      <c r="F1939">
        <v>646.65</v>
      </c>
      <c r="G1939">
        <f t="shared" si="32"/>
        <v>128489.35499999998</v>
      </c>
      <c r="H1939" t="str">
        <f>IF(BOQ_Table[[#This Row],[Amount]]&gt;100000,"Over Budget","OK")</f>
        <v>Over Budget</v>
      </c>
      <c r="I1939" t="str">
        <f>IF(OR(BOQ_Table[[#This Row],[Quantity]]="",BOQ_Table[[#This Row],[Rate]]=""),"Missing","OK")</f>
        <v>OK</v>
      </c>
    </row>
    <row r="1940" spans="1:9" x14ac:dyDescent="0.35">
      <c r="A1940" t="s">
        <v>1964</v>
      </c>
      <c r="B1940" t="s">
        <v>56</v>
      </c>
      <c r="C1940" t="s">
        <v>12</v>
      </c>
      <c r="D1940">
        <v>334.87</v>
      </c>
      <c r="E1940" t="s">
        <v>22</v>
      </c>
      <c r="F1940">
        <v>3379.85</v>
      </c>
      <c r="G1940">
        <f t="shared" si="32"/>
        <v>1131810.3695</v>
      </c>
      <c r="H1940" t="str">
        <f>IF(BOQ_Table[[#This Row],[Amount]]&gt;100000,"Over Budget","OK")</f>
        <v>Over Budget</v>
      </c>
      <c r="I1940" t="str">
        <f>IF(OR(BOQ_Table[[#This Row],[Quantity]]="",BOQ_Table[[#This Row],[Rate]]=""),"Missing","OK")</f>
        <v>OK</v>
      </c>
    </row>
    <row r="1941" spans="1:9" x14ac:dyDescent="0.35">
      <c r="A1941" t="s">
        <v>1965</v>
      </c>
      <c r="B1941" t="s">
        <v>11</v>
      </c>
      <c r="C1941" t="s">
        <v>8</v>
      </c>
      <c r="D1941">
        <v>418.3</v>
      </c>
      <c r="E1941" t="s">
        <v>9</v>
      </c>
      <c r="F1941">
        <v>149.32</v>
      </c>
      <c r="G1941">
        <f t="shared" si="32"/>
        <v>62460.555999999997</v>
      </c>
      <c r="H1941" t="str">
        <f>IF(BOQ_Table[[#This Row],[Amount]]&gt;100000,"Over Budget","OK")</f>
        <v>OK</v>
      </c>
      <c r="I1941" t="str">
        <f>IF(OR(BOQ_Table[[#This Row],[Quantity]]="",BOQ_Table[[#This Row],[Rate]]=""),"Missing","OK")</f>
        <v>OK</v>
      </c>
    </row>
    <row r="1942" spans="1:9" x14ac:dyDescent="0.35">
      <c r="A1942" t="s">
        <v>1966</v>
      </c>
      <c r="B1942" t="s">
        <v>11</v>
      </c>
      <c r="C1942" t="s">
        <v>21</v>
      </c>
      <c r="D1942">
        <v>33.78</v>
      </c>
      <c r="E1942" t="s">
        <v>27</v>
      </c>
      <c r="F1942">
        <v>2015.34</v>
      </c>
      <c r="G1942">
        <f t="shared" si="32"/>
        <v>68078.185199999993</v>
      </c>
      <c r="H1942" t="str">
        <f>IF(BOQ_Table[[#This Row],[Amount]]&gt;100000,"Over Budget","OK")</f>
        <v>OK</v>
      </c>
      <c r="I1942" t="str">
        <f>IF(OR(BOQ_Table[[#This Row],[Quantity]]="",BOQ_Table[[#This Row],[Rate]]=""),"Missing","OK")</f>
        <v>OK</v>
      </c>
    </row>
    <row r="1943" spans="1:9" x14ac:dyDescent="0.35">
      <c r="A1943" t="s">
        <v>1967</v>
      </c>
      <c r="B1943" t="s">
        <v>16</v>
      </c>
      <c r="C1943" t="s">
        <v>38</v>
      </c>
      <c r="D1943">
        <v>487.84</v>
      </c>
      <c r="E1943" t="s">
        <v>14</v>
      </c>
      <c r="F1943">
        <v>2350.1999999999998</v>
      </c>
      <c r="G1943">
        <f t="shared" si="32"/>
        <v>1146521.5679999997</v>
      </c>
      <c r="H1943" t="str">
        <f>IF(BOQ_Table[[#This Row],[Amount]]&gt;100000,"Over Budget","OK")</f>
        <v>Over Budget</v>
      </c>
      <c r="I1943" t="str">
        <f>IF(OR(BOQ_Table[[#This Row],[Quantity]]="",BOQ_Table[[#This Row],[Rate]]=""),"Missing","OK")</f>
        <v>OK</v>
      </c>
    </row>
    <row r="1944" spans="1:9" x14ac:dyDescent="0.35">
      <c r="A1944" t="s">
        <v>1968</v>
      </c>
      <c r="B1944" t="s">
        <v>56</v>
      </c>
      <c r="C1944" t="s">
        <v>17</v>
      </c>
      <c r="D1944">
        <v>421.6</v>
      </c>
      <c r="E1944" t="s">
        <v>18</v>
      </c>
      <c r="F1944">
        <v>2923.7</v>
      </c>
      <c r="G1944">
        <f t="shared" si="32"/>
        <v>1232631.92</v>
      </c>
      <c r="H1944" t="str">
        <f>IF(BOQ_Table[[#This Row],[Amount]]&gt;100000,"Over Budget","OK")</f>
        <v>Over Budget</v>
      </c>
      <c r="I1944" t="str">
        <f>IF(OR(BOQ_Table[[#This Row],[Quantity]]="",BOQ_Table[[#This Row],[Rate]]=""),"Missing","OK")</f>
        <v>OK</v>
      </c>
    </row>
    <row r="1945" spans="1:9" x14ac:dyDescent="0.35">
      <c r="A1945" t="s">
        <v>1969</v>
      </c>
      <c r="B1945" t="s">
        <v>30</v>
      </c>
      <c r="C1945" t="s">
        <v>12</v>
      </c>
      <c r="D1945">
        <v>301.25</v>
      </c>
      <c r="E1945" t="s">
        <v>18</v>
      </c>
      <c r="F1945">
        <v>2586.62</v>
      </c>
      <c r="G1945">
        <f t="shared" si="32"/>
        <v>779219.27500000002</v>
      </c>
      <c r="H1945" t="str">
        <f>IF(BOQ_Table[[#This Row],[Amount]]&gt;100000,"Over Budget","OK")</f>
        <v>Over Budget</v>
      </c>
      <c r="I1945" t="str">
        <f>IF(OR(BOQ_Table[[#This Row],[Quantity]]="",BOQ_Table[[#This Row],[Rate]]=""),"Missing","OK")</f>
        <v>OK</v>
      </c>
    </row>
    <row r="1946" spans="1:9" x14ac:dyDescent="0.35">
      <c r="A1946" t="s">
        <v>1970</v>
      </c>
      <c r="B1946" t="s">
        <v>40</v>
      </c>
      <c r="C1946" t="s">
        <v>21</v>
      </c>
      <c r="D1946">
        <v>284.79000000000002</v>
      </c>
      <c r="E1946" t="s">
        <v>9</v>
      </c>
      <c r="F1946">
        <v>647.22</v>
      </c>
      <c r="G1946">
        <f t="shared" si="32"/>
        <v>184321.78380000003</v>
      </c>
      <c r="H1946" t="str">
        <f>IF(BOQ_Table[[#This Row],[Amount]]&gt;100000,"Over Budget","OK")</f>
        <v>Over Budget</v>
      </c>
      <c r="I1946" t="str">
        <f>IF(OR(BOQ_Table[[#This Row],[Quantity]]="",BOQ_Table[[#This Row],[Rate]]=""),"Missing","OK")</f>
        <v>OK</v>
      </c>
    </row>
    <row r="1947" spans="1:9" x14ac:dyDescent="0.35">
      <c r="A1947" t="s">
        <v>1971</v>
      </c>
      <c r="B1947" t="s">
        <v>16</v>
      </c>
      <c r="C1947" t="s">
        <v>12</v>
      </c>
      <c r="D1947">
        <v>39.03</v>
      </c>
      <c r="E1947" t="s">
        <v>14</v>
      </c>
      <c r="F1947">
        <v>968.86</v>
      </c>
      <c r="G1947">
        <f t="shared" si="32"/>
        <v>37814.605800000005</v>
      </c>
      <c r="H1947" t="str">
        <f>IF(BOQ_Table[[#This Row],[Amount]]&gt;100000,"Over Budget","OK")</f>
        <v>OK</v>
      </c>
      <c r="I1947" t="str">
        <f>IF(OR(BOQ_Table[[#This Row],[Quantity]]="",BOQ_Table[[#This Row],[Rate]]=""),"Missing","OK")</f>
        <v>OK</v>
      </c>
    </row>
    <row r="1948" spans="1:9" x14ac:dyDescent="0.35">
      <c r="A1948" t="s">
        <v>1972</v>
      </c>
      <c r="B1948" t="s">
        <v>32</v>
      </c>
      <c r="C1948" t="s">
        <v>17</v>
      </c>
      <c r="D1948">
        <v>5.73</v>
      </c>
      <c r="E1948" t="s">
        <v>22</v>
      </c>
      <c r="F1948">
        <v>2166.88</v>
      </c>
      <c r="G1948">
        <f t="shared" si="32"/>
        <v>12416.222400000002</v>
      </c>
      <c r="H1948" t="str">
        <f>IF(BOQ_Table[[#This Row],[Amount]]&gt;100000,"Over Budget","OK")</f>
        <v>OK</v>
      </c>
      <c r="I1948" t="str">
        <f>IF(OR(BOQ_Table[[#This Row],[Quantity]]="",BOQ_Table[[#This Row],[Rate]]=""),"Missing","OK")</f>
        <v>OK</v>
      </c>
    </row>
    <row r="1949" spans="1:9" x14ac:dyDescent="0.35">
      <c r="A1949" t="s">
        <v>1973</v>
      </c>
      <c r="B1949" t="s">
        <v>30</v>
      </c>
      <c r="C1949" t="s">
        <v>8</v>
      </c>
      <c r="D1949">
        <v>232.14</v>
      </c>
      <c r="E1949" t="s">
        <v>22</v>
      </c>
      <c r="F1949">
        <v>1076.74</v>
      </c>
      <c r="G1949">
        <f t="shared" si="32"/>
        <v>249954.42359999998</v>
      </c>
      <c r="H1949" t="str">
        <f>IF(BOQ_Table[[#This Row],[Amount]]&gt;100000,"Over Budget","OK")</f>
        <v>Over Budget</v>
      </c>
      <c r="I1949" t="str">
        <f>IF(OR(BOQ_Table[[#This Row],[Quantity]]="",BOQ_Table[[#This Row],[Rate]]=""),"Missing","OK")</f>
        <v>OK</v>
      </c>
    </row>
    <row r="1950" spans="1:9" x14ac:dyDescent="0.35">
      <c r="A1950" t="s">
        <v>1974</v>
      </c>
      <c r="B1950" t="s">
        <v>11</v>
      </c>
      <c r="C1950" t="s">
        <v>38</v>
      </c>
      <c r="D1950">
        <v>344.92</v>
      </c>
      <c r="E1950" t="s">
        <v>14</v>
      </c>
      <c r="F1950">
        <v>3697.36</v>
      </c>
      <c r="G1950">
        <f t="shared" si="32"/>
        <v>1275293.4112000002</v>
      </c>
      <c r="H1950" t="str">
        <f>IF(BOQ_Table[[#This Row],[Amount]]&gt;100000,"Over Budget","OK")</f>
        <v>Over Budget</v>
      </c>
      <c r="I1950" t="str">
        <f>IF(OR(BOQ_Table[[#This Row],[Quantity]]="",BOQ_Table[[#This Row],[Rate]]=""),"Missing","OK")</f>
        <v>OK</v>
      </c>
    </row>
    <row r="1951" spans="1:9" x14ac:dyDescent="0.35">
      <c r="A1951" t="s">
        <v>1975</v>
      </c>
      <c r="B1951" t="s">
        <v>11</v>
      </c>
      <c r="C1951" t="s">
        <v>21</v>
      </c>
      <c r="D1951">
        <v>222.49</v>
      </c>
      <c r="E1951" t="s">
        <v>27</v>
      </c>
      <c r="F1951">
        <v>1641.28</v>
      </c>
      <c r="G1951">
        <f t="shared" si="32"/>
        <v>365168.3872</v>
      </c>
      <c r="H1951" t="str">
        <f>IF(BOQ_Table[[#This Row],[Amount]]&gt;100000,"Over Budget","OK")</f>
        <v>Over Budget</v>
      </c>
      <c r="I1951" t="str">
        <f>IF(OR(BOQ_Table[[#This Row],[Quantity]]="",BOQ_Table[[#This Row],[Rate]]=""),"Missing","OK")</f>
        <v>OK</v>
      </c>
    </row>
    <row r="1952" spans="1:9" x14ac:dyDescent="0.35">
      <c r="A1952" t="s">
        <v>1976</v>
      </c>
      <c r="B1952" t="s">
        <v>30</v>
      </c>
      <c r="C1952" t="s">
        <v>12</v>
      </c>
      <c r="D1952">
        <v>433.13</v>
      </c>
      <c r="E1952" t="s">
        <v>18</v>
      </c>
      <c r="F1952">
        <v>1929.07</v>
      </c>
      <c r="G1952">
        <f t="shared" si="32"/>
        <v>835538.08909999998</v>
      </c>
      <c r="H1952" t="str">
        <f>IF(BOQ_Table[[#This Row],[Amount]]&gt;100000,"Over Budget","OK")</f>
        <v>Over Budget</v>
      </c>
      <c r="I1952" t="str">
        <f>IF(OR(BOQ_Table[[#This Row],[Quantity]]="",BOQ_Table[[#This Row],[Rate]]=""),"Missing","OK")</f>
        <v>OK</v>
      </c>
    </row>
    <row r="1953" spans="1:9" x14ac:dyDescent="0.35">
      <c r="A1953" t="s">
        <v>1977</v>
      </c>
      <c r="B1953" t="s">
        <v>40</v>
      </c>
      <c r="C1953" t="s">
        <v>21</v>
      </c>
      <c r="D1953">
        <v>445.59</v>
      </c>
      <c r="E1953" t="s">
        <v>22</v>
      </c>
      <c r="F1953">
        <v>4693.7</v>
      </c>
      <c r="G1953">
        <f t="shared" si="32"/>
        <v>2091465.7829999998</v>
      </c>
      <c r="H1953" t="str">
        <f>IF(BOQ_Table[[#This Row],[Amount]]&gt;100000,"Over Budget","OK")</f>
        <v>Over Budget</v>
      </c>
      <c r="I1953" t="str">
        <f>IF(OR(BOQ_Table[[#This Row],[Quantity]]="",BOQ_Table[[#This Row],[Rate]]=""),"Missing","OK")</f>
        <v>OK</v>
      </c>
    </row>
    <row r="1954" spans="1:9" x14ac:dyDescent="0.35">
      <c r="A1954" t="s">
        <v>1978</v>
      </c>
      <c r="B1954" t="s">
        <v>7</v>
      </c>
      <c r="C1954" t="s">
        <v>38</v>
      </c>
      <c r="D1954">
        <v>220.89</v>
      </c>
      <c r="E1954" t="s">
        <v>22</v>
      </c>
      <c r="F1954">
        <v>3039.78</v>
      </c>
      <c r="G1954">
        <f t="shared" si="32"/>
        <v>671457.00419999997</v>
      </c>
      <c r="H1954" t="str">
        <f>IF(BOQ_Table[[#This Row],[Amount]]&gt;100000,"Over Budget","OK")</f>
        <v>Over Budget</v>
      </c>
      <c r="I1954" t="str">
        <f>IF(OR(BOQ_Table[[#This Row],[Quantity]]="",BOQ_Table[[#This Row],[Rate]]=""),"Missing","OK")</f>
        <v>OK</v>
      </c>
    </row>
    <row r="1955" spans="1:9" x14ac:dyDescent="0.35">
      <c r="A1955" t="s">
        <v>1979</v>
      </c>
      <c r="B1955" t="s">
        <v>56</v>
      </c>
      <c r="C1955" t="s">
        <v>8</v>
      </c>
      <c r="D1955">
        <v>475.54</v>
      </c>
      <c r="E1955" t="s">
        <v>22</v>
      </c>
      <c r="F1955">
        <v>2716.55</v>
      </c>
      <c r="G1955">
        <f t="shared" si="32"/>
        <v>1291828.1870000002</v>
      </c>
      <c r="H1955" t="str">
        <f>IF(BOQ_Table[[#This Row],[Amount]]&gt;100000,"Over Budget","OK")</f>
        <v>Over Budget</v>
      </c>
      <c r="I1955" t="str">
        <f>IF(OR(BOQ_Table[[#This Row],[Quantity]]="",BOQ_Table[[#This Row],[Rate]]=""),"Missing","OK")</f>
        <v>OK</v>
      </c>
    </row>
    <row r="1956" spans="1:9" x14ac:dyDescent="0.35">
      <c r="A1956" t="s">
        <v>1980</v>
      </c>
      <c r="B1956" t="s">
        <v>56</v>
      </c>
      <c r="C1956" t="s">
        <v>38</v>
      </c>
      <c r="D1956">
        <v>349.75</v>
      </c>
      <c r="E1956" t="s">
        <v>18</v>
      </c>
      <c r="F1956">
        <v>4385.9799999999996</v>
      </c>
      <c r="G1956">
        <f t="shared" si="32"/>
        <v>1533996.5049999999</v>
      </c>
      <c r="H1956" t="str">
        <f>IF(BOQ_Table[[#This Row],[Amount]]&gt;100000,"Over Budget","OK")</f>
        <v>Over Budget</v>
      </c>
      <c r="I1956" t="str">
        <f>IF(OR(BOQ_Table[[#This Row],[Quantity]]="",BOQ_Table[[#This Row],[Rate]]=""),"Missing","OK")</f>
        <v>OK</v>
      </c>
    </row>
    <row r="1957" spans="1:9" x14ac:dyDescent="0.35">
      <c r="A1957" t="s">
        <v>1981</v>
      </c>
      <c r="B1957" t="s">
        <v>56</v>
      </c>
      <c r="C1957" t="s">
        <v>12</v>
      </c>
      <c r="D1957">
        <v>459.15</v>
      </c>
      <c r="E1957" t="s">
        <v>27</v>
      </c>
      <c r="F1957">
        <v>3119.31</v>
      </c>
      <c r="G1957">
        <f t="shared" si="32"/>
        <v>1432231.1864999998</v>
      </c>
      <c r="H1957" t="str">
        <f>IF(BOQ_Table[[#This Row],[Amount]]&gt;100000,"Over Budget","OK")</f>
        <v>Over Budget</v>
      </c>
      <c r="I1957" t="str">
        <f>IF(OR(BOQ_Table[[#This Row],[Quantity]]="",BOQ_Table[[#This Row],[Rate]]=""),"Missing","OK")</f>
        <v>OK</v>
      </c>
    </row>
    <row r="1958" spans="1:9" x14ac:dyDescent="0.35">
      <c r="A1958" t="s">
        <v>1982</v>
      </c>
      <c r="B1958" t="s">
        <v>32</v>
      </c>
      <c r="C1958" t="s">
        <v>12</v>
      </c>
      <c r="D1958">
        <v>108.29</v>
      </c>
      <c r="E1958" t="s">
        <v>14</v>
      </c>
      <c r="F1958">
        <v>4589.04</v>
      </c>
      <c r="G1958">
        <f t="shared" si="32"/>
        <v>496947.14160000003</v>
      </c>
      <c r="H1958" t="str">
        <f>IF(BOQ_Table[[#This Row],[Amount]]&gt;100000,"Over Budget","OK")</f>
        <v>Over Budget</v>
      </c>
      <c r="I1958" t="str">
        <f>IF(OR(BOQ_Table[[#This Row],[Quantity]]="",BOQ_Table[[#This Row],[Rate]]=""),"Missing","OK")</f>
        <v>OK</v>
      </c>
    </row>
    <row r="1959" spans="1:9" x14ac:dyDescent="0.35">
      <c r="A1959" t="s">
        <v>1983</v>
      </c>
      <c r="B1959" t="s">
        <v>56</v>
      </c>
      <c r="C1959" t="s">
        <v>21</v>
      </c>
      <c r="D1959">
        <v>381.28</v>
      </c>
      <c r="E1959" t="s">
        <v>14</v>
      </c>
      <c r="F1959">
        <v>606.11</v>
      </c>
      <c r="G1959">
        <f t="shared" si="32"/>
        <v>231097.62079999998</v>
      </c>
      <c r="H1959" t="str">
        <f>IF(BOQ_Table[[#This Row],[Amount]]&gt;100000,"Over Budget","OK")</f>
        <v>Over Budget</v>
      </c>
      <c r="I1959" t="str">
        <f>IF(OR(BOQ_Table[[#This Row],[Quantity]]="",BOQ_Table[[#This Row],[Rate]]=""),"Missing","OK")</f>
        <v>OK</v>
      </c>
    </row>
    <row r="1960" spans="1:9" x14ac:dyDescent="0.35">
      <c r="A1960" t="s">
        <v>1984</v>
      </c>
      <c r="B1960" t="s">
        <v>42</v>
      </c>
      <c r="C1960" t="s">
        <v>8</v>
      </c>
      <c r="D1960">
        <v>336.21</v>
      </c>
      <c r="E1960" t="s">
        <v>9</v>
      </c>
      <c r="F1960">
        <v>4739.6099999999997</v>
      </c>
      <c r="G1960">
        <f t="shared" si="32"/>
        <v>1593504.2780999998</v>
      </c>
      <c r="H1960" t="str">
        <f>IF(BOQ_Table[[#This Row],[Amount]]&gt;100000,"Over Budget","OK")</f>
        <v>Over Budget</v>
      </c>
      <c r="I1960" t="str">
        <f>IF(OR(BOQ_Table[[#This Row],[Quantity]]="",BOQ_Table[[#This Row],[Rate]]=""),"Missing","OK")</f>
        <v>OK</v>
      </c>
    </row>
    <row r="1961" spans="1:9" x14ac:dyDescent="0.35">
      <c r="A1961" t="s">
        <v>1985</v>
      </c>
      <c r="B1961" t="s">
        <v>16</v>
      </c>
      <c r="C1961" t="s">
        <v>38</v>
      </c>
      <c r="D1961">
        <v>499.58</v>
      </c>
      <c r="E1961" t="s">
        <v>18</v>
      </c>
      <c r="F1961">
        <v>4173.24</v>
      </c>
      <c r="G1961">
        <f t="shared" si="32"/>
        <v>2084867.2391999997</v>
      </c>
      <c r="H1961" t="str">
        <f>IF(BOQ_Table[[#This Row],[Amount]]&gt;100000,"Over Budget","OK")</f>
        <v>Over Budget</v>
      </c>
      <c r="I1961" t="str">
        <f>IF(OR(BOQ_Table[[#This Row],[Quantity]]="",BOQ_Table[[#This Row],[Rate]]=""),"Missing","OK")</f>
        <v>OK</v>
      </c>
    </row>
    <row r="1962" spans="1:9" x14ac:dyDescent="0.35">
      <c r="A1962" t="s">
        <v>1986</v>
      </c>
      <c r="B1962" t="s">
        <v>30</v>
      </c>
      <c r="C1962" t="s">
        <v>21</v>
      </c>
      <c r="D1962">
        <v>409.43</v>
      </c>
      <c r="E1962" t="s">
        <v>22</v>
      </c>
      <c r="F1962">
        <v>2856.29</v>
      </c>
      <c r="G1962">
        <f t="shared" si="32"/>
        <v>1169450.8147</v>
      </c>
      <c r="H1962" t="str">
        <f>IF(BOQ_Table[[#This Row],[Amount]]&gt;100000,"Over Budget","OK")</f>
        <v>Over Budget</v>
      </c>
      <c r="I1962" t="str">
        <f>IF(OR(BOQ_Table[[#This Row],[Quantity]]="",BOQ_Table[[#This Row],[Rate]]=""),"Missing","OK")</f>
        <v>OK</v>
      </c>
    </row>
    <row r="1963" spans="1:9" x14ac:dyDescent="0.35">
      <c r="A1963" t="s">
        <v>1987</v>
      </c>
      <c r="B1963" t="s">
        <v>32</v>
      </c>
      <c r="C1963" t="s">
        <v>21</v>
      </c>
      <c r="D1963">
        <v>447.26</v>
      </c>
      <c r="E1963" t="s">
        <v>22</v>
      </c>
      <c r="F1963">
        <v>2893.51</v>
      </c>
      <c r="G1963">
        <f t="shared" si="32"/>
        <v>1294151.2826</v>
      </c>
      <c r="H1963" t="str">
        <f>IF(BOQ_Table[[#This Row],[Amount]]&gt;100000,"Over Budget","OK")</f>
        <v>Over Budget</v>
      </c>
      <c r="I1963" t="str">
        <f>IF(OR(BOQ_Table[[#This Row],[Quantity]]="",BOQ_Table[[#This Row],[Rate]]=""),"Missing","OK")</f>
        <v>OK</v>
      </c>
    </row>
    <row r="1964" spans="1:9" x14ac:dyDescent="0.35">
      <c r="A1964" t="s">
        <v>1988</v>
      </c>
      <c r="B1964" t="s">
        <v>42</v>
      </c>
      <c r="C1964" t="s">
        <v>17</v>
      </c>
      <c r="D1964">
        <v>207.57</v>
      </c>
      <c r="E1964" t="s">
        <v>22</v>
      </c>
      <c r="F1964">
        <v>2866.5</v>
      </c>
      <c r="G1964">
        <f t="shared" si="32"/>
        <v>594999.40500000003</v>
      </c>
      <c r="H1964" t="str">
        <f>IF(BOQ_Table[[#This Row],[Amount]]&gt;100000,"Over Budget","OK")</f>
        <v>Over Budget</v>
      </c>
      <c r="I1964" t="str">
        <f>IF(OR(BOQ_Table[[#This Row],[Quantity]]="",BOQ_Table[[#This Row],[Rate]]=""),"Missing","OK")</f>
        <v>OK</v>
      </c>
    </row>
    <row r="1965" spans="1:9" x14ac:dyDescent="0.35">
      <c r="A1965" t="s">
        <v>1989</v>
      </c>
      <c r="B1965" t="s">
        <v>7</v>
      </c>
      <c r="C1965" t="s">
        <v>38</v>
      </c>
      <c r="D1965">
        <v>329.4</v>
      </c>
      <c r="E1965" t="s">
        <v>18</v>
      </c>
      <c r="F1965">
        <v>192.13</v>
      </c>
      <c r="G1965">
        <f t="shared" si="32"/>
        <v>63287.621999999996</v>
      </c>
      <c r="H1965" t="str">
        <f>IF(BOQ_Table[[#This Row],[Amount]]&gt;100000,"Over Budget","OK")</f>
        <v>OK</v>
      </c>
      <c r="I1965" t="str">
        <f>IF(OR(BOQ_Table[[#This Row],[Quantity]]="",BOQ_Table[[#This Row],[Rate]]=""),"Missing","OK")</f>
        <v>OK</v>
      </c>
    </row>
    <row r="1966" spans="1:9" x14ac:dyDescent="0.35">
      <c r="A1966" t="s">
        <v>1990</v>
      </c>
      <c r="B1966" t="s">
        <v>11</v>
      </c>
      <c r="C1966" t="s">
        <v>38</v>
      </c>
      <c r="D1966">
        <v>215.52</v>
      </c>
      <c r="E1966" t="s">
        <v>27</v>
      </c>
      <c r="F1966">
        <v>1752.5</v>
      </c>
      <c r="G1966">
        <f t="shared" si="32"/>
        <v>377698.80000000005</v>
      </c>
      <c r="H1966" t="str">
        <f>IF(BOQ_Table[[#This Row],[Amount]]&gt;100000,"Over Budget","OK")</f>
        <v>Over Budget</v>
      </c>
      <c r="I1966" t="str">
        <f>IF(OR(BOQ_Table[[#This Row],[Quantity]]="",BOQ_Table[[#This Row],[Rate]]=""),"Missing","OK")</f>
        <v>OK</v>
      </c>
    </row>
    <row r="1967" spans="1:9" x14ac:dyDescent="0.35">
      <c r="A1967" t="s">
        <v>1991</v>
      </c>
      <c r="B1967" t="s">
        <v>16</v>
      </c>
      <c r="C1967" t="s">
        <v>17</v>
      </c>
      <c r="D1967">
        <v>352.67</v>
      </c>
      <c r="E1967" t="s">
        <v>18</v>
      </c>
      <c r="F1967">
        <v>4655.92</v>
      </c>
      <c r="G1967">
        <f t="shared" si="32"/>
        <v>1642003.3064000001</v>
      </c>
      <c r="H1967" t="str">
        <f>IF(BOQ_Table[[#This Row],[Amount]]&gt;100000,"Over Budget","OK")</f>
        <v>Over Budget</v>
      </c>
      <c r="I1967" t="str">
        <f>IF(OR(BOQ_Table[[#This Row],[Quantity]]="",BOQ_Table[[#This Row],[Rate]]=""),"Missing","OK")</f>
        <v>OK</v>
      </c>
    </row>
    <row r="1968" spans="1:9" x14ac:dyDescent="0.35">
      <c r="A1968" t="s">
        <v>1992</v>
      </c>
      <c r="B1968" t="s">
        <v>56</v>
      </c>
      <c r="C1968" t="s">
        <v>21</v>
      </c>
      <c r="D1968">
        <v>126.43</v>
      </c>
      <c r="E1968" t="s">
        <v>22</v>
      </c>
      <c r="F1968">
        <v>3804.02</v>
      </c>
      <c r="G1968">
        <f t="shared" si="32"/>
        <v>480942.24860000005</v>
      </c>
      <c r="H1968" t="str">
        <f>IF(BOQ_Table[[#This Row],[Amount]]&gt;100000,"Over Budget","OK")</f>
        <v>Over Budget</v>
      </c>
      <c r="I1968" t="str">
        <f>IF(OR(BOQ_Table[[#This Row],[Quantity]]="",BOQ_Table[[#This Row],[Rate]]=""),"Missing","OK")</f>
        <v>OK</v>
      </c>
    </row>
    <row r="1969" spans="1:9" x14ac:dyDescent="0.35">
      <c r="A1969" t="s">
        <v>1993</v>
      </c>
      <c r="B1969" t="s">
        <v>56</v>
      </c>
      <c r="C1969" t="s">
        <v>21</v>
      </c>
      <c r="D1969">
        <v>87.7</v>
      </c>
      <c r="E1969" t="s">
        <v>27</v>
      </c>
      <c r="F1969">
        <v>4731.97</v>
      </c>
      <c r="G1969">
        <f t="shared" si="32"/>
        <v>414993.76900000003</v>
      </c>
      <c r="H1969" t="str">
        <f>IF(BOQ_Table[[#This Row],[Amount]]&gt;100000,"Over Budget","OK")</f>
        <v>Over Budget</v>
      </c>
      <c r="I1969" t="str">
        <f>IF(OR(BOQ_Table[[#This Row],[Quantity]]="",BOQ_Table[[#This Row],[Rate]]=""),"Missing","OK")</f>
        <v>OK</v>
      </c>
    </row>
    <row r="1970" spans="1:9" x14ac:dyDescent="0.35">
      <c r="A1970" t="s">
        <v>1994</v>
      </c>
      <c r="B1970" t="s">
        <v>30</v>
      </c>
      <c r="C1970" t="s">
        <v>17</v>
      </c>
      <c r="D1970">
        <v>141.44</v>
      </c>
      <c r="E1970" t="s">
        <v>27</v>
      </c>
      <c r="F1970">
        <v>1938.86</v>
      </c>
      <c r="G1970">
        <f t="shared" si="32"/>
        <v>274232.35839999997</v>
      </c>
      <c r="H1970" t="str">
        <f>IF(BOQ_Table[[#This Row],[Amount]]&gt;100000,"Over Budget","OK")</f>
        <v>Over Budget</v>
      </c>
      <c r="I1970" t="str">
        <f>IF(OR(BOQ_Table[[#This Row],[Quantity]]="",BOQ_Table[[#This Row],[Rate]]=""),"Missing","OK")</f>
        <v>OK</v>
      </c>
    </row>
    <row r="1971" spans="1:9" x14ac:dyDescent="0.35">
      <c r="A1971" t="s">
        <v>1995</v>
      </c>
      <c r="B1971" t="s">
        <v>46</v>
      </c>
      <c r="C1971" t="s">
        <v>38</v>
      </c>
      <c r="D1971">
        <v>292.94</v>
      </c>
      <c r="E1971" t="s">
        <v>27</v>
      </c>
      <c r="F1971">
        <v>3788.98</v>
      </c>
      <c r="G1971">
        <f t="shared" si="32"/>
        <v>1109943.8012000001</v>
      </c>
      <c r="H1971" t="str">
        <f>IF(BOQ_Table[[#This Row],[Amount]]&gt;100000,"Over Budget","OK")</f>
        <v>Over Budget</v>
      </c>
      <c r="I1971" t="str">
        <f>IF(OR(BOQ_Table[[#This Row],[Quantity]]="",BOQ_Table[[#This Row],[Rate]]=""),"Missing","OK")</f>
        <v>OK</v>
      </c>
    </row>
    <row r="1972" spans="1:9" x14ac:dyDescent="0.35">
      <c r="A1972" t="s">
        <v>1996</v>
      </c>
      <c r="B1972" t="s">
        <v>16</v>
      </c>
      <c r="C1972" t="s">
        <v>8</v>
      </c>
      <c r="D1972">
        <v>485.85</v>
      </c>
      <c r="E1972" t="s">
        <v>18</v>
      </c>
      <c r="F1972">
        <v>4705.16</v>
      </c>
      <c r="G1972">
        <f t="shared" si="32"/>
        <v>2286001.986</v>
      </c>
      <c r="H1972" t="str">
        <f>IF(BOQ_Table[[#This Row],[Amount]]&gt;100000,"Over Budget","OK")</f>
        <v>Over Budget</v>
      </c>
      <c r="I1972" t="str">
        <f>IF(OR(BOQ_Table[[#This Row],[Quantity]]="",BOQ_Table[[#This Row],[Rate]]=""),"Missing","OK")</f>
        <v>OK</v>
      </c>
    </row>
    <row r="1973" spans="1:9" x14ac:dyDescent="0.35">
      <c r="A1973" t="s">
        <v>1997</v>
      </c>
      <c r="B1973" t="s">
        <v>32</v>
      </c>
      <c r="C1973" t="s">
        <v>17</v>
      </c>
      <c r="D1973">
        <v>381.66</v>
      </c>
      <c r="E1973" t="s">
        <v>18</v>
      </c>
      <c r="F1973">
        <v>3650.88</v>
      </c>
      <c r="G1973">
        <f t="shared" si="32"/>
        <v>1393394.8608000001</v>
      </c>
      <c r="H1973" t="str">
        <f>IF(BOQ_Table[[#This Row],[Amount]]&gt;100000,"Over Budget","OK")</f>
        <v>Over Budget</v>
      </c>
      <c r="I1973" t="str">
        <f>IF(OR(BOQ_Table[[#This Row],[Quantity]]="",BOQ_Table[[#This Row],[Rate]]=""),"Missing","OK")</f>
        <v>OK</v>
      </c>
    </row>
    <row r="1974" spans="1:9" x14ac:dyDescent="0.35">
      <c r="A1974" t="s">
        <v>1998</v>
      </c>
      <c r="B1974" t="s">
        <v>40</v>
      </c>
      <c r="C1974" t="s">
        <v>17</v>
      </c>
      <c r="D1974">
        <v>260.64</v>
      </c>
      <c r="E1974" t="s">
        <v>14</v>
      </c>
      <c r="F1974">
        <v>862.07</v>
      </c>
      <c r="G1974">
        <f t="shared" si="32"/>
        <v>224689.92480000001</v>
      </c>
      <c r="H1974" t="str">
        <f>IF(BOQ_Table[[#This Row],[Amount]]&gt;100000,"Over Budget","OK")</f>
        <v>Over Budget</v>
      </c>
      <c r="I1974" t="str">
        <f>IF(OR(BOQ_Table[[#This Row],[Quantity]]="",BOQ_Table[[#This Row],[Rate]]=""),"Missing","OK")</f>
        <v>OK</v>
      </c>
    </row>
    <row r="1975" spans="1:9" x14ac:dyDescent="0.35">
      <c r="A1975" t="s">
        <v>1999</v>
      </c>
      <c r="B1975" t="s">
        <v>56</v>
      </c>
      <c r="C1975" t="s">
        <v>38</v>
      </c>
      <c r="D1975">
        <v>197.78</v>
      </c>
      <c r="E1975" t="s">
        <v>18</v>
      </c>
      <c r="F1975">
        <v>4342.92</v>
      </c>
      <c r="G1975">
        <f t="shared" si="32"/>
        <v>858942.71759999997</v>
      </c>
      <c r="H1975" t="str">
        <f>IF(BOQ_Table[[#This Row],[Amount]]&gt;100000,"Over Budget","OK")</f>
        <v>Over Budget</v>
      </c>
      <c r="I1975" t="str">
        <f>IF(OR(BOQ_Table[[#This Row],[Quantity]]="",BOQ_Table[[#This Row],[Rate]]=""),"Missing","OK")</f>
        <v>OK</v>
      </c>
    </row>
    <row r="1976" spans="1:9" x14ac:dyDescent="0.35">
      <c r="A1976" t="s">
        <v>2000</v>
      </c>
      <c r="B1976" t="s">
        <v>42</v>
      </c>
      <c r="C1976" t="s">
        <v>8</v>
      </c>
      <c r="D1976">
        <v>302.41000000000003</v>
      </c>
      <c r="E1976" t="s">
        <v>27</v>
      </c>
      <c r="F1976">
        <v>1635.84</v>
      </c>
      <c r="G1976">
        <f t="shared" si="32"/>
        <v>494694.37440000003</v>
      </c>
      <c r="H1976" t="str">
        <f>IF(BOQ_Table[[#This Row],[Amount]]&gt;100000,"Over Budget","OK")</f>
        <v>Over Budget</v>
      </c>
      <c r="I1976" t="str">
        <f>IF(OR(BOQ_Table[[#This Row],[Quantity]]="",BOQ_Table[[#This Row],[Rate]]=""),"Missing","OK")</f>
        <v>OK</v>
      </c>
    </row>
    <row r="1977" spans="1:9" x14ac:dyDescent="0.35">
      <c r="A1977" t="s">
        <v>2001</v>
      </c>
      <c r="B1977" t="s">
        <v>42</v>
      </c>
      <c r="C1977" t="s">
        <v>38</v>
      </c>
      <c r="D1977">
        <v>289.89</v>
      </c>
      <c r="E1977" t="s">
        <v>22</v>
      </c>
      <c r="F1977">
        <v>3106.22</v>
      </c>
      <c r="G1977">
        <f t="shared" si="32"/>
        <v>900462.11579999991</v>
      </c>
      <c r="H1977" t="str">
        <f>IF(BOQ_Table[[#This Row],[Amount]]&gt;100000,"Over Budget","OK")</f>
        <v>Over Budget</v>
      </c>
      <c r="I1977" t="str">
        <f>IF(OR(BOQ_Table[[#This Row],[Quantity]]="",BOQ_Table[[#This Row],[Rate]]=""),"Missing","OK")</f>
        <v>OK</v>
      </c>
    </row>
    <row r="1978" spans="1:9" x14ac:dyDescent="0.35">
      <c r="A1978" t="s">
        <v>2002</v>
      </c>
      <c r="B1978" t="s">
        <v>20</v>
      </c>
      <c r="C1978" t="s">
        <v>8</v>
      </c>
      <c r="D1978">
        <v>264.5</v>
      </c>
      <c r="E1978" t="s">
        <v>9</v>
      </c>
      <c r="F1978">
        <v>4099.6400000000003</v>
      </c>
      <c r="G1978">
        <f t="shared" si="32"/>
        <v>1084354.78</v>
      </c>
      <c r="H1978" t="str">
        <f>IF(BOQ_Table[[#This Row],[Amount]]&gt;100000,"Over Budget","OK")</f>
        <v>Over Budget</v>
      </c>
      <c r="I1978" t="str">
        <f>IF(OR(BOQ_Table[[#This Row],[Quantity]]="",BOQ_Table[[#This Row],[Rate]]=""),"Missing","OK")</f>
        <v>OK</v>
      </c>
    </row>
    <row r="1979" spans="1:9" x14ac:dyDescent="0.35">
      <c r="A1979" t="s">
        <v>2003</v>
      </c>
      <c r="B1979" t="s">
        <v>40</v>
      </c>
      <c r="C1979" t="s">
        <v>17</v>
      </c>
      <c r="D1979">
        <v>400.12</v>
      </c>
      <c r="E1979" t="s">
        <v>14</v>
      </c>
      <c r="F1979">
        <v>3714.04</v>
      </c>
      <c r="G1979">
        <f t="shared" si="32"/>
        <v>1486061.6847999999</v>
      </c>
      <c r="H1979" t="str">
        <f>IF(BOQ_Table[[#This Row],[Amount]]&gt;100000,"Over Budget","OK")</f>
        <v>Over Budget</v>
      </c>
      <c r="I1979" t="str">
        <f>IF(OR(BOQ_Table[[#This Row],[Quantity]]="",BOQ_Table[[#This Row],[Rate]]=""),"Missing","OK")</f>
        <v>OK</v>
      </c>
    </row>
    <row r="1980" spans="1:9" x14ac:dyDescent="0.35">
      <c r="A1980" t="s">
        <v>2004</v>
      </c>
      <c r="B1980" t="s">
        <v>20</v>
      </c>
      <c r="C1980" t="s">
        <v>17</v>
      </c>
      <c r="D1980">
        <v>123.08</v>
      </c>
      <c r="E1980" t="s">
        <v>22</v>
      </c>
      <c r="F1980">
        <v>2987.42</v>
      </c>
      <c r="G1980">
        <f t="shared" si="32"/>
        <v>367691.65360000002</v>
      </c>
      <c r="H1980" t="str">
        <f>IF(BOQ_Table[[#This Row],[Amount]]&gt;100000,"Over Budget","OK")</f>
        <v>Over Budget</v>
      </c>
      <c r="I1980" t="str">
        <f>IF(OR(BOQ_Table[[#This Row],[Quantity]]="",BOQ_Table[[#This Row],[Rate]]=""),"Missing","OK")</f>
        <v>OK</v>
      </c>
    </row>
    <row r="1981" spans="1:9" x14ac:dyDescent="0.35">
      <c r="A1981" t="s">
        <v>2005</v>
      </c>
      <c r="B1981" t="s">
        <v>46</v>
      </c>
      <c r="C1981" t="s">
        <v>21</v>
      </c>
      <c r="D1981">
        <v>493.41</v>
      </c>
      <c r="E1981" t="s">
        <v>18</v>
      </c>
      <c r="F1981">
        <v>4102.7</v>
      </c>
      <c r="G1981">
        <f t="shared" si="32"/>
        <v>2024313.2069999999</v>
      </c>
      <c r="H1981" t="str">
        <f>IF(BOQ_Table[[#This Row],[Amount]]&gt;100000,"Over Budget","OK")</f>
        <v>Over Budget</v>
      </c>
      <c r="I1981" t="str">
        <f>IF(OR(BOQ_Table[[#This Row],[Quantity]]="",BOQ_Table[[#This Row],[Rate]]=""),"Missing","OK")</f>
        <v>OK</v>
      </c>
    </row>
    <row r="1982" spans="1:9" x14ac:dyDescent="0.35">
      <c r="A1982" t="s">
        <v>2006</v>
      </c>
      <c r="B1982" t="s">
        <v>20</v>
      </c>
      <c r="C1982" t="s">
        <v>12</v>
      </c>
      <c r="D1982">
        <v>176.64</v>
      </c>
      <c r="E1982" t="s">
        <v>27</v>
      </c>
      <c r="F1982">
        <v>508.91</v>
      </c>
      <c r="G1982">
        <f t="shared" si="32"/>
        <v>89893.862399999998</v>
      </c>
      <c r="H1982" t="str">
        <f>IF(BOQ_Table[[#This Row],[Amount]]&gt;100000,"Over Budget","OK")</f>
        <v>OK</v>
      </c>
      <c r="I1982" t="str">
        <f>IF(OR(BOQ_Table[[#This Row],[Quantity]]="",BOQ_Table[[#This Row],[Rate]]=""),"Missing","OK")</f>
        <v>OK</v>
      </c>
    </row>
    <row r="1983" spans="1:9" x14ac:dyDescent="0.35">
      <c r="A1983" t="s">
        <v>2007</v>
      </c>
      <c r="B1983" t="s">
        <v>42</v>
      </c>
      <c r="C1983" t="s">
        <v>12</v>
      </c>
      <c r="D1983">
        <v>347.35</v>
      </c>
      <c r="E1983" t="s">
        <v>22</v>
      </c>
      <c r="F1983">
        <v>4557.7700000000004</v>
      </c>
      <c r="G1983">
        <f t="shared" si="32"/>
        <v>1583141.4095000003</v>
      </c>
      <c r="H1983" t="str">
        <f>IF(BOQ_Table[[#This Row],[Amount]]&gt;100000,"Over Budget","OK")</f>
        <v>Over Budget</v>
      </c>
      <c r="I1983" t="str">
        <f>IF(OR(BOQ_Table[[#This Row],[Quantity]]="",BOQ_Table[[#This Row],[Rate]]=""),"Missing","OK")</f>
        <v>OK</v>
      </c>
    </row>
    <row r="1984" spans="1:9" x14ac:dyDescent="0.35">
      <c r="A1984" t="s">
        <v>2008</v>
      </c>
      <c r="B1984" t="s">
        <v>16</v>
      </c>
      <c r="C1984" t="s">
        <v>8</v>
      </c>
      <c r="D1984">
        <v>167.94</v>
      </c>
      <c r="E1984" t="s">
        <v>14</v>
      </c>
      <c r="F1984">
        <v>273.17</v>
      </c>
      <c r="G1984">
        <f t="shared" si="32"/>
        <v>45876.169800000003</v>
      </c>
      <c r="H1984" t="str">
        <f>IF(BOQ_Table[[#This Row],[Amount]]&gt;100000,"Over Budget","OK")</f>
        <v>OK</v>
      </c>
      <c r="I1984" t="str">
        <f>IF(OR(BOQ_Table[[#This Row],[Quantity]]="",BOQ_Table[[#This Row],[Rate]]=""),"Missing","OK")</f>
        <v>OK</v>
      </c>
    </row>
    <row r="1985" spans="1:9" x14ac:dyDescent="0.35">
      <c r="A1985" t="s">
        <v>2009</v>
      </c>
      <c r="B1985" t="s">
        <v>20</v>
      </c>
      <c r="C1985" t="s">
        <v>17</v>
      </c>
      <c r="D1985">
        <v>11.87</v>
      </c>
      <c r="E1985" t="s">
        <v>9</v>
      </c>
      <c r="F1985">
        <v>2903.93</v>
      </c>
      <c r="G1985">
        <f t="shared" si="32"/>
        <v>34469.649099999995</v>
      </c>
      <c r="H1985" t="str">
        <f>IF(BOQ_Table[[#This Row],[Amount]]&gt;100000,"Over Budget","OK")</f>
        <v>OK</v>
      </c>
      <c r="I1985" t="str">
        <f>IF(OR(BOQ_Table[[#This Row],[Quantity]]="",BOQ_Table[[#This Row],[Rate]]=""),"Missing","OK")</f>
        <v>OK</v>
      </c>
    </row>
    <row r="1986" spans="1:9" x14ac:dyDescent="0.35">
      <c r="A1986" t="s">
        <v>2010</v>
      </c>
      <c r="B1986" t="s">
        <v>42</v>
      </c>
      <c r="C1986" t="s">
        <v>8</v>
      </c>
      <c r="D1986">
        <v>26.46</v>
      </c>
      <c r="E1986" t="s">
        <v>27</v>
      </c>
      <c r="F1986">
        <v>4285.91</v>
      </c>
      <c r="G1986">
        <f t="shared" ref="G1986:G2001" si="33">D1986*F1986</f>
        <v>113405.1786</v>
      </c>
      <c r="H1986" t="str">
        <f>IF(BOQ_Table[[#This Row],[Amount]]&gt;100000,"Over Budget","OK")</f>
        <v>Over Budget</v>
      </c>
      <c r="I1986" t="str">
        <f>IF(OR(BOQ_Table[[#This Row],[Quantity]]="",BOQ_Table[[#This Row],[Rate]]=""),"Missing","OK")</f>
        <v>OK</v>
      </c>
    </row>
    <row r="1987" spans="1:9" x14ac:dyDescent="0.35">
      <c r="A1987" t="s">
        <v>2011</v>
      </c>
      <c r="B1987" t="s">
        <v>40</v>
      </c>
      <c r="C1987" t="s">
        <v>17</v>
      </c>
      <c r="D1987">
        <v>319.2</v>
      </c>
      <c r="E1987" t="s">
        <v>9</v>
      </c>
      <c r="F1987">
        <v>4147.9799999999996</v>
      </c>
      <c r="G1987">
        <f t="shared" si="33"/>
        <v>1324035.2159999998</v>
      </c>
      <c r="H1987" t="str">
        <f>IF(BOQ_Table[[#This Row],[Amount]]&gt;100000,"Over Budget","OK")</f>
        <v>Over Budget</v>
      </c>
      <c r="I1987" t="str">
        <f>IF(OR(BOQ_Table[[#This Row],[Quantity]]="",BOQ_Table[[#This Row],[Rate]]=""),"Missing","OK")</f>
        <v>OK</v>
      </c>
    </row>
    <row r="1988" spans="1:9" x14ac:dyDescent="0.35">
      <c r="A1988" t="s">
        <v>2012</v>
      </c>
      <c r="B1988" t="s">
        <v>16</v>
      </c>
      <c r="C1988" t="s">
        <v>17</v>
      </c>
      <c r="D1988">
        <v>218.43</v>
      </c>
      <c r="E1988" t="s">
        <v>18</v>
      </c>
      <c r="F1988">
        <v>208.26</v>
      </c>
      <c r="G1988">
        <f t="shared" si="33"/>
        <v>45490.231800000001</v>
      </c>
      <c r="H1988" t="str">
        <f>IF(BOQ_Table[[#This Row],[Amount]]&gt;100000,"Over Budget","OK")</f>
        <v>OK</v>
      </c>
      <c r="I1988" t="str">
        <f>IF(OR(BOQ_Table[[#This Row],[Quantity]]="",BOQ_Table[[#This Row],[Rate]]=""),"Missing","OK")</f>
        <v>OK</v>
      </c>
    </row>
    <row r="1989" spans="1:9" x14ac:dyDescent="0.35">
      <c r="A1989" t="s">
        <v>2013</v>
      </c>
      <c r="B1989" t="s">
        <v>32</v>
      </c>
      <c r="C1989" t="s">
        <v>12</v>
      </c>
      <c r="D1989">
        <v>395.53</v>
      </c>
      <c r="E1989" t="s">
        <v>14</v>
      </c>
      <c r="F1989">
        <v>3803.36</v>
      </c>
      <c r="G1989">
        <f t="shared" si="33"/>
        <v>1504342.9808</v>
      </c>
      <c r="H1989" t="str">
        <f>IF(BOQ_Table[[#This Row],[Amount]]&gt;100000,"Over Budget","OK")</f>
        <v>Over Budget</v>
      </c>
      <c r="I1989" t="str">
        <f>IF(OR(BOQ_Table[[#This Row],[Quantity]]="",BOQ_Table[[#This Row],[Rate]]=""),"Missing","OK")</f>
        <v>OK</v>
      </c>
    </row>
    <row r="1990" spans="1:9" x14ac:dyDescent="0.35">
      <c r="A1990" t="s">
        <v>2014</v>
      </c>
      <c r="B1990" t="s">
        <v>32</v>
      </c>
      <c r="C1990" t="s">
        <v>21</v>
      </c>
      <c r="D1990">
        <v>86.25</v>
      </c>
      <c r="E1990" t="s">
        <v>27</v>
      </c>
      <c r="F1990">
        <v>3550.21</v>
      </c>
      <c r="G1990">
        <f t="shared" si="33"/>
        <v>306205.61249999999</v>
      </c>
      <c r="H1990" t="str">
        <f>IF(BOQ_Table[[#This Row],[Amount]]&gt;100000,"Over Budget","OK")</f>
        <v>Over Budget</v>
      </c>
      <c r="I1990" t="str">
        <f>IF(OR(BOQ_Table[[#This Row],[Quantity]]="",BOQ_Table[[#This Row],[Rate]]=""),"Missing","OK")</f>
        <v>OK</v>
      </c>
    </row>
    <row r="1991" spans="1:9" x14ac:dyDescent="0.35">
      <c r="A1991" t="s">
        <v>2015</v>
      </c>
      <c r="B1991" t="s">
        <v>16</v>
      </c>
      <c r="C1991" t="s">
        <v>21</v>
      </c>
      <c r="D1991">
        <v>131.02000000000001</v>
      </c>
      <c r="E1991" t="s">
        <v>27</v>
      </c>
      <c r="F1991">
        <v>3196.12</v>
      </c>
      <c r="G1991">
        <f t="shared" si="33"/>
        <v>418755.64240000001</v>
      </c>
      <c r="H1991" t="str">
        <f>IF(BOQ_Table[[#This Row],[Amount]]&gt;100000,"Over Budget","OK")</f>
        <v>Over Budget</v>
      </c>
      <c r="I1991" t="str">
        <f>IF(OR(BOQ_Table[[#This Row],[Quantity]]="",BOQ_Table[[#This Row],[Rate]]=""),"Missing","OK")</f>
        <v>OK</v>
      </c>
    </row>
    <row r="1992" spans="1:9" x14ac:dyDescent="0.35">
      <c r="A1992" t="s">
        <v>2016</v>
      </c>
      <c r="B1992" t="s">
        <v>32</v>
      </c>
      <c r="C1992" t="s">
        <v>17</v>
      </c>
      <c r="D1992">
        <v>230.15</v>
      </c>
      <c r="E1992" t="s">
        <v>22</v>
      </c>
      <c r="F1992">
        <v>4554.62</v>
      </c>
      <c r="G1992">
        <f t="shared" si="33"/>
        <v>1048245.7929999999</v>
      </c>
      <c r="H1992" t="str">
        <f>IF(BOQ_Table[[#This Row],[Amount]]&gt;100000,"Over Budget","OK")</f>
        <v>Over Budget</v>
      </c>
      <c r="I1992" t="str">
        <f>IF(OR(BOQ_Table[[#This Row],[Quantity]]="",BOQ_Table[[#This Row],[Rate]]=""),"Missing","OK")</f>
        <v>OK</v>
      </c>
    </row>
    <row r="1993" spans="1:9" x14ac:dyDescent="0.35">
      <c r="A1993" t="s">
        <v>2017</v>
      </c>
      <c r="B1993" t="s">
        <v>7</v>
      </c>
      <c r="C1993" t="s">
        <v>17</v>
      </c>
      <c r="D1993">
        <v>218.17</v>
      </c>
      <c r="E1993" t="s">
        <v>14</v>
      </c>
      <c r="F1993">
        <v>152.87</v>
      </c>
      <c r="G1993">
        <f t="shared" si="33"/>
        <v>33351.647899999996</v>
      </c>
      <c r="H1993" t="str">
        <f>IF(BOQ_Table[[#This Row],[Amount]]&gt;100000,"Over Budget","OK")</f>
        <v>OK</v>
      </c>
      <c r="I1993" t="str">
        <f>IF(OR(BOQ_Table[[#This Row],[Quantity]]="",BOQ_Table[[#This Row],[Rate]]=""),"Missing","OK")</f>
        <v>OK</v>
      </c>
    </row>
    <row r="1994" spans="1:9" x14ac:dyDescent="0.35">
      <c r="A1994" t="s">
        <v>2018</v>
      </c>
      <c r="B1994" t="s">
        <v>7</v>
      </c>
      <c r="C1994" t="s">
        <v>8</v>
      </c>
      <c r="D1994">
        <v>418.08</v>
      </c>
      <c r="E1994" t="s">
        <v>9</v>
      </c>
      <c r="F1994">
        <v>1550.68</v>
      </c>
      <c r="G1994">
        <f t="shared" si="33"/>
        <v>648308.29440000001</v>
      </c>
      <c r="H1994" t="str">
        <f>IF(BOQ_Table[[#This Row],[Amount]]&gt;100000,"Over Budget","OK")</f>
        <v>Over Budget</v>
      </c>
      <c r="I1994" t="str">
        <f>IF(OR(BOQ_Table[[#This Row],[Quantity]]="",BOQ_Table[[#This Row],[Rate]]=""),"Missing","OK")</f>
        <v>OK</v>
      </c>
    </row>
    <row r="1995" spans="1:9" x14ac:dyDescent="0.35">
      <c r="A1995" t="s">
        <v>2019</v>
      </c>
      <c r="B1995" t="s">
        <v>11</v>
      </c>
      <c r="C1995" t="s">
        <v>12</v>
      </c>
      <c r="D1995">
        <v>198.2</v>
      </c>
      <c r="E1995" t="s">
        <v>18</v>
      </c>
      <c r="F1995">
        <v>2967.93</v>
      </c>
      <c r="G1995">
        <f t="shared" si="33"/>
        <v>588243.72599999991</v>
      </c>
      <c r="H1995" t="str">
        <f>IF(BOQ_Table[[#This Row],[Amount]]&gt;100000,"Over Budget","OK")</f>
        <v>Over Budget</v>
      </c>
      <c r="I1995" t="str">
        <f>IF(OR(BOQ_Table[[#This Row],[Quantity]]="",BOQ_Table[[#This Row],[Rate]]=""),"Missing","OK")</f>
        <v>OK</v>
      </c>
    </row>
    <row r="1996" spans="1:9" x14ac:dyDescent="0.35">
      <c r="A1996" t="s">
        <v>2020</v>
      </c>
      <c r="B1996" t="s">
        <v>11</v>
      </c>
      <c r="C1996" t="s">
        <v>38</v>
      </c>
      <c r="D1996">
        <v>46.09</v>
      </c>
      <c r="E1996" t="s">
        <v>14</v>
      </c>
      <c r="F1996">
        <v>4683.95</v>
      </c>
      <c r="G1996">
        <f t="shared" si="33"/>
        <v>215883.2555</v>
      </c>
      <c r="H1996" t="str">
        <f>IF(BOQ_Table[[#This Row],[Amount]]&gt;100000,"Over Budget","OK")</f>
        <v>Over Budget</v>
      </c>
      <c r="I1996" t="str">
        <f>IF(OR(BOQ_Table[[#This Row],[Quantity]]="",BOQ_Table[[#This Row],[Rate]]=""),"Missing","OK")</f>
        <v>OK</v>
      </c>
    </row>
    <row r="1997" spans="1:9" x14ac:dyDescent="0.35">
      <c r="A1997" t="s">
        <v>2021</v>
      </c>
      <c r="B1997" t="s">
        <v>7</v>
      </c>
      <c r="C1997" t="s">
        <v>12</v>
      </c>
      <c r="D1997">
        <v>18.329999999999998</v>
      </c>
      <c r="E1997" t="s">
        <v>18</v>
      </c>
      <c r="F1997">
        <v>3506.86</v>
      </c>
      <c r="G1997">
        <f t="shared" si="33"/>
        <v>64280.743799999997</v>
      </c>
      <c r="H1997" t="str">
        <f>IF(BOQ_Table[[#This Row],[Amount]]&gt;100000,"Over Budget","OK")</f>
        <v>OK</v>
      </c>
      <c r="I1997" t="str">
        <f>IF(OR(BOQ_Table[[#This Row],[Quantity]]="",BOQ_Table[[#This Row],[Rate]]=""),"Missing","OK")</f>
        <v>OK</v>
      </c>
    </row>
    <row r="1998" spans="1:9" x14ac:dyDescent="0.35">
      <c r="A1998" t="s">
        <v>2022</v>
      </c>
      <c r="B1998" t="s">
        <v>16</v>
      </c>
      <c r="C1998" t="s">
        <v>38</v>
      </c>
      <c r="D1998">
        <v>290.73</v>
      </c>
      <c r="E1998" t="s">
        <v>27</v>
      </c>
      <c r="F1998">
        <v>1926.86</v>
      </c>
      <c r="G1998">
        <f t="shared" si="33"/>
        <v>560196.00780000002</v>
      </c>
      <c r="H1998" t="str">
        <f>IF(BOQ_Table[[#This Row],[Amount]]&gt;100000,"Over Budget","OK")</f>
        <v>Over Budget</v>
      </c>
      <c r="I1998" t="str">
        <f>IF(OR(BOQ_Table[[#This Row],[Quantity]]="",BOQ_Table[[#This Row],[Rate]]=""),"Missing","OK")</f>
        <v>OK</v>
      </c>
    </row>
    <row r="1999" spans="1:9" x14ac:dyDescent="0.35">
      <c r="A1999" t="s">
        <v>2023</v>
      </c>
      <c r="B1999" t="s">
        <v>16</v>
      </c>
      <c r="C1999" t="s">
        <v>38</v>
      </c>
      <c r="D1999">
        <v>25.33</v>
      </c>
      <c r="E1999" t="s">
        <v>14</v>
      </c>
      <c r="F1999">
        <v>1390.68</v>
      </c>
      <c r="G1999">
        <f t="shared" si="33"/>
        <v>35225.924399999996</v>
      </c>
      <c r="H1999" t="str">
        <f>IF(BOQ_Table[[#This Row],[Amount]]&gt;100000,"Over Budget","OK")</f>
        <v>OK</v>
      </c>
      <c r="I1999" t="str">
        <f>IF(OR(BOQ_Table[[#This Row],[Quantity]]="",BOQ_Table[[#This Row],[Rate]]=""),"Missing","OK")</f>
        <v>OK</v>
      </c>
    </row>
    <row r="2000" spans="1:9" x14ac:dyDescent="0.35">
      <c r="A2000" t="s">
        <v>2024</v>
      </c>
      <c r="B2000" t="s">
        <v>56</v>
      </c>
      <c r="C2000" t="s">
        <v>21</v>
      </c>
      <c r="D2000">
        <v>394.12</v>
      </c>
      <c r="E2000" t="s">
        <v>27</v>
      </c>
      <c r="F2000">
        <v>2886.74</v>
      </c>
      <c r="G2000">
        <f t="shared" si="33"/>
        <v>1137721.9687999999</v>
      </c>
      <c r="H2000" t="str">
        <f>IF(BOQ_Table[[#This Row],[Amount]]&gt;100000,"Over Budget","OK")</f>
        <v>Over Budget</v>
      </c>
      <c r="I2000" t="str">
        <f>IF(OR(BOQ_Table[[#This Row],[Quantity]]="",BOQ_Table[[#This Row],[Rate]]=""),"Missing","OK")</f>
        <v>OK</v>
      </c>
    </row>
    <row r="2001" spans="1:9" x14ac:dyDescent="0.35">
      <c r="A2001" t="s">
        <v>2025</v>
      </c>
      <c r="B2001" t="s">
        <v>32</v>
      </c>
      <c r="C2001" t="s">
        <v>8</v>
      </c>
      <c r="D2001">
        <v>429.64</v>
      </c>
      <c r="E2001" t="s">
        <v>9</v>
      </c>
      <c r="F2001">
        <v>4723.8999999999996</v>
      </c>
      <c r="G2001">
        <f t="shared" si="33"/>
        <v>2029576.3959999997</v>
      </c>
      <c r="H2001" t="str">
        <f>IF(BOQ_Table[[#This Row],[Amount]]&gt;100000,"Over Budget","OK")</f>
        <v>Over Budget</v>
      </c>
      <c r="I2001" t="str">
        <f>IF(OR(BOQ_Table[[#This Row],[Quantity]]="",BOQ_Table[[#This Row],[Rate]]=""),"Missing","OK")</f>
        <v>OK</v>
      </c>
    </row>
  </sheetData>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FC3-99BA-4FCF-8118-5632E490F31E}">
  <dimension ref="B1:K42"/>
  <sheetViews>
    <sheetView showGridLines="0" topLeftCell="A21" zoomScale="70" zoomScaleNormal="70" workbookViewId="0">
      <selection activeCell="L14" sqref="L14"/>
    </sheetView>
  </sheetViews>
  <sheetFormatPr defaultRowHeight="14.5" x14ac:dyDescent="0.35"/>
  <cols>
    <col min="2" max="2" width="34.453125" customWidth="1"/>
    <col min="3" max="3" width="32.7265625" customWidth="1"/>
    <col min="4" max="4" width="39.453125" customWidth="1"/>
    <col min="5" max="5" width="14" bestFit="1" customWidth="1"/>
    <col min="6" max="6" width="10.7265625" customWidth="1"/>
    <col min="7" max="7" width="16.54296875" bestFit="1" customWidth="1"/>
    <col min="8" max="8" width="14.54296875" bestFit="1" customWidth="1"/>
  </cols>
  <sheetData>
    <row r="1" spans="2:11" ht="20" x14ac:dyDescent="0.4">
      <c r="C1" s="7"/>
    </row>
    <row r="2" spans="2:11" ht="18" x14ac:dyDescent="0.4">
      <c r="G2" s="5"/>
    </row>
    <row r="3" spans="2:11" ht="18.5" x14ac:dyDescent="0.45">
      <c r="F3" s="6"/>
      <c r="G3" s="5"/>
    </row>
    <row r="4" spans="2:11" ht="15.5" x14ac:dyDescent="0.35">
      <c r="B4" s="4"/>
      <c r="D4" s="3"/>
      <c r="F4" s="3"/>
      <c r="K4" t="s">
        <v>2034</v>
      </c>
    </row>
    <row r="5" spans="2:11" ht="18" x14ac:dyDescent="0.4">
      <c r="B5" s="5" t="s">
        <v>2032</v>
      </c>
      <c r="C5" s="5" t="s">
        <v>2031</v>
      </c>
      <c r="D5" s="5" t="s">
        <v>2033</v>
      </c>
    </row>
    <row r="6" spans="2:11" ht="18.5" x14ac:dyDescent="0.45">
      <c r="B6" s="6">
        <f>SUM(BOQ_Table[Amount])</f>
        <v>1261164066.5616007</v>
      </c>
      <c r="C6" s="5">
        <f>COUNTIF(BOQ_Table[Budget Status],"Over Budget")</f>
        <v>1688</v>
      </c>
      <c r="D6" s="6">
        <f>COUNTIF(BOQ_Table[Data Status],"Missing")</f>
        <v>0</v>
      </c>
      <c r="G6">
        <f>SUM(BOQ_Data!G:G)</f>
        <v>1261164066.5616007</v>
      </c>
    </row>
    <row r="9" spans="2:11" x14ac:dyDescent="0.35">
      <c r="C9" s="1" t="s">
        <v>2026</v>
      </c>
      <c r="D9" t="s">
        <v>2028</v>
      </c>
    </row>
    <row r="10" spans="2:11" x14ac:dyDescent="0.35">
      <c r="C10" s="2" t="s">
        <v>17</v>
      </c>
      <c r="D10" s="8">
        <v>244600334.86069989</v>
      </c>
    </row>
    <row r="11" spans="2:11" x14ac:dyDescent="0.35">
      <c r="C11" s="2" t="s">
        <v>12</v>
      </c>
      <c r="D11" s="8">
        <v>286001720.8785001</v>
      </c>
    </row>
    <row r="12" spans="2:11" x14ac:dyDescent="0.35">
      <c r="C12" s="2" t="s">
        <v>38</v>
      </c>
      <c r="D12" s="8">
        <v>236313085.3807998</v>
      </c>
    </row>
    <row r="13" spans="2:11" x14ac:dyDescent="0.35">
      <c r="C13" s="2" t="s">
        <v>21</v>
      </c>
      <c r="D13" s="8">
        <v>244604068.93390009</v>
      </c>
    </row>
    <row r="14" spans="2:11" x14ac:dyDescent="0.35">
      <c r="C14" s="2" t="s">
        <v>8</v>
      </c>
      <c r="D14" s="8">
        <v>249644856.5077</v>
      </c>
    </row>
    <row r="15" spans="2:11" x14ac:dyDescent="0.35">
      <c r="C15" s="2" t="s">
        <v>2027</v>
      </c>
      <c r="D15" s="8">
        <v>1261164066.5616</v>
      </c>
    </row>
    <row r="35" spans="3:4" x14ac:dyDescent="0.35">
      <c r="C35" s="1" t="s">
        <v>2026</v>
      </c>
      <c r="D35" t="s">
        <v>2028</v>
      </c>
    </row>
    <row r="36" spans="3:4" x14ac:dyDescent="0.35">
      <c r="C36" s="2" t="s">
        <v>56</v>
      </c>
      <c r="D36" s="8">
        <v>143820464.05259994</v>
      </c>
    </row>
    <row r="37" spans="3:4" x14ac:dyDescent="0.35">
      <c r="C37" s="2" t="s">
        <v>46</v>
      </c>
      <c r="D37" s="8">
        <v>128678288.22390002</v>
      </c>
    </row>
    <row r="38" spans="3:4" x14ac:dyDescent="0.35">
      <c r="C38" s="2" t="s">
        <v>16</v>
      </c>
      <c r="D38" s="8">
        <v>130297753.52180003</v>
      </c>
    </row>
    <row r="39" spans="3:4" x14ac:dyDescent="0.35">
      <c r="C39" s="2" t="s">
        <v>40</v>
      </c>
      <c r="D39" s="8">
        <v>127241340.83829999</v>
      </c>
    </row>
    <row r="40" spans="3:4" x14ac:dyDescent="0.35">
      <c r="C40" s="2" t="s">
        <v>30</v>
      </c>
      <c r="D40" s="8">
        <v>139063666.12620008</v>
      </c>
    </row>
    <row r="41" spans="3:4" x14ac:dyDescent="0.35">
      <c r="C41" s="2" t="s">
        <v>2027</v>
      </c>
      <c r="D41" s="8">
        <v>669101512.7628001</v>
      </c>
    </row>
    <row r="42" spans="3:4" x14ac:dyDescent="0.35">
      <c r="C42" t="s">
        <v>2034</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BOQ_Data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JAGDALE</cp:lastModifiedBy>
  <dcterms:created xsi:type="dcterms:W3CDTF">2026-04-18T18:10:58Z</dcterms:created>
  <dcterms:modified xsi:type="dcterms:W3CDTF">2026-04-20T17:51:45Z</dcterms:modified>
</cp:coreProperties>
</file>